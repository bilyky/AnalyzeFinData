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MyFolder\Budget\"/>
    </mc:Choice>
  </mc:AlternateContent>
  <xr:revisionPtr revIDLastSave="0" documentId="13_ncr:1_{6244AFDF-78B3-4DAC-8270-1043155472EB}" xr6:coauthVersionLast="47" xr6:coauthVersionMax="47" xr10:uidLastSave="{00000000-0000-0000-0000-000000000000}"/>
  <bookViews>
    <workbookView xWindow="0" yWindow="2025" windowWidth="18945" windowHeight="18420" firstSheet="7" activeTab="9" xr2:uid="{00000000-000D-0000-FFFF-FFFF00000000}"/>
  </bookViews>
  <sheets>
    <sheet name="2019" sheetId="6" r:id="rId1"/>
    <sheet name="2020" sheetId="4" r:id="rId2"/>
    <sheet name="2021" sheetId="5" r:id="rId3"/>
    <sheet name="2022" sheetId="1" r:id="rId4"/>
    <sheet name="2023" sheetId="14" r:id="rId5"/>
    <sheet name="2024" sheetId="20" r:id="rId6"/>
    <sheet name="2025" sheetId="17" r:id="rId7"/>
    <sheet name="2026" sheetId="21" r:id="rId8"/>
    <sheet name="Short_Long" sheetId="3" r:id="rId9"/>
    <sheet name="Research" sheetId="8" r:id="rId10"/>
    <sheet name="Intel" sheetId="2" r:id="rId11"/>
    <sheet name="BSHistory 2026" sheetId="22" r:id="rId12"/>
    <sheet name="BSHistory 2025" sheetId="19" r:id="rId13"/>
    <sheet name="BSHistory 2024" sheetId="18" r:id="rId14"/>
    <sheet name="BSHistory 2023" sheetId="7" r:id="rId15"/>
    <sheet name="BSHistory 2022" sheetId="15" r:id="rId16"/>
    <sheet name="Oil" sheetId="9" r:id="rId17"/>
    <sheet name="Perfect Stock" sheetId="10" r:id="rId18"/>
    <sheet name="Reflection" sheetId="16" r:id="rId19"/>
    <sheet name="Sheet1" sheetId="12" r:id="rId20"/>
    <sheet name="Sheet2" sheetId="11" r:id="rId21"/>
  </sheets>
  <externalReferences>
    <externalReference r:id="rId22"/>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27" i="21" l="1"/>
  <c r="U25" i="21"/>
  <c r="T27" i="21"/>
  <c r="T25" i="21"/>
  <c r="R27" i="21"/>
  <c r="R25" i="21"/>
  <c r="Q27" i="21"/>
  <c r="Q25" i="21"/>
  <c r="O27" i="21"/>
  <c r="O25" i="21"/>
  <c r="M27" i="21"/>
  <c r="M25" i="21"/>
  <c r="K27" i="21"/>
  <c r="K25" i="21"/>
  <c r="I27" i="21"/>
  <c r="I25" i="21"/>
  <c r="G27" i="21"/>
  <c r="E28" i="21"/>
  <c r="E27" i="21"/>
  <c r="E25" i="21"/>
  <c r="C27" i="21"/>
  <c r="C25" i="21"/>
  <c r="G7" i="2"/>
  <c r="I7" i="2" s="1"/>
  <c r="G6" i="2"/>
  <c r="I6" i="2" s="1"/>
  <c r="G5" i="2"/>
  <c r="G4" i="2"/>
  <c r="F7" i="2"/>
  <c r="F6" i="2"/>
  <c r="F5" i="2"/>
  <c r="F4" i="2"/>
  <c r="D75" i="2"/>
  <c r="M2" i="22"/>
  <c r="I49" i="3"/>
  <c r="H49" i="3"/>
  <c r="J49" i="3"/>
  <c r="G9" i="22"/>
  <c r="G8" i="22"/>
  <c r="G7" i="22"/>
  <c r="G6" i="22"/>
  <c r="G5" i="22"/>
  <c r="G4" i="22"/>
  <c r="J20" i="3"/>
  <c r="I20" i="3"/>
  <c r="H20" i="3"/>
  <c r="O10" i="22"/>
  <c r="N10" i="22"/>
  <c r="M10" i="22"/>
  <c r="L10" i="22"/>
  <c r="K10" i="22"/>
  <c r="J10" i="22"/>
  <c r="L53" i="22"/>
  <c r="K53" i="22"/>
  <c r="O53" i="22" s="1"/>
  <c r="J53" i="22"/>
  <c r="M53" i="22" s="1"/>
  <c r="J51" i="3"/>
  <c r="I51" i="3"/>
  <c r="H51" i="3"/>
  <c r="J50" i="3"/>
  <c r="I50" i="3"/>
  <c r="H50" i="3"/>
  <c r="M16" i="22"/>
  <c r="L16" i="22"/>
  <c r="K16" i="22"/>
  <c r="O16" i="22" s="1"/>
  <c r="J16" i="22"/>
  <c r="L28" i="22"/>
  <c r="K28" i="22"/>
  <c r="O28" i="22" s="1"/>
  <c r="J28" i="22"/>
  <c r="M28" i="22" s="1"/>
  <c r="M15" i="22"/>
  <c r="L15" i="22"/>
  <c r="K15" i="22"/>
  <c r="N15" i="22" s="1"/>
  <c r="J15" i="22"/>
  <c r="O99" i="22"/>
  <c r="N99" i="22"/>
  <c r="M99" i="22"/>
  <c r="L99" i="22"/>
  <c r="K99" i="22"/>
  <c r="J99" i="22"/>
  <c r="J19" i="3"/>
  <c r="I19" i="3"/>
  <c r="H19" i="3"/>
  <c r="I5" i="2" l="1"/>
  <c r="H4" i="2"/>
  <c r="I4" i="2"/>
  <c r="H7" i="2"/>
  <c r="H5" i="2"/>
  <c r="H6" i="2"/>
  <c r="N53" i="22"/>
  <c r="N16" i="22"/>
  <c r="N28" i="22"/>
  <c r="O15" i="22"/>
  <c r="T16" i="21" l="1"/>
  <c r="V16" i="21" s="1"/>
  <c r="R16" i="21"/>
  <c r="O16" i="21"/>
  <c r="K16" i="21"/>
  <c r="G16" i="21"/>
  <c r="E16" i="21"/>
  <c r="G11" i="22"/>
  <c r="G10" i="22"/>
  <c r="J48" i="3"/>
  <c r="I48" i="3"/>
  <c r="H48" i="3"/>
  <c r="L93" i="22"/>
  <c r="K93" i="22"/>
  <c r="N93" i="22" s="1"/>
  <c r="J93" i="22"/>
  <c r="M93" i="22" s="1"/>
  <c r="L29" i="22"/>
  <c r="K29" i="22"/>
  <c r="O29" i="22" s="1"/>
  <c r="J29" i="22"/>
  <c r="M29" i="22" s="1"/>
  <c r="G12" i="22"/>
  <c r="I47" i="3"/>
  <c r="H47" i="3"/>
  <c r="J47" i="3"/>
  <c r="G15" i="22"/>
  <c r="G14" i="22"/>
  <c r="G13" i="22"/>
  <c r="L18" i="22"/>
  <c r="K18" i="22"/>
  <c r="O18" i="22" s="1"/>
  <c r="J18" i="22"/>
  <c r="M18" i="22" s="1"/>
  <c r="I16" i="3"/>
  <c r="H16" i="3"/>
  <c r="J16" i="3"/>
  <c r="J18" i="3"/>
  <c r="I18" i="3"/>
  <c r="H18" i="3"/>
  <c r="J17" i="3"/>
  <c r="I17" i="3"/>
  <c r="H17" i="3"/>
  <c r="L61" i="22"/>
  <c r="K61" i="22"/>
  <c r="O61" i="22" s="1"/>
  <c r="J61" i="22"/>
  <c r="M61" i="22" s="1"/>
  <c r="L25" i="22"/>
  <c r="K25" i="22"/>
  <c r="O25" i="22" s="1"/>
  <c r="J25" i="22"/>
  <c r="M25" i="22" s="1"/>
  <c r="L44" i="22"/>
  <c r="K44" i="22"/>
  <c r="O44" i="22" s="1"/>
  <c r="J44" i="22"/>
  <c r="M44" i="22" s="1"/>
  <c r="L17" i="22"/>
  <c r="K17" i="22"/>
  <c r="O17" i="22" s="1"/>
  <c r="J17" i="22"/>
  <c r="M17" i="22" s="1"/>
  <c r="G16" i="22"/>
  <c r="G19" i="22"/>
  <c r="G18" i="22"/>
  <c r="G17" i="22"/>
  <c r="L23" i="22"/>
  <c r="K23" i="22"/>
  <c r="O23" i="22" s="1"/>
  <c r="J23" i="22"/>
  <c r="M23" i="22" s="1"/>
  <c r="H46" i="3"/>
  <c r="I46" i="3"/>
  <c r="J46" i="3"/>
  <c r="L27" i="22"/>
  <c r="K27" i="22"/>
  <c r="O27" i="22" s="1"/>
  <c r="J27" i="22"/>
  <c r="M27" i="22" s="1"/>
  <c r="L35" i="22"/>
  <c r="K35" i="22"/>
  <c r="N35" i="22" s="1"/>
  <c r="J35" i="22"/>
  <c r="M35" i="22" s="1"/>
  <c r="G23" i="22"/>
  <c r="G22" i="22"/>
  <c r="G21" i="22"/>
  <c r="G20" i="22"/>
  <c r="J15" i="3"/>
  <c r="I15" i="3"/>
  <c r="H15" i="3"/>
  <c r="J14" i="3"/>
  <c r="I14" i="3"/>
  <c r="H14" i="3"/>
  <c r="J45" i="3"/>
  <c r="I45" i="3"/>
  <c r="H45" i="3"/>
  <c r="L41" i="22"/>
  <c r="K41" i="22"/>
  <c r="O41" i="22" s="1"/>
  <c r="J41" i="22"/>
  <c r="M41" i="22" s="1"/>
  <c r="L58" i="22"/>
  <c r="K58" i="22"/>
  <c r="O58" i="22" s="1"/>
  <c r="J58" i="22"/>
  <c r="M58" i="22" s="1"/>
  <c r="L31" i="22"/>
  <c r="K31" i="22"/>
  <c r="O31" i="22" s="1"/>
  <c r="J31" i="22"/>
  <c r="M31" i="22" s="1"/>
  <c r="L33" i="22"/>
  <c r="K33" i="22"/>
  <c r="N33" i="22" s="1"/>
  <c r="J33" i="22"/>
  <c r="M33" i="22" s="1"/>
  <c r="G27" i="22"/>
  <c r="G26" i="22"/>
  <c r="G25" i="22"/>
  <c r="G24" i="22"/>
  <c r="I13" i="3"/>
  <c r="H13" i="3"/>
  <c r="J13" i="3"/>
  <c r="J44" i="3"/>
  <c r="I44" i="3"/>
  <c r="H44" i="3"/>
  <c r="L103" i="22"/>
  <c r="K103" i="22"/>
  <c r="O103" i="22" s="1"/>
  <c r="J103" i="22"/>
  <c r="M103" i="22" s="1"/>
  <c r="L43" i="22"/>
  <c r="K43" i="22"/>
  <c r="N43" i="22" s="1"/>
  <c r="J43" i="22"/>
  <c r="M43" i="22" s="1"/>
  <c r="L152" i="22"/>
  <c r="K152" i="22"/>
  <c r="N152" i="22" s="1"/>
  <c r="J152" i="22"/>
  <c r="M152" i="22" s="1"/>
  <c r="G152" i="22"/>
  <c r="L39" i="22"/>
  <c r="K39" i="22"/>
  <c r="O39" i="22" s="1"/>
  <c r="J39" i="22"/>
  <c r="M39" i="22" s="1"/>
  <c r="L32" i="22"/>
  <c r="K32" i="22"/>
  <c r="O32" i="22" s="1"/>
  <c r="J32" i="22"/>
  <c r="M32" i="22" s="1"/>
  <c r="F50" i="2"/>
  <c r="G29" i="22"/>
  <c r="G28" i="22"/>
  <c r="L30" i="22"/>
  <c r="K30" i="22"/>
  <c r="N30" i="22" s="1"/>
  <c r="J30" i="22"/>
  <c r="M30" i="22" s="1"/>
  <c r="L146" i="22"/>
  <c r="K146" i="22"/>
  <c r="O146" i="22" s="1"/>
  <c r="J146" i="22"/>
  <c r="M146" i="22" s="1"/>
  <c r="G31" i="22"/>
  <c r="G30" i="22"/>
  <c r="L51" i="22"/>
  <c r="K51" i="22"/>
  <c r="N51" i="22" s="1"/>
  <c r="J51" i="22"/>
  <c r="M51" i="22" s="1"/>
  <c r="L47" i="22"/>
  <c r="K47" i="22"/>
  <c r="O47" i="22" s="1"/>
  <c r="J47" i="22"/>
  <c r="M47" i="22" s="1"/>
  <c r="G47" i="22"/>
  <c r="L52" i="22"/>
  <c r="K52" i="22"/>
  <c r="O52" i="22" s="1"/>
  <c r="J52" i="22"/>
  <c r="M52" i="22" s="1"/>
  <c r="L122" i="22"/>
  <c r="K122" i="22"/>
  <c r="O122" i="22" s="1"/>
  <c r="J122" i="22"/>
  <c r="M122" i="22" s="1"/>
  <c r="L46" i="22"/>
  <c r="K46" i="22"/>
  <c r="N46" i="22" s="1"/>
  <c r="J46" i="22"/>
  <c r="M46" i="22" s="1"/>
  <c r="L42" i="22"/>
  <c r="K42" i="22"/>
  <c r="N42" i="22" s="1"/>
  <c r="J42" i="22"/>
  <c r="M42" i="22" s="1"/>
  <c r="G36" i="22"/>
  <c r="G35" i="22"/>
  <c r="G34" i="22"/>
  <c r="G33" i="22"/>
  <c r="G32" i="22"/>
  <c r="J43" i="3"/>
  <c r="I43" i="3"/>
  <c r="H43" i="3"/>
  <c r="I42" i="3"/>
  <c r="H42" i="3"/>
  <c r="J42" i="3"/>
  <c r="L45" i="22"/>
  <c r="K45" i="22"/>
  <c r="O45" i="22" s="1"/>
  <c r="J45" i="22"/>
  <c r="M45" i="22" s="1"/>
  <c r="G9" i="2"/>
  <c r="F9" i="2"/>
  <c r="I9" i="2" l="1"/>
  <c r="O93" i="22"/>
  <c r="N29" i="22"/>
  <c r="N61" i="22"/>
  <c r="N18" i="22"/>
  <c r="N25" i="22"/>
  <c r="N44" i="22"/>
  <c r="N23" i="22"/>
  <c r="N17" i="22"/>
  <c r="O33" i="22"/>
  <c r="N27" i="22"/>
  <c r="O35" i="22"/>
  <c r="N31" i="22"/>
  <c r="N41" i="22"/>
  <c r="N58" i="22"/>
  <c r="O43" i="22"/>
  <c r="N103" i="22"/>
  <c r="N39" i="22"/>
  <c r="O152" i="22"/>
  <c r="O30" i="22"/>
  <c r="N32" i="22"/>
  <c r="O51" i="22"/>
  <c r="N146" i="22"/>
  <c r="N52" i="22"/>
  <c r="O46" i="22"/>
  <c r="N47" i="22"/>
  <c r="O42" i="22"/>
  <c r="N122" i="22"/>
  <c r="N45" i="22"/>
  <c r="H9" i="2"/>
  <c r="G38" i="22" l="1"/>
  <c r="G37" i="22"/>
  <c r="J12" i="3"/>
  <c r="I12" i="3"/>
  <c r="H12" i="3"/>
  <c r="J11" i="3"/>
  <c r="I11" i="3"/>
  <c r="H11" i="3"/>
  <c r="L48" i="22"/>
  <c r="K48" i="22"/>
  <c r="O48" i="22" s="1"/>
  <c r="J48" i="22"/>
  <c r="M48" i="22" s="1"/>
  <c r="T15" i="21"/>
  <c r="R15" i="21"/>
  <c r="O15" i="21"/>
  <c r="K15" i="21"/>
  <c r="G15" i="21"/>
  <c r="E15" i="21"/>
  <c r="G39" i="22"/>
  <c r="L40" i="22"/>
  <c r="K40" i="22"/>
  <c r="N40" i="22" s="1"/>
  <c r="J40" i="22"/>
  <c r="M40" i="22" s="1"/>
  <c r="L60" i="22"/>
  <c r="K60" i="22"/>
  <c r="O60" i="22" s="1"/>
  <c r="J60" i="22"/>
  <c r="M60" i="22" s="1"/>
  <c r="G41" i="22"/>
  <c r="G40" i="22"/>
  <c r="L57" i="22"/>
  <c r="K57" i="22"/>
  <c r="N57" i="22" s="1"/>
  <c r="J57" i="22"/>
  <c r="M57" i="22" s="1"/>
  <c r="L137" i="22"/>
  <c r="K137" i="22"/>
  <c r="O137" i="22" s="1"/>
  <c r="J137" i="22"/>
  <c r="M137" i="22" s="1"/>
  <c r="G43" i="22"/>
  <c r="G42" i="22"/>
  <c r="G46" i="22"/>
  <c r="G45" i="22"/>
  <c r="G44" i="22"/>
  <c r="L56" i="22"/>
  <c r="K56" i="22"/>
  <c r="N56" i="22" s="1"/>
  <c r="J56" i="22"/>
  <c r="M56" i="22" s="1"/>
  <c r="L49" i="22"/>
  <c r="K49" i="22"/>
  <c r="N49" i="22" s="1"/>
  <c r="J49" i="22"/>
  <c r="M49" i="22" s="1"/>
  <c r="L55" i="22"/>
  <c r="K55" i="22"/>
  <c r="O55" i="22" s="1"/>
  <c r="J55" i="22"/>
  <c r="M55" i="22" s="1"/>
  <c r="L65" i="22"/>
  <c r="K65" i="22"/>
  <c r="N65" i="22" s="1"/>
  <c r="J65" i="22"/>
  <c r="M65" i="22" s="1"/>
  <c r="L153" i="22"/>
  <c r="K153" i="22"/>
  <c r="N153" i="22" s="1"/>
  <c r="J153" i="22"/>
  <c r="M153" i="22" s="1"/>
  <c r="G151" i="22"/>
  <c r="L62" i="22"/>
  <c r="K62" i="22"/>
  <c r="O62" i="22" s="1"/>
  <c r="J62" i="22"/>
  <c r="M62" i="22" s="1"/>
  <c r="J41" i="3"/>
  <c r="I41" i="3"/>
  <c r="H41" i="3"/>
  <c r="G50" i="22"/>
  <c r="G49" i="22"/>
  <c r="G48" i="22"/>
  <c r="L54" i="22"/>
  <c r="K54" i="22"/>
  <c r="N54" i="22" s="1"/>
  <c r="J54" i="22"/>
  <c r="M54" i="22" s="1"/>
  <c r="V15" i="21" l="1"/>
  <c r="U16" i="21"/>
  <c r="N48" i="22"/>
  <c r="O40" i="22"/>
  <c r="O57" i="22"/>
  <c r="N60" i="22"/>
  <c r="N137" i="22"/>
  <c r="O56" i="22"/>
  <c r="O49" i="22"/>
  <c r="N55" i="22"/>
  <c r="O65" i="22"/>
  <c r="O153" i="22"/>
  <c r="N62" i="22"/>
  <c r="O54" i="22"/>
  <c r="G58" i="22" l="1"/>
  <c r="G57" i="22"/>
  <c r="G56" i="22"/>
  <c r="G55" i="22"/>
  <c r="G54" i="22"/>
  <c r="G53" i="22"/>
  <c r="G52" i="22"/>
  <c r="G51" i="22"/>
  <c r="G12" i="21"/>
  <c r="G14" i="21"/>
  <c r="G11" i="21"/>
  <c r="L64" i="22"/>
  <c r="K64" i="22"/>
  <c r="O64" i="22" s="1"/>
  <c r="J64" i="22"/>
  <c r="M64" i="22" s="1"/>
  <c r="L98" i="22"/>
  <c r="K98" i="22"/>
  <c r="O98" i="22" s="1"/>
  <c r="J98" i="22"/>
  <c r="M98" i="22" s="1"/>
  <c r="L68" i="22"/>
  <c r="K68" i="22"/>
  <c r="N68" i="22" s="1"/>
  <c r="J68" i="22"/>
  <c r="M68" i="22" s="1"/>
  <c r="L102" i="22"/>
  <c r="K102" i="22"/>
  <c r="O102" i="22" s="1"/>
  <c r="J102" i="22"/>
  <c r="M102" i="22" s="1"/>
  <c r="L67" i="22"/>
  <c r="K67" i="22"/>
  <c r="N67" i="22" s="1"/>
  <c r="J67" i="22"/>
  <c r="M67" i="22" s="1"/>
  <c r="L63" i="22"/>
  <c r="K63" i="22"/>
  <c r="O63" i="22" s="1"/>
  <c r="J63" i="22"/>
  <c r="M63" i="22" s="1"/>
  <c r="L101" i="22"/>
  <c r="K101" i="22"/>
  <c r="N101" i="22" s="1"/>
  <c r="J101" i="22"/>
  <c r="M101" i="22" s="1"/>
  <c r="L71" i="22"/>
  <c r="K71" i="22"/>
  <c r="O71" i="22" s="1"/>
  <c r="J71" i="22"/>
  <c r="M71" i="22" s="1"/>
  <c r="L72" i="22"/>
  <c r="K72" i="22"/>
  <c r="N72" i="22" s="1"/>
  <c r="J72" i="22"/>
  <c r="M72" i="22" s="1"/>
  <c r="L96" i="22"/>
  <c r="K96" i="22"/>
  <c r="O96" i="22" s="1"/>
  <c r="J96" i="22"/>
  <c r="M96" i="22" s="1"/>
  <c r="G61" i="22"/>
  <c r="G60" i="22"/>
  <c r="G59" i="22"/>
  <c r="J10" i="3"/>
  <c r="I10" i="3"/>
  <c r="H10" i="3"/>
  <c r="L66" i="22"/>
  <c r="K66" i="22"/>
  <c r="O66" i="22" s="1"/>
  <c r="J66" i="22"/>
  <c r="M66" i="22" s="1"/>
  <c r="G64" i="22"/>
  <c r="G63" i="22"/>
  <c r="G62" i="22"/>
  <c r="G68" i="22"/>
  <c r="G67" i="22"/>
  <c r="G66" i="22"/>
  <c r="G65" i="22"/>
  <c r="L154" i="22"/>
  <c r="K154" i="22"/>
  <c r="N154" i="22" s="1"/>
  <c r="J154" i="22"/>
  <c r="M154" i="22" s="1"/>
  <c r="G154" i="22"/>
  <c r="L76" i="22"/>
  <c r="K76" i="22"/>
  <c r="O76" i="22" s="1"/>
  <c r="J76" i="22"/>
  <c r="M76" i="22" s="1"/>
  <c r="L81" i="22"/>
  <c r="K81" i="22"/>
  <c r="O81" i="22" s="1"/>
  <c r="J81" i="22"/>
  <c r="M81" i="22" s="1"/>
  <c r="L85" i="22"/>
  <c r="K85" i="22"/>
  <c r="N85" i="22" s="1"/>
  <c r="J85" i="22"/>
  <c r="M85" i="22" s="1"/>
  <c r="L73" i="22"/>
  <c r="K73" i="22"/>
  <c r="N73" i="22" s="1"/>
  <c r="J73" i="22"/>
  <c r="M73" i="22" s="1"/>
  <c r="L70" i="22"/>
  <c r="K70" i="22"/>
  <c r="N70" i="22" s="1"/>
  <c r="J70" i="22"/>
  <c r="M70" i="22" s="1"/>
  <c r="L69" i="22"/>
  <c r="K69" i="22"/>
  <c r="N69" i="22" s="1"/>
  <c r="J69" i="22"/>
  <c r="M69" i="22" s="1"/>
  <c r="G70" i="22"/>
  <c r="G69" i="22"/>
  <c r="L92" i="22"/>
  <c r="K92" i="22"/>
  <c r="O92" i="22" s="1"/>
  <c r="J92" i="22"/>
  <c r="M92" i="22" s="1"/>
  <c r="L78" i="22"/>
  <c r="K78" i="22"/>
  <c r="O78" i="22" s="1"/>
  <c r="J78" i="22"/>
  <c r="M78" i="22" s="1"/>
  <c r="G71" i="22"/>
  <c r="L80" i="22"/>
  <c r="K80" i="22"/>
  <c r="N80" i="22" s="1"/>
  <c r="J80" i="22"/>
  <c r="M80" i="22" s="1"/>
  <c r="T14" i="21"/>
  <c r="U15" i="21" s="1"/>
  <c r="R14" i="21"/>
  <c r="O14" i="21"/>
  <c r="K14" i="21"/>
  <c r="E14" i="21"/>
  <c r="F25" i="21"/>
  <c r="G72" i="22"/>
  <c r="L75" i="22"/>
  <c r="K75" i="22"/>
  <c r="N75" i="22" s="1"/>
  <c r="J75" i="22"/>
  <c r="M75" i="22" s="1"/>
  <c r="O68" i="22" l="1"/>
  <c r="N64" i="22"/>
  <c r="O67" i="22"/>
  <c r="O101" i="22"/>
  <c r="N98" i="22"/>
  <c r="N71" i="22"/>
  <c r="N63" i="22"/>
  <c r="N102" i="22"/>
  <c r="O73" i="22"/>
  <c r="O72" i="22"/>
  <c r="N96" i="22"/>
  <c r="N66" i="22"/>
  <c r="O154" i="22"/>
  <c r="O85" i="22"/>
  <c r="O69" i="22"/>
  <c r="O70" i="22"/>
  <c r="N76" i="22"/>
  <c r="N81" i="22"/>
  <c r="N78" i="22"/>
  <c r="N92" i="22"/>
  <c r="O80" i="22"/>
  <c r="O75" i="22"/>
  <c r="L79" i="22"/>
  <c r="K79" i="22"/>
  <c r="O79" i="22" s="1"/>
  <c r="J79" i="22"/>
  <c r="M79" i="22" s="1"/>
  <c r="L143" i="22"/>
  <c r="K143" i="22"/>
  <c r="O143" i="22" s="1"/>
  <c r="J143" i="22"/>
  <c r="M143" i="22" s="1"/>
  <c r="G74" i="22"/>
  <c r="G73" i="22"/>
  <c r="H40" i="3"/>
  <c r="I40" i="3"/>
  <c r="J40" i="3"/>
  <c r="L149" i="22"/>
  <c r="K149" i="22"/>
  <c r="O149" i="22" s="1"/>
  <c r="J149" i="22"/>
  <c r="M149" i="22" s="1"/>
  <c r="G148" i="22"/>
  <c r="L163" i="22"/>
  <c r="K163" i="22"/>
  <c r="O163" i="22" s="1"/>
  <c r="J163" i="22"/>
  <c r="M163" i="22" s="1"/>
  <c r="G75" i="22"/>
  <c r="L113" i="22"/>
  <c r="K113" i="22"/>
  <c r="O113" i="22" s="1"/>
  <c r="J113" i="22"/>
  <c r="M113" i="22" s="1"/>
  <c r="G78" i="22"/>
  <c r="G77" i="22"/>
  <c r="G76" i="22"/>
  <c r="L89" i="22"/>
  <c r="K89" i="22"/>
  <c r="N89" i="22" s="1"/>
  <c r="J89" i="22"/>
  <c r="M89" i="22" s="1"/>
  <c r="L84" i="22"/>
  <c r="K84" i="22"/>
  <c r="O84" i="22" s="1"/>
  <c r="J84" i="22"/>
  <c r="M84" i="22" s="1"/>
  <c r="L87" i="22"/>
  <c r="K87" i="22"/>
  <c r="N87" i="22" s="1"/>
  <c r="J87" i="22"/>
  <c r="M87" i="22" s="1"/>
  <c r="J9" i="3"/>
  <c r="I9" i="3"/>
  <c r="H9" i="3"/>
  <c r="G79" i="22"/>
  <c r="L95" i="22"/>
  <c r="K95" i="22"/>
  <c r="O95" i="22" s="1"/>
  <c r="J95" i="22"/>
  <c r="M95" i="22" s="1"/>
  <c r="G12" i="2"/>
  <c r="G11" i="2"/>
  <c r="G10" i="2"/>
  <c r="F12" i="2"/>
  <c r="F11" i="2"/>
  <c r="F10" i="2"/>
  <c r="I10" i="2" l="1"/>
  <c r="I11" i="2"/>
  <c r="I12" i="2"/>
  <c r="N149" i="22"/>
  <c r="N79" i="22"/>
  <c r="N143" i="22"/>
  <c r="O87" i="22"/>
  <c r="N113" i="22"/>
  <c r="O89" i="22"/>
  <c r="N163" i="22"/>
  <c r="N84" i="22"/>
  <c r="N95" i="22"/>
  <c r="H12" i="2"/>
  <c r="H11" i="2"/>
  <c r="H10" i="2"/>
  <c r="T13" i="21"/>
  <c r="U14" i="21" s="1"/>
  <c r="R13" i="21"/>
  <c r="O13" i="21"/>
  <c r="K13" i="21"/>
  <c r="G13" i="21"/>
  <c r="E13" i="21"/>
  <c r="G81" i="22"/>
  <c r="G80" i="22"/>
  <c r="L91" i="22"/>
  <c r="K91" i="22"/>
  <c r="O91" i="22" s="1"/>
  <c r="J91" i="22"/>
  <c r="M91" i="22" s="1"/>
  <c r="L82" i="22"/>
  <c r="K82" i="22"/>
  <c r="N82" i="22" s="1"/>
  <c r="J82" i="22"/>
  <c r="M82" i="22" s="1"/>
  <c r="L88" i="22"/>
  <c r="K88" i="22"/>
  <c r="N88" i="22" s="1"/>
  <c r="J88" i="22"/>
  <c r="M88" i="22" s="1"/>
  <c r="O82" i="22" l="1"/>
  <c r="O88" i="22"/>
  <c r="N91" i="22"/>
  <c r="G84" i="22" l="1"/>
  <c r="G83" i="22"/>
  <c r="G82" i="22"/>
  <c r="J8" i="3"/>
  <c r="I8" i="3"/>
  <c r="H8" i="3"/>
  <c r="G19" i="2"/>
  <c r="F19" i="2"/>
  <c r="I39" i="3"/>
  <c r="H39" i="3"/>
  <c r="J39" i="3"/>
  <c r="G86" i="22"/>
  <c r="G85" i="22"/>
  <c r="L107" i="22"/>
  <c r="K107" i="22"/>
  <c r="O107" i="22" s="1"/>
  <c r="J107" i="22"/>
  <c r="M107" i="22" s="1"/>
  <c r="L134" i="22"/>
  <c r="K134" i="22"/>
  <c r="O134" i="22" s="1"/>
  <c r="J134" i="22"/>
  <c r="M134" i="22" s="1"/>
  <c r="L116" i="22"/>
  <c r="K116" i="22"/>
  <c r="O116" i="22" s="1"/>
  <c r="J116" i="22"/>
  <c r="M116" i="22" s="1"/>
  <c r="L90" i="22"/>
  <c r="K90" i="22"/>
  <c r="O90" i="22" s="1"/>
  <c r="J90" i="22"/>
  <c r="M90" i="22" s="1"/>
  <c r="L104" i="22"/>
  <c r="K104" i="22"/>
  <c r="O104" i="22" s="1"/>
  <c r="J104" i="22"/>
  <c r="M104" i="22" s="1"/>
  <c r="H19" i="2" l="1"/>
  <c r="I19" i="2"/>
  <c r="N107" i="22"/>
  <c r="N116" i="22"/>
  <c r="N90" i="22"/>
  <c r="N134" i="22"/>
  <c r="N104" i="22"/>
  <c r="L106" i="22"/>
  <c r="K106" i="22"/>
  <c r="O106" i="22" s="1"/>
  <c r="J106" i="22"/>
  <c r="M106" i="22" s="1"/>
  <c r="N106" i="22" l="1"/>
  <c r="G88" i="22"/>
  <c r="G87" i="22"/>
  <c r="L100" i="22"/>
  <c r="K100" i="22"/>
  <c r="O100" i="22" s="1"/>
  <c r="J100" i="22"/>
  <c r="M100" i="22" s="1"/>
  <c r="L117" i="22"/>
  <c r="K117" i="22"/>
  <c r="O117" i="22" s="1"/>
  <c r="J117" i="22"/>
  <c r="M117" i="22" s="1"/>
  <c r="L155" i="22"/>
  <c r="K155" i="22"/>
  <c r="N155" i="22" s="1"/>
  <c r="J155" i="22"/>
  <c r="M155" i="22" s="1"/>
  <c r="G153" i="22"/>
  <c r="L97" i="22"/>
  <c r="K97" i="22"/>
  <c r="O97" i="22" s="1"/>
  <c r="J97" i="22"/>
  <c r="M97" i="22" s="1"/>
  <c r="G96" i="22"/>
  <c r="L167" i="22"/>
  <c r="K167" i="22"/>
  <c r="O167" i="22" s="1"/>
  <c r="J167" i="22"/>
  <c r="M167" i="22" s="1"/>
  <c r="G89" i="22"/>
  <c r="G93" i="22"/>
  <c r="G92" i="22"/>
  <c r="G91" i="22"/>
  <c r="G90" i="22"/>
  <c r="L171" i="22"/>
  <c r="K171" i="22"/>
  <c r="N171" i="22" s="1"/>
  <c r="J171" i="22"/>
  <c r="M171" i="22" s="1"/>
  <c r="G170" i="22"/>
  <c r="L157" i="22"/>
  <c r="K157" i="22"/>
  <c r="O157" i="22" s="1"/>
  <c r="J157" i="22"/>
  <c r="M157" i="22" s="1"/>
  <c r="G156" i="22"/>
  <c r="L94" i="22"/>
  <c r="K94" i="22"/>
  <c r="O94" i="22" s="1"/>
  <c r="J94" i="22"/>
  <c r="M94" i="22" s="1"/>
  <c r="L129" i="22"/>
  <c r="K129" i="22"/>
  <c r="O129" i="22" s="1"/>
  <c r="J129" i="22"/>
  <c r="M129" i="22" s="1"/>
  <c r="O155" i="22" l="1"/>
  <c r="N117" i="22"/>
  <c r="N97" i="22"/>
  <c r="N100" i="22"/>
  <c r="N167" i="22"/>
  <c r="O171" i="22"/>
  <c r="N157" i="22"/>
  <c r="N94" i="22"/>
  <c r="N129" i="22"/>
  <c r="L133" i="22"/>
  <c r="K133" i="22"/>
  <c r="O133" i="22" s="1"/>
  <c r="J133" i="22"/>
  <c r="M133" i="22" s="1"/>
  <c r="L111" i="22"/>
  <c r="K111" i="22"/>
  <c r="O111" i="22" s="1"/>
  <c r="J111" i="22"/>
  <c r="M111" i="22" s="1"/>
  <c r="G95" i="22"/>
  <c r="G94" i="22"/>
  <c r="L150" i="22"/>
  <c r="K150" i="22"/>
  <c r="N150" i="22" s="1"/>
  <c r="J150" i="22"/>
  <c r="M150" i="22" s="1"/>
  <c r="N111" i="22" l="1"/>
  <c r="O150" i="22"/>
  <c r="N133" i="22"/>
  <c r="G8" i="2"/>
  <c r="F8" i="2"/>
  <c r="L164" i="22"/>
  <c r="K164" i="22"/>
  <c r="O164" i="22" s="1"/>
  <c r="J164" i="22"/>
  <c r="M164" i="22" s="1"/>
  <c r="G163" i="22"/>
  <c r="G98" i="22"/>
  <c r="G97" i="22"/>
  <c r="T12" i="21"/>
  <c r="U13" i="21" s="1"/>
  <c r="R12" i="21"/>
  <c r="O12" i="21"/>
  <c r="K12" i="21"/>
  <c r="E12" i="21"/>
  <c r="L125" i="22"/>
  <c r="K125" i="22"/>
  <c r="O125" i="22" s="1"/>
  <c r="J125" i="22"/>
  <c r="M125" i="22" s="1"/>
  <c r="L119" i="22"/>
  <c r="K119" i="22"/>
  <c r="O119" i="22" s="1"/>
  <c r="J119" i="22"/>
  <c r="M119" i="22" s="1"/>
  <c r="G102" i="22"/>
  <c r="G101" i="22"/>
  <c r="G100" i="22"/>
  <c r="G99" i="22"/>
  <c r="L161" i="22"/>
  <c r="K161" i="22"/>
  <c r="N161" i="22" s="1"/>
  <c r="J161" i="22"/>
  <c r="M161" i="22" s="1"/>
  <c r="L160" i="22"/>
  <c r="K160" i="22"/>
  <c r="O160" i="22" s="1"/>
  <c r="J160" i="22"/>
  <c r="M160" i="22" s="1"/>
  <c r="G160" i="22"/>
  <c r="G159" i="22"/>
  <c r="L162" i="22"/>
  <c r="K162" i="22"/>
  <c r="O162" i="22" s="1"/>
  <c r="J162" i="22"/>
  <c r="M162" i="22" s="1"/>
  <c r="L123" i="22"/>
  <c r="K123" i="22"/>
  <c r="O123" i="22" s="1"/>
  <c r="J123" i="22"/>
  <c r="M123" i="22" s="1"/>
  <c r="L108" i="22"/>
  <c r="K108" i="22"/>
  <c r="N108" i="22" s="1"/>
  <c r="J108" i="22"/>
  <c r="M108" i="22" s="1"/>
  <c r="G104" i="22"/>
  <c r="G103" i="22"/>
  <c r="L105" i="22"/>
  <c r="K105" i="22"/>
  <c r="J105" i="22"/>
  <c r="L109" i="22"/>
  <c r="K109" i="22"/>
  <c r="O109" i="22" s="1"/>
  <c r="J109" i="22"/>
  <c r="M109" i="22" s="1"/>
  <c r="L118" i="22"/>
  <c r="K118" i="22"/>
  <c r="N118" i="22" s="1"/>
  <c r="J118" i="22"/>
  <c r="M118" i="22" s="1"/>
  <c r="G117" i="22"/>
  <c r="L112" i="22"/>
  <c r="K112" i="22"/>
  <c r="O112" i="22" s="1"/>
  <c r="J112" i="22"/>
  <c r="M112" i="22" s="1"/>
  <c r="G108" i="22"/>
  <c r="G107" i="22"/>
  <c r="G106" i="22"/>
  <c r="G105" i="22"/>
  <c r="L136" i="22"/>
  <c r="K136" i="22"/>
  <c r="N136" i="22" s="1"/>
  <c r="J136" i="22"/>
  <c r="M136" i="22" s="1"/>
  <c r="L114" i="22"/>
  <c r="K114" i="22"/>
  <c r="N114" i="22" s="1"/>
  <c r="J114" i="22"/>
  <c r="M114" i="22" s="1"/>
  <c r="L110" i="22"/>
  <c r="K110" i="22"/>
  <c r="O110" i="22" s="1"/>
  <c r="J110" i="22"/>
  <c r="M110" i="22" s="1"/>
  <c r="L147" i="22"/>
  <c r="K147" i="22"/>
  <c r="N147" i="22" s="1"/>
  <c r="J147" i="22"/>
  <c r="M147" i="22" s="1"/>
  <c r="G109" i="22"/>
  <c r="L115" i="22"/>
  <c r="K115" i="22"/>
  <c r="O115" i="22" s="1"/>
  <c r="J115" i="22"/>
  <c r="M115" i="22" s="1"/>
  <c r="G114" i="22"/>
  <c r="L132" i="22"/>
  <c r="K132" i="22"/>
  <c r="N132" i="22" s="1"/>
  <c r="J132" i="22"/>
  <c r="M132" i="22" s="1"/>
  <c r="G111" i="22"/>
  <c r="G110" i="22"/>
  <c r="L121" i="22"/>
  <c r="K121" i="22"/>
  <c r="N121" i="22" s="1"/>
  <c r="J121" i="22"/>
  <c r="M121" i="22" s="1"/>
  <c r="L128" i="22"/>
  <c r="K128" i="22"/>
  <c r="O128" i="22" s="1"/>
  <c r="J128" i="22"/>
  <c r="M128" i="22" s="1"/>
  <c r="G112" i="22"/>
  <c r="L120" i="22"/>
  <c r="K120" i="22"/>
  <c r="N120" i="22" s="1"/>
  <c r="J120" i="22"/>
  <c r="M120" i="22" s="1"/>
  <c r="M105" i="22" l="1"/>
  <c r="O105" i="22"/>
  <c r="N125" i="22"/>
  <c r="N164" i="22"/>
  <c r="I8" i="2"/>
  <c r="H8" i="2"/>
  <c r="N119" i="22"/>
  <c r="O161" i="22"/>
  <c r="N160" i="22"/>
  <c r="O108" i="22"/>
  <c r="N105" i="22"/>
  <c r="N123" i="22"/>
  <c r="N162" i="22"/>
  <c r="N109" i="22"/>
  <c r="O118" i="22"/>
  <c r="N112" i="22"/>
  <c r="O114" i="22"/>
  <c r="O136" i="22"/>
  <c r="N115" i="22"/>
  <c r="N110" i="22"/>
  <c r="O147" i="22"/>
  <c r="O132" i="22"/>
  <c r="N128" i="22"/>
  <c r="O121" i="22"/>
  <c r="O120" i="22"/>
  <c r="G116" i="22" l="1"/>
  <c r="G115" i="22"/>
  <c r="G113" i="22"/>
  <c r="L130" i="22"/>
  <c r="K130" i="22"/>
  <c r="O130" i="22" s="1"/>
  <c r="J130" i="22"/>
  <c r="M130" i="22" s="1"/>
  <c r="L145" i="22"/>
  <c r="K145" i="22"/>
  <c r="N145" i="22" s="1"/>
  <c r="J145" i="22"/>
  <c r="M145" i="22" s="1"/>
  <c r="G121" i="22"/>
  <c r="G120" i="22"/>
  <c r="G119" i="22"/>
  <c r="G118" i="22"/>
  <c r="L142" i="22"/>
  <c r="K142" i="22"/>
  <c r="N142" i="22" s="1"/>
  <c r="J142" i="22"/>
  <c r="M142" i="22" s="1"/>
  <c r="L138" i="22"/>
  <c r="K138" i="22"/>
  <c r="O138" i="22" s="1"/>
  <c r="J138" i="22"/>
  <c r="M138" i="22" s="1"/>
  <c r="L124" i="22"/>
  <c r="K124" i="22"/>
  <c r="J124" i="22"/>
  <c r="G122" i="22"/>
  <c r="L126" i="22"/>
  <c r="K126" i="22"/>
  <c r="N126" i="22" s="1"/>
  <c r="J126" i="22"/>
  <c r="M126" i="22" s="1"/>
  <c r="L34" i="19"/>
  <c r="K34" i="19"/>
  <c r="O34" i="19" s="1"/>
  <c r="J34" i="19"/>
  <c r="M34" i="19" s="1"/>
  <c r="G123" i="22"/>
  <c r="G4" i="19"/>
  <c r="L8" i="19"/>
  <c r="K8" i="19"/>
  <c r="O8" i="19" s="1"/>
  <c r="J8" i="19"/>
  <c r="M8" i="19" s="1"/>
  <c r="G125" i="22"/>
  <c r="G124" i="22"/>
  <c r="G6" i="19"/>
  <c r="G5" i="19"/>
  <c r="G171" i="22"/>
  <c r="G169" i="22"/>
  <c r="G168" i="22"/>
  <c r="G167" i="22"/>
  <c r="G166" i="22"/>
  <c r="G165" i="22"/>
  <c r="G164" i="22"/>
  <c r="G162" i="22"/>
  <c r="G161" i="22"/>
  <c r="G158" i="22"/>
  <c r="G157" i="22"/>
  <c r="G155" i="22"/>
  <c r="G150" i="22"/>
  <c r="G149" i="22"/>
  <c r="G147" i="22"/>
  <c r="G146" i="22"/>
  <c r="G145" i="22"/>
  <c r="G144" i="22"/>
  <c r="G143" i="22"/>
  <c r="G142" i="22"/>
  <c r="G141" i="22"/>
  <c r="G140" i="22"/>
  <c r="G139" i="22"/>
  <c r="G138" i="22"/>
  <c r="G137" i="22"/>
  <c r="G136" i="22"/>
  <c r="G135" i="22"/>
  <c r="G134" i="22"/>
  <c r="G133" i="22"/>
  <c r="G132" i="22"/>
  <c r="G131" i="22"/>
  <c r="G130" i="22"/>
  <c r="G129" i="22"/>
  <c r="G128" i="22"/>
  <c r="G127" i="22"/>
  <c r="G126" i="22"/>
  <c r="P2" i="22"/>
  <c r="T10" i="21"/>
  <c r="R11" i="21"/>
  <c r="O11" i="21"/>
  <c r="K11" i="21"/>
  <c r="E11" i="21"/>
  <c r="K10" i="21"/>
  <c r="R10" i="21"/>
  <c r="O10" i="21"/>
  <c r="G10" i="21"/>
  <c r="E10" i="21"/>
  <c r="N27" i="21"/>
  <c r="J27" i="21"/>
  <c r="F27" i="21"/>
  <c r="D27" i="21"/>
  <c r="N25" i="21"/>
  <c r="J25" i="21"/>
  <c r="D25" i="21"/>
  <c r="T11" i="21"/>
  <c r="U12" i="21" s="1"/>
  <c r="G30" i="21"/>
  <c r="T9" i="21"/>
  <c r="V9" i="21" s="1"/>
  <c r="R9" i="21"/>
  <c r="O9" i="21"/>
  <c r="K9" i="21"/>
  <c r="G9" i="21"/>
  <c r="E9" i="21"/>
  <c r="T8" i="21"/>
  <c r="R8" i="21"/>
  <c r="O8" i="21"/>
  <c r="K8" i="21"/>
  <c r="G8" i="21"/>
  <c r="E8" i="21"/>
  <c r="T7" i="21"/>
  <c r="V7" i="21" s="1"/>
  <c r="R7" i="21"/>
  <c r="O7" i="21"/>
  <c r="K7" i="21"/>
  <c r="G7" i="21"/>
  <c r="E7" i="21"/>
  <c r="T6" i="21"/>
  <c r="R6" i="21"/>
  <c r="O6" i="21"/>
  <c r="K6" i="21"/>
  <c r="G6" i="21"/>
  <c r="E6" i="21"/>
  <c r="T5" i="21"/>
  <c r="V5" i="21" s="1"/>
  <c r="R5" i="21"/>
  <c r="K5" i="21"/>
  <c r="G5" i="21"/>
  <c r="E5" i="21"/>
  <c r="T4" i="21"/>
  <c r="R4" i="21"/>
  <c r="K4" i="21"/>
  <c r="G4" i="21"/>
  <c r="E4" i="21"/>
  <c r="T3" i="21"/>
  <c r="L44" i="19"/>
  <c r="K44" i="19"/>
  <c r="N44" i="19" s="1"/>
  <c r="J44" i="19"/>
  <c r="M44" i="19" s="1"/>
  <c r="L27" i="19"/>
  <c r="K27" i="19"/>
  <c r="N27" i="19" s="1"/>
  <c r="J27" i="19"/>
  <c r="M27" i="19" s="1"/>
  <c r="V10" i="21" l="1"/>
  <c r="V14" i="21"/>
  <c r="V13" i="21"/>
  <c r="V12" i="21"/>
  <c r="O44" i="19"/>
  <c r="V6" i="21"/>
  <c r="M124" i="22"/>
  <c r="J2" i="22"/>
  <c r="N124" i="22"/>
  <c r="K2" i="22"/>
  <c r="L2" i="22"/>
  <c r="N2" i="22"/>
  <c r="Q2" i="22" s="1"/>
  <c r="R2" i="22" s="1"/>
  <c r="O145" i="22"/>
  <c r="O142" i="22"/>
  <c r="O124" i="22"/>
  <c r="N138" i="22"/>
  <c r="N130" i="22"/>
  <c r="O126" i="22"/>
  <c r="V11" i="21"/>
  <c r="N34" i="19"/>
  <c r="O27" i="19"/>
  <c r="N8" i="19"/>
  <c r="U10" i="21"/>
  <c r="U11" i="21"/>
  <c r="G25" i="21"/>
  <c r="U7" i="21"/>
  <c r="K30" i="21"/>
  <c r="E30" i="21"/>
  <c r="O30" i="21"/>
  <c r="R30" i="21"/>
  <c r="V4" i="21"/>
  <c r="V8" i="21"/>
  <c r="U5" i="21"/>
  <c r="U4" i="21"/>
  <c r="U8" i="21"/>
  <c r="U6" i="21"/>
  <c r="U9" i="21"/>
  <c r="O2" i="22" l="1"/>
  <c r="U30" i="21"/>
  <c r="G8" i="19" l="1"/>
  <c r="G7" i="19"/>
  <c r="L266" i="19"/>
  <c r="K266" i="19"/>
  <c r="O266" i="19" s="1"/>
  <c r="J266" i="19"/>
  <c r="M266" i="19" s="1"/>
  <c r="G265" i="19"/>
  <c r="L12" i="19"/>
  <c r="K12" i="19"/>
  <c r="O12" i="19" s="1"/>
  <c r="J12" i="19"/>
  <c r="M12" i="19" s="1"/>
  <c r="L17" i="19"/>
  <c r="K17" i="19"/>
  <c r="O17" i="19" s="1"/>
  <c r="J17" i="19"/>
  <c r="M17" i="19" s="1"/>
  <c r="G9" i="19"/>
  <c r="I38" i="3"/>
  <c r="H38" i="3"/>
  <c r="J38" i="3"/>
  <c r="L81" i="19"/>
  <c r="K81" i="19"/>
  <c r="N81" i="19" s="1"/>
  <c r="J81" i="19"/>
  <c r="M81" i="19" s="1"/>
  <c r="G11" i="19"/>
  <c r="G10" i="19"/>
  <c r="L75" i="19"/>
  <c r="K75" i="19"/>
  <c r="N75" i="19" s="1"/>
  <c r="J75" i="19"/>
  <c r="M75" i="19" s="1"/>
  <c r="N266" i="19" l="1"/>
  <c r="N17" i="19"/>
  <c r="O75" i="19"/>
  <c r="N12" i="19"/>
  <c r="O81" i="19"/>
  <c r="G13" i="19"/>
  <c r="G12" i="19"/>
  <c r="L30" i="19"/>
  <c r="K30" i="19"/>
  <c r="O30" i="19" s="1"/>
  <c r="J30" i="19"/>
  <c r="M30" i="19" s="1"/>
  <c r="L92" i="19"/>
  <c r="K92" i="19"/>
  <c r="N92" i="19" s="1"/>
  <c r="J92" i="19"/>
  <c r="M92" i="19" s="1"/>
  <c r="L14" i="19"/>
  <c r="K14" i="19"/>
  <c r="N14" i="19" s="1"/>
  <c r="J14" i="19"/>
  <c r="M14" i="19" s="1"/>
  <c r="L19" i="19"/>
  <c r="K19" i="19"/>
  <c r="O19" i="19" s="1"/>
  <c r="J19" i="19"/>
  <c r="M19" i="19" s="1"/>
  <c r="G18" i="19"/>
  <c r="G17" i="19"/>
  <c r="G16" i="19"/>
  <c r="G15" i="19"/>
  <c r="G14" i="19"/>
  <c r="I7" i="3"/>
  <c r="H7" i="3"/>
  <c r="J7" i="3"/>
  <c r="L214" i="19"/>
  <c r="K214" i="19"/>
  <c r="O214" i="19" s="1"/>
  <c r="J214" i="19"/>
  <c r="M214" i="19" s="1"/>
  <c r="G213" i="19"/>
  <c r="L57" i="19"/>
  <c r="K57" i="19"/>
  <c r="O57" i="19" s="1"/>
  <c r="J57" i="19"/>
  <c r="M57" i="19" s="1"/>
  <c r="L24" i="19"/>
  <c r="K24" i="19"/>
  <c r="O24" i="19" s="1"/>
  <c r="J24" i="19"/>
  <c r="M24" i="19" s="1"/>
  <c r="L38" i="19"/>
  <c r="K38" i="19"/>
  <c r="O38" i="19" s="1"/>
  <c r="J38" i="19"/>
  <c r="M38" i="19" s="1"/>
  <c r="G19" i="19"/>
  <c r="L227" i="19"/>
  <c r="K227" i="19"/>
  <c r="N227" i="19" s="1"/>
  <c r="J227" i="19"/>
  <c r="M227" i="19" s="1"/>
  <c r="L40" i="19"/>
  <c r="K40" i="19"/>
  <c r="N40" i="19" s="1"/>
  <c r="J40" i="19"/>
  <c r="M40" i="19" s="1"/>
  <c r="L80" i="19"/>
  <c r="K80" i="19"/>
  <c r="N80" i="19" s="1"/>
  <c r="J80" i="19"/>
  <c r="M80" i="19" s="1"/>
  <c r="G21" i="19"/>
  <c r="G20" i="19"/>
  <c r="I6" i="3"/>
  <c r="H6" i="3"/>
  <c r="J6" i="3"/>
  <c r="L45" i="19"/>
  <c r="K45" i="19"/>
  <c r="O45" i="19" s="1"/>
  <c r="J45" i="19"/>
  <c r="M45" i="19" s="1"/>
  <c r="G44" i="19"/>
  <c r="L97" i="19"/>
  <c r="K97" i="19"/>
  <c r="N97" i="19" s="1"/>
  <c r="J97" i="19"/>
  <c r="M97" i="19" s="1"/>
  <c r="L23" i="19"/>
  <c r="K23" i="19"/>
  <c r="N23" i="19" s="1"/>
  <c r="J23" i="19"/>
  <c r="M23" i="19" s="1"/>
  <c r="G23" i="19"/>
  <c r="G22" i="19"/>
  <c r="L33" i="19"/>
  <c r="K33" i="19"/>
  <c r="O33" i="19" s="1"/>
  <c r="J33" i="19"/>
  <c r="M33" i="19" s="1"/>
  <c r="N30" i="19" l="1"/>
  <c r="O92" i="19"/>
  <c r="O14" i="19"/>
  <c r="N19" i="19"/>
  <c r="N38" i="19"/>
  <c r="N214" i="19"/>
  <c r="N24" i="19"/>
  <c r="N45" i="19"/>
  <c r="O97" i="19"/>
  <c r="N57" i="19"/>
  <c r="O80" i="19"/>
  <c r="O40" i="19"/>
  <c r="O227" i="19"/>
  <c r="O23" i="19"/>
  <c r="N33" i="19"/>
  <c r="G25" i="19"/>
  <c r="G24" i="19"/>
  <c r="L36" i="19"/>
  <c r="K36" i="19"/>
  <c r="O36" i="19" s="1"/>
  <c r="J36" i="19"/>
  <c r="M36" i="19" s="1"/>
  <c r="L28" i="19"/>
  <c r="K28" i="19"/>
  <c r="N28" i="19" s="1"/>
  <c r="J28" i="19"/>
  <c r="M28" i="19" s="1"/>
  <c r="L41" i="19"/>
  <c r="K41" i="19"/>
  <c r="N41" i="19" s="1"/>
  <c r="J41" i="19"/>
  <c r="M41" i="19" s="1"/>
  <c r="G27" i="19"/>
  <c r="G26" i="19"/>
  <c r="L117" i="19"/>
  <c r="K117" i="19"/>
  <c r="N117" i="19" s="1"/>
  <c r="J117" i="19"/>
  <c r="M117" i="19" s="1"/>
  <c r="G117" i="19"/>
  <c r="L253" i="19"/>
  <c r="K253" i="19"/>
  <c r="O253" i="19" s="1"/>
  <c r="J253" i="19"/>
  <c r="M253" i="19" s="1"/>
  <c r="L231" i="19"/>
  <c r="K231" i="19"/>
  <c r="N231" i="19" s="1"/>
  <c r="J231" i="19"/>
  <c r="M231" i="19" s="1"/>
  <c r="L55" i="19"/>
  <c r="K55" i="19"/>
  <c r="N55" i="19" s="1"/>
  <c r="J55" i="19"/>
  <c r="M55" i="19" s="1"/>
  <c r="G55" i="19"/>
  <c r="O28" i="19" l="1"/>
  <c r="N36" i="19"/>
  <c r="O117" i="19"/>
  <c r="O41" i="19"/>
  <c r="N253" i="19"/>
  <c r="O55" i="19"/>
  <c r="O231" i="19"/>
  <c r="R26" i="17"/>
  <c r="R24" i="17"/>
  <c r="Q26" i="17"/>
  <c r="Q24" i="17"/>
  <c r="E27" i="17"/>
  <c r="C26" i="17"/>
  <c r="C24" i="17"/>
  <c r="G16" i="2"/>
  <c r="G15" i="2"/>
  <c r="G14" i="2"/>
  <c r="F16" i="2"/>
  <c r="F15" i="2"/>
  <c r="F14" i="2"/>
  <c r="G29" i="19"/>
  <c r="G28" i="19"/>
  <c r="T21" i="17"/>
  <c r="R21" i="17"/>
  <c r="O21" i="17"/>
  <c r="K21" i="17"/>
  <c r="G21" i="17"/>
  <c r="E21" i="17"/>
  <c r="H14" i="2" l="1"/>
  <c r="I15" i="2"/>
  <c r="I16" i="2"/>
  <c r="I14" i="2"/>
  <c r="H15" i="2"/>
  <c r="H16" i="2"/>
  <c r="I37" i="3"/>
  <c r="H37" i="3"/>
  <c r="J37" i="3"/>
  <c r="L39" i="19"/>
  <c r="K39" i="19"/>
  <c r="O39" i="19" s="1"/>
  <c r="J39" i="19"/>
  <c r="M39" i="19" s="1"/>
  <c r="H36" i="3"/>
  <c r="I36" i="3"/>
  <c r="J36" i="3"/>
  <c r="G31" i="19"/>
  <c r="G30" i="19"/>
  <c r="L66" i="19"/>
  <c r="K66" i="19"/>
  <c r="N66" i="19" s="1"/>
  <c r="J66" i="19"/>
  <c r="M66" i="19" s="1"/>
  <c r="L35" i="19"/>
  <c r="K35" i="19"/>
  <c r="O35" i="19" s="1"/>
  <c r="J35" i="19"/>
  <c r="M35" i="19" s="1"/>
  <c r="I5" i="3"/>
  <c r="H5" i="3"/>
  <c r="J5" i="3"/>
  <c r="G32" i="19"/>
  <c r="G34" i="19"/>
  <c r="G33" i="19"/>
  <c r="L52" i="19"/>
  <c r="K52" i="19"/>
  <c r="N52" i="19" s="1"/>
  <c r="J52" i="19"/>
  <c r="M52" i="19" s="1"/>
  <c r="L49" i="19"/>
  <c r="K49" i="19"/>
  <c r="N49" i="19" s="1"/>
  <c r="J49" i="19"/>
  <c r="M49" i="19" s="1"/>
  <c r="G35" i="19"/>
  <c r="E20" i="17"/>
  <c r="L116" i="19"/>
  <c r="K116" i="19"/>
  <c r="N116" i="19" s="1"/>
  <c r="J116" i="19"/>
  <c r="M116" i="19" s="1"/>
  <c r="L122" i="19"/>
  <c r="K122" i="19"/>
  <c r="O122" i="19" s="1"/>
  <c r="J122" i="19"/>
  <c r="M122" i="19" s="1"/>
  <c r="L69" i="19"/>
  <c r="K69" i="19"/>
  <c r="O69" i="19" s="1"/>
  <c r="J69" i="19"/>
  <c r="M69" i="19" s="1"/>
  <c r="L77" i="19"/>
  <c r="K77" i="19"/>
  <c r="O77" i="19" s="1"/>
  <c r="J77" i="19"/>
  <c r="M77" i="19" s="1"/>
  <c r="G13" i="2"/>
  <c r="F13" i="2"/>
  <c r="T20" i="17"/>
  <c r="R20" i="17"/>
  <c r="O20" i="17"/>
  <c r="K20" i="17"/>
  <c r="G20" i="17"/>
  <c r="G38" i="19"/>
  <c r="G37" i="19"/>
  <c r="G36" i="19"/>
  <c r="G40" i="19"/>
  <c r="G39" i="19"/>
  <c r="L74" i="19"/>
  <c r="K74" i="19"/>
  <c r="N74" i="19" s="1"/>
  <c r="J74" i="19"/>
  <c r="M74" i="19" s="1"/>
  <c r="L99" i="19"/>
  <c r="K99" i="19"/>
  <c r="O99" i="19" s="1"/>
  <c r="J99" i="19"/>
  <c r="M99" i="19" s="1"/>
  <c r="L46" i="19"/>
  <c r="K46" i="19"/>
  <c r="O46" i="19" s="1"/>
  <c r="J46" i="19"/>
  <c r="M46" i="19" s="1"/>
  <c r="L67" i="19"/>
  <c r="K67" i="19"/>
  <c r="O67" i="19" s="1"/>
  <c r="J67" i="19"/>
  <c r="M67" i="19" s="1"/>
  <c r="L42" i="19"/>
  <c r="K42" i="19"/>
  <c r="O42" i="19" s="1"/>
  <c r="J42" i="19"/>
  <c r="M42" i="19" s="1"/>
  <c r="G42" i="19"/>
  <c r="G41" i="19"/>
  <c r="L43" i="19"/>
  <c r="K43" i="19"/>
  <c r="O43" i="19" s="1"/>
  <c r="J43" i="19"/>
  <c r="M43" i="19" s="1"/>
  <c r="L54" i="19"/>
  <c r="K54" i="19"/>
  <c r="O54" i="19" s="1"/>
  <c r="J54" i="19"/>
  <c r="M54" i="19" s="1"/>
  <c r="G45" i="19"/>
  <c r="G43" i="19"/>
  <c r="L47" i="19"/>
  <c r="K47" i="19"/>
  <c r="N47" i="19" s="1"/>
  <c r="J47" i="19"/>
  <c r="M47" i="19" s="1"/>
  <c r="L58" i="19"/>
  <c r="K58" i="19"/>
  <c r="O58" i="19" s="1"/>
  <c r="J58" i="19"/>
  <c r="M58" i="19" s="1"/>
  <c r="N39" i="19" l="1"/>
  <c r="U21" i="17"/>
  <c r="O66" i="19"/>
  <c r="N35" i="19"/>
  <c r="O52" i="19"/>
  <c r="N122" i="19"/>
  <c r="O49" i="19"/>
  <c r="N69" i="19"/>
  <c r="O116" i="19"/>
  <c r="N77" i="19"/>
  <c r="I13" i="2"/>
  <c r="H13" i="2"/>
  <c r="N46" i="19"/>
  <c r="O74" i="19"/>
  <c r="N67" i="19"/>
  <c r="N99" i="19"/>
  <c r="N42" i="19"/>
  <c r="O47" i="19"/>
  <c r="N54" i="19"/>
  <c r="N43" i="19"/>
  <c r="N58" i="19"/>
  <c r="L48" i="19"/>
  <c r="K48" i="19"/>
  <c r="O48" i="19" s="1"/>
  <c r="J48" i="19"/>
  <c r="M48" i="19" s="1"/>
  <c r="G48" i="19"/>
  <c r="G47" i="19"/>
  <c r="G46" i="19"/>
  <c r="N48" i="19" l="1"/>
  <c r="L50" i="19" l="1"/>
  <c r="K50" i="19"/>
  <c r="O50" i="19" s="1"/>
  <c r="J50" i="19"/>
  <c r="M50" i="19" s="1"/>
  <c r="L53" i="19"/>
  <c r="K53" i="19"/>
  <c r="O53" i="19" s="1"/>
  <c r="J53" i="19"/>
  <c r="M53" i="19" s="1"/>
  <c r="N53" i="19" l="1"/>
  <c r="N50" i="19"/>
  <c r="G50" i="19" l="1"/>
  <c r="G49" i="19"/>
  <c r="L51" i="19"/>
  <c r="K51" i="19"/>
  <c r="O51" i="19" s="1"/>
  <c r="J51" i="19"/>
  <c r="M51" i="19" s="1"/>
  <c r="L63" i="19"/>
  <c r="K63" i="19"/>
  <c r="N63" i="19" s="1"/>
  <c r="J63" i="19"/>
  <c r="M63" i="19" s="1"/>
  <c r="G56" i="19"/>
  <c r="G54" i="19"/>
  <c r="G53" i="19"/>
  <c r="G52" i="19"/>
  <c r="G51" i="19"/>
  <c r="L59" i="19"/>
  <c r="K59" i="19"/>
  <c r="N59" i="19" s="1"/>
  <c r="J59" i="19"/>
  <c r="M59" i="19" s="1"/>
  <c r="L84" i="19"/>
  <c r="K84" i="19"/>
  <c r="N84" i="19" s="1"/>
  <c r="J84" i="19"/>
  <c r="M84" i="19" s="1"/>
  <c r="L249" i="19"/>
  <c r="K249" i="19"/>
  <c r="N249" i="19" s="1"/>
  <c r="J249" i="19"/>
  <c r="M249" i="19" s="1"/>
  <c r="L62" i="19"/>
  <c r="K62" i="19"/>
  <c r="O62" i="19" s="1"/>
  <c r="J62" i="19"/>
  <c r="M62" i="19" s="1"/>
  <c r="L203" i="19"/>
  <c r="K203" i="19"/>
  <c r="O203" i="19" s="1"/>
  <c r="J203" i="19"/>
  <c r="M203" i="19" s="1"/>
  <c r="G58" i="19"/>
  <c r="G57" i="19"/>
  <c r="L60" i="19"/>
  <c r="K60" i="19"/>
  <c r="N60" i="19" s="1"/>
  <c r="J60" i="19"/>
  <c r="M60" i="19" s="1"/>
  <c r="G62" i="19"/>
  <c r="G61" i="19"/>
  <c r="G60" i="19"/>
  <c r="G59" i="19"/>
  <c r="L246" i="19"/>
  <c r="K246" i="19"/>
  <c r="O246" i="19" s="1"/>
  <c r="J246" i="19"/>
  <c r="M246" i="19" s="1"/>
  <c r="L119" i="19"/>
  <c r="K119" i="19"/>
  <c r="O119" i="19" s="1"/>
  <c r="J119" i="19"/>
  <c r="M119" i="19" s="1"/>
  <c r="L138" i="19"/>
  <c r="K138" i="19"/>
  <c r="O138" i="19" s="1"/>
  <c r="J138" i="19"/>
  <c r="M138" i="19" s="1"/>
  <c r="L96" i="19"/>
  <c r="K96" i="19"/>
  <c r="O96" i="19" s="1"/>
  <c r="J96" i="19"/>
  <c r="M96" i="19" s="1"/>
  <c r="L65" i="19"/>
  <c r="K65" i="19"/>
  <c r="O65" i="19" s="1"/>
  <c r="J65" i="19"/>
  <c r="M65" i="19" s="1"/>
  <c r="J35" i="3"/>
  <c r="I35" i="3"/>
  <c r="H35" i="3"/>
  <c r="O63" i="19" l="1"/>
  <c r="N51" i="19"/>
  <c r="O59" i="19"/>
  <c r="O84" i="19"/>
  <c r="O249" i="19"/>
  <c r="N62" i="19"/>
  <c r="N203" i="19"/>
  <c r="N119" i="19"/>
  <c r="N96" i="19"/>
  <c r="O60" i="19"/>
  <c r="N246" i="19"/>
  <c r="N138" i="19"/>
  <c r="N65" i="19"/>
  <c r="G63" i="19"/>
  <c r="N475" i="8"/>
  <c r="M475" i="8"/>
  <c r="J34" i="3"/>
  <c r="I34" i="3"/>
  <c r="H34" i="3"/>
  <c r="J33" i="3"/>
  <c r="I33" i="3"/>
  <c r="H33" i="3"/>
  <c r="J32" i="3"/>
  <c r="I32" i="3"/>
  <c r="H32" i="3"/>
  <c r="J31" i="3"/>
  <c r="I31" i="3"/>
  <c r="H31" i="3"/>
  <c r="J30" i="3"/>
  <c r="I30" i="3"/>
  <c r="H30" i="3"/>
  <c r="J29" i="3"/>
  <c r="I29" i="3"/>
  <c r="H29" i="3"/>
  <c r="J28" i="3"/>
  <c r="I28" i="3"/>
  <c r="H28" i="3"/>
  <c r="G66" i="19"/>
  <c r="G65" i="19"/>
  <c r="G64" i="19"/>
  <c r="L73" i="19"/>
  <c r="K73" i="19"/>
  <c r="O73" i="19" s="1"/>
  <c r="J73" i="19"/>
  <c r="M73" i="19" s="1"/>
  <c r="L76" i="19"/>
  <c r="K76" i="19"/>
  <c r="O76" i="19" s="1"/>
  <c r="J76" i="19"/>
  <c r="M76" i="19" s="1"/>
  <c r="L268" i="19"/>
  <c r="K268" i="19"/>
  <c r="O268" i="19" s="1"/>
  <c r="J268" i="19"/>
  <c r="M268" i="19" s="1"/>
  <c r="L115" i="19"/>
  <c r="K115" i="19"/>
  <c r="O115" i="19" s="1"/>
  <c r="J115" i="19"/>
  <c r="M115" i="19" s="1"/>
  <c r="L68" i="19"/>
  <c r="K68" i="19"/>
  <c r="O68" i="19" s="1"/>
  <c r="J68" i="19"/>
  <c r="M68" i="19" s="1"/>
  <c r="L78" i="19"/>
  <c r="K78" i="19"/>
  <c r="N78" i="19" s="1"/>
  <c r="J78" i="19"/>
  <c r="M78" i="19" s="1"/>
  <c r="L71" i="19"/>
  <c r="K71" i="19"/>
  <c r="O71" i="19" s="1"/>
  <c r="J71" i="19"/>
  <c r="M71" i="19" s="1"/>
  <c r="T19" i="17"/>
  <c r="R19" i="17"/>
  <c r="O19" i="17"/>
  <c r="K19" i="17"/>
  <c r="G19" i="17"/>
  <c r="E19" i="17"/>
  <c r="M3" i="8"/>
  <c r="M4" i="8"/>
  <c r="M5" i="8"/>
  <c r="M6" i="8"/>
  <c r="M7" i="8"/>
  <c r="M8" i="8"/>
  <c r="M10" i="8"/>
  <c r="M11" i="8"/>
  <c r="M12" i="8"/>
  <c r="M13" i="8"/>
  <c r="M14" i="8"/>
  <c r="M15" i="8"/>
  <c r="M17" i="8"/>
  <c r="M20" i="8"/>
  <c r="M21" i="8"/>
  <c r="M22" i="8"/>
  <c r="M25" i="8"/>
  <c r="M26" i="8"/>
  <c r="M27" i="8"/>
  <c r="M28" i="8"/>
  <c r="M29" i="8"/>
  <c r="M349" i="8"/>
  <c r="M473" i="8"/>
  <c r="M32" i="8"/>
  <c r="M42" i="8"/>
  <c r="M45" i="8"/>
  <c r="M46" i="8"/>
  <c r="M470" i="8"/>
  <c r="M47" i="8"/>
  <c r="M48" i="8"/>
  <c r="M153" i="8"/>
  <c r="M49" i="8"/>
  <c r="M50" i="8"/>
  <c r="M51" i="8"/>
  <c r="M52" i="8"/>
  <c r="M53" i="8"/>
  <c r="M54" i="8"/>
  <c r="M156" i="8"/>
  <c r="M55" i="8"/>
  <c r="M56" i="8"/>
  <c r="M138" i="8"/>
  <c r="M445" i="8"/>
  <c r="M57" i="8"/>
  <c r="M58" i="8"/>
  <c r="M59" i="8"/>
  <c r="M159" i="8"/>
  <c r="M36" i="8"/>
  <c r="M60" i="8"/>
  <c r="M61" i="8"/>
  <c r="M457" i="8"/>
  <c r="M62" i="8"/>
  <c r="M63" i="8"/>
  <c r="M64" i="8"/>
  <c r="M65" i="8"/>
  <c r="M66" i="8"/>
  <c r="M154" i="8"/>
  <c r="M120" i="8"/>
  <c r="M67" i="8"/>
  <c r="M68" i="8"/>
  <c r="M126" i="8"/>
  <c r="M69" i="8"/>
  <c r="M70" i="8"/>
  <c r="M71" i="8"/>
  <c r="M72" i="8"/>
  <c r="M73" i="8"/>
  <c r="M74" i="8"/>
  <c r="M75" i="8"/>
  <c r="M76" i="8"/>
  <c r="M469" i="8"/>
  <c r="M77" i="8"/>
  <c r="M451" i="8"/>
  <c r="M78" i="8"/>
  <c r="M79" i="8"/>
  <c r="M80" i="8"/>
  <c r="M81" i="8"/>
  <c r="M145" i="8"/>
  <c r="M82" i="8"/>
  <c r="M466" i="8"/>
  <c r="M83" i="8"/>
  <c r="M91" i="8"/>
  <c r="M92" i="8"/>
  <c r="M93" i="8"/>
  <c r="M94" i="8"/>
  <c r="M95" i="8"/>
  <c r="M96" i="8"/>
  <c r="M98" i="8"/>
  <c r="M99" i="8"/>
  <c r="M100" i="8"/>
  <c r="M157" i="8"/>
  <c r="M101" i="8"/>
  <c r="M102" i="8"/>
  <c r="M103" i="8"/>
  <c r="M104" i="8"/>
  <c r="M105" i="8"/>
  <c r="M158" i="8"/>
  <c r="M106" i="8"/>
  <c r="M463" i="8"/>
  <c r="M165" i="8"/>
  <c r="M166" i="8"/>
  <c r="M167" i="8"/>
  <c r="M168" i="8"/>
  <c r="M169" i="8"/>
  <c r="M170" i="8"/>
  <c r="M446" i="8"/>
  <c r="M171" i="8"/>
  <c r="M172" i="8"/>
  <c r="M173" i="8"/>
  <c r="M174" i="8"/>
  <c r="M175" i="8"/>
  <c r="M176" i="8"/>
  <c r="M177" i="8"/>
  <c r="M178" i="8"/>
  <c r="M179" i="8"/>
  <c r="M180" i="8"/>
  <c r="M181" i="8"/>
  <c r="M182" i="8"/>
  <c r="M183" i="8"/>
  <c r="M115" i="8"/>
  <c r="M453" i="8"/>
  <c r="M134" i="8"/>
  <c r="M184" i="8"/>
  <c r="M186" i="8"/>
  <c r="M187" i="8"/>
  <c r="M188" i="8"/>
  <c r="M189" i="8"/>
  <c r="M190" i="8"/>
  <c r="M191" i="8"/>
  <c r="M192" i="8"/>
  <c r="M193" i="8"/>
  <c r="M194" i="8"/>
  <c r="M195" i="8"/>
  <c r="M196" i="8"/>
  <c r="M197" i="8"/>
  <c r="M198" i="8"/>
  <c r="M199" i="8"/>
  <c r="M200" i="8"/>
  <c r="M201" i="8"/>
  <c r="M202" i="8"/>
  <c r="M203" i="8"/>
  <c r="M204" i="8"/>
  <c r="M205" i="8"/>
  <c r="M206" i="8"/>
  <c r="M207" i="8"/>
  <c r="M209" i="8"/>
  <c r="M210" i="8"/>
  <c r="M149" i="8"/>
  <c r="M211" i="8"/>
  <c r="M212" i="8"/>
  <c r="M213" i="8"/>
  <c r="M214" i="8"/>
  <c r="M215" i="8"/>
  <c r="M216" i="8"/>
  <c r="M217" i="8"/>
  <c r="M218" i="8"/>
  <c r="M219" i="8"/>
  <c r="M220" i="8"/>
  <c r="M221" i="8"/>
  <c r="M222" i="8"/>
  <c r="M223" i="8"/>
  <c r="M224" i="8"/>
  <c r="M225" i="8"/>
  <c r="M226" i="8"/>
  <c r="M227" i="8"/>
  <c r="M228" i="8"/>
  <c r="M229" i="8"/>
  <c r="M230" i="8"/>
  <c r="M231" i="8"/>
  <c r="M232" i="8"/>
  <c r="M234" i="8"/>
  <c r="M235" i="8"/>
  <c r="M236" i="8"/>
  <c r="M237" i="8"/>
  <c r="M238" i="8"/>
  <c r="M239" i="8"/>
  <c r="M240" i="8"/>
  <c r="M241" i="8"/>
  <c r="M242" i="8"/>
  <c r="M243" i="8"/>
  <c r="M244" i="8"/>
  <c r="M246" i="8"/>
  <c r="M247" i="8"/>
  <c r="M248" i="8"/>
  <c r="M249" i="8"/>
  <c r="M250" i="8"/>
  <c r="M251" i="8"/>
  <c r="M132" i="8"/>
  <c r="M252" i="8"/>
  <c r="M131" i="8"/>
  <c r="M253" i="8"/>
  <c r="M254" i="8"/>
  <c r="M255" i="8"/>
  <c r="M256" i="8"/>
  <c r="M257" i="8"/>
  <c r="M258" i="8"/>
  <c r="M259" i="8"/>
  <c r="M261" i="8"/>
  <c r="M262" i="8"/>
  <c r="M263" i="8"/>
  <c r="M264" i="8"/>
  <c r="M265" i="8"/>
  <c r="M266" i="8"/>
  <c r="M450" i="8"/>
  <c r="M267" i="8"/>
  <c r="M268" i="8"/>
  <c r="M269" i="8"/>
  <c r="M270" i="8"/>
  <c r="M271" i="8"/>
  <c r="M272" i="8"/>
  <c r="M273" i="8"/>
  <c r="M274" i="8"/>
  <c r="M276" i="8"/>
  <c r="M277" i="8"/>
  <c r="M278" i="8"/>
  <c r="M279" i="8"/>
  <c r="M280" i="8"/>
  <c r="M281" i="8"/>
  <c r="M282" i="8"/>
  <c r="M283" i="8"/>
  <c r="M284" i="8"/>
  <c r="M285" i="8"/>
  <c r="M286" i="8"/>
  <c r="M287" i="8"/>
  <c r="M464" i="8"/>
  <c r="M289" i="8"/>
  <c r="M290" i="8"/>
  <c r="M291" i="8"/>
  <c r="M292" i="8"/>
  <c r="M293" i="8"/>
  <c r="M294" i="8"/>
  <c r="M295" i="8"/>
  <c r="M296" i="8"/>
  <c r="M297" i="8"/>
  <c r="M298" i="8"/>
  <c r="M299" i="8"/>
  <c r="M300" i="8"/>
  <c r="M303" i="8"/>
  <c r="M304" i="8"/>
  <c r="M305" i="8"/>
  <c r="M307" i="8"/>
  <c r="M308" i="8"/>
  <c r="M309" i="8"/>
  <c r="M310" i="8"/>
  <c r="M312" i="8"/>
  <c r="M119" i="8"/>
  <c r="M313" i="8"/>
  <c r="M314" i="8"/>
  <c r="M315" i="8"/>
  <c r="M316" i="8"/>
  <c r="M317" i="8"/>
  <c r="M318" i="8"/>
  <c r="M319" i="8"/>
  <c r="M320" i="8"/>
  <c r="M321" i="8"/>
  <c r="M322" i="8"/>
  <c r="M323" i="8"/>
  <c r="M455" i="8"/>
  <c r="M324" i="8"/>
  <c r="M325" i="8"/>
  <c r="M326" i="8"/>
  <c r="M327" i="8"/>
  <c r="M121" i="8"/>
  <c r="M329" i="8"/>
  <c r="M330" i="8"/>
  <c r="M332" i="8"/>
  <c r="M333" i="8"/>
  <c r="M334" i="8"/>
  <c r="M335" i="8"/>
  <c r="M336" i="8"/>
  <c r="M337" i="8"/>
  <c r="M338" i="8"/>
  <c r="M339" i="8"/>
  <c r="M448" i="8"/>
  <c r="M340" i="8"/>
  <c r="M341" i="8"/>
  <c r="M110" i="8"/>
  <c r="M342" i="8"/>
  <c r="M344" i="8"/>
  <c r="M447" i="8"/>
  <c r="M345" i="8"/>
  <c r="M108" i="8"/>
  <c r="M346" i="8"/>
  <c r="M350" i="8"/>
  <c r="M351" i="8"/>
  <c r="M352" i="8"/>
  <c r="M353" i="8"/>
  <c r="M355" i="8"/>
  <c r="M356" i="8"/>
  <c r="M357" i="8"/>
  <c r="M359" i="8"/>
  <c r="M360" i="8"/>
  <c r="M361" i="8"/>
  <c r="M362" i="8"/>
  <c r="M363" i="8"/>
  <c r="M364" i="8"/>
  <c r="M365" i="8"/>
  <c r="M367" i="8"/>
  <c r="M368" i="8"/>
  <c r="M369" i="8"/>
  <c r="M372" i="8"/>
  <c r="M373" i="8"/>
  <c r="M374" i="8"/>
  <c r="M375" i="8"/>
  <c r="M376" i="8"/>
  <c r="M377" i="8"/>
  <c r="M23" i="8"/>
  <c r="M378" i="8"/>
  <c r="M379" i="8"/>
  <c r="M380" i="8"/>
  <c r="M137" i="8"/>
  <c r="M384" i="8"/>
  <c r="M385" i="8"/>
  <c r="M387" i="8"/>
  <c r="M388" i="8"/>
  <c r="M389" i="8"/>
  <c r="M390" i="8"/>
  <c r="M391" i="8"/>
  <c r="M393" i="8"/>
  <c r="M114" i="8"/>
  <c r="M394" i="8"/>
  <c r="M395" i="8"/>
  <c r="M396" i="8"/>
  <c r="M397" i="8"/>
  <c r="M398" i="8"/>
  <c r="M399" i="8"/>
  <c r="M400" i="8"/>
  <c r="M402" i="8"/>
  <c r="M403" i="8"/>
  <c r="M404" i="8"/>
  <c r="M405" i="8"/>
  <c r="M406" i="8"/>
  <c r="M407" i="8"/>
  <c r="M408" i="8"/>
  <c r="M410" i="8"/>
  <c r="M411" i="8"/>
  <c r="M412" i="8"/>
  <c r="M413" i="8"/>
  <c r="M414" i="8"/>
  <c r="M415" i="8"/>
  <c r="M416" i="8"/>
  <c r="M417" i="8"/>
  <c r="M418" i="8"/>
  <c r="M419" i="8"/>
  <c r="M421" i="8"/>
  <c r="M422" i="8"/>
  <c r="M423" i="8"/>
  <c r="M424" i="8"/>
  <c r="M471" i="8"/>
  <c r="M425" i="8"/>
  <c r="M427" i="8"/>
  <c r="M428" i="8"/>
  <c r="M127" i="8"/>
  <c r="M429" i="8"/>
  <c r="M430" i="8"/>
  <c r="M431" i="8"/>
  <c r="M432" i="8"/>
  <c r="M433" i="8"/>
  <c r="M434" i="8"/>
  <c r="M435" i="8"/>
  <c r="M436" i="8"/>
  <c r="M437" i="8"/>
  <c r="M438" i="8"/>
  <c r="M439" i="8"/>
  <c r="M441" i="8"/>
  <c r="M442" i="8"/>
  <c r="M443" i="8"/>
  <c r="M38" i="8"/>
  <c r="M163" i="8"/>
  <c r="M37" i="8"/>
  <c r="M33" i="8"/>
  <c r="M34" i="8"/>
  <c r="M465" i="8"/>
  <c r="M107" i="8"/>
  <c r="M474" i="8"/>
  <c r="M456" i="8"/>
  <c r="M452" i="8"/>
  <c r="M155" i="8"/>
  <c r="M129" i="8"/>
  <c r="M476" i="8"/>
  <c r="M477" i="8"/>
  <c r="M478" i="8"/>
  <c r="M479" i="8"/>
  <c r="M480" i="8"/>
  <c r="M460" i="8"/>
  <c r="M481" i="8"/>
  <c r="M124" i="8"/>
  <c r="M161" i="8"/>
  <c r="M111" i="8"/>
  <c r="M113" i="8"/>
  <c r="M141" i="8"/>
  <c r="M482" i="8"/>
  <c r="M483" i="8"/>
  <c r="M484" i="8"/>
  <c r="M116" i="8"/>
  <c r="M485" i="8"/>
  <c r="M472" i="8"/>
  <c r="M147" i="8"/>
  <c r="M128" i="8"/>
  <c r="M148" i="8"/>
  <c r="M39" i="8"/>
  <c r="M109" i="8"/>
  <c r="M486" i="8"/>
  <c r="M18" i="8"/>
  <c r="M133" i="8"/>
  <c r="M118" i="8"/>
  <c r="M487" i="8"/>
  <c r="M488" i="8"/>
  <c r="M140" i="8"/>
  <c r="M125" i="8"/>
  <c r="M454" i="8"/>
  <c r="M489" i="8"/>
  <c r="M142" i="8"/>
  <c r="M490" i="8"/>
  <c r="G67" i="19"/>
  <c r="L150" i="19"/>
  <c r="K150" i="19"/>
  <c r="O150" i="19" s="1"/>
  <c r="J150" i="19"/>
  <c r="M150" i="19" s="1"/>
  <c r="L72" i="19"/>
  <c r="K72" i="19"/>
  <c r="N72" i="19" s="1"/>
  <c r="J72" i="19"/>
  <c r="M72" i="19" s="1"/>
  <c r="G69" i="19"/>
  <c r="G68" i="19"/>
  <c r="L70" i="19"/>
  <c r="K70" i="19"/>
  <c r="O70" i="19" s="1"/>
  <c r="J70" i="19"/>
  <c r="M70" i="19" s="1"/>
  <c r="L88" i="19"/>
  <c r="K88" i="19"/>
  <c r="N88" i="19" s="1"/>
  <c r="J88" i="19"/>
  <c r="M88" i="19" s="1"/>
  <c r="G71" i="19"/>
  <c r="G70" i="19"/>
  <c r="L91" i="19"/>
  <c r="K91" i="19"/>
  <c r="O91" i="19" s="1"/>
  <c r="J91" i="19"/>
  <c r="M91" i="19" s="1"/>
  <c r="L121" i="19"/>
  <c r="K121" i="19"/>
  <c r="N121" i="19" s="1"/>
  <c r="J121" i="19"/>
  <c r="M121" i="19" s="1"/>
  <c r="G73" i="19"/>
  <c r="G72" i="19"/>
  <c r="L94" i="19"/>
  <c r="K94" i="19"/>
  <c r="O94" i="19" s="1"/>
  <c r="J94" i="19"/>
  <c r="M94" i="19" s="1"/>
  <c r="L79" i="19"/>
  <c r="K79" i="19"/>
  <c r="N79" i="19" s="1"/>
  <c r="J79" i="19"/>
  <c r="M79" i="19" s="1"/>
  <c r="G76" i="19"/>
  <c r="G75" i="19"/>
  <c r="G74" i="19"/>
  <c r="L87" i="19"/>
  <c r="K87" i="19"/>
  <c r="O87" i="19" s="1"/>
  <c r="J87" i="19"/>
  <c r="M87" i="19" s="1"/>
  <c r="L82" i="19"/>
  <c r="K82" i="19"/>
  <c r="N82" i="19" s="1"/>
  <c r="J82" i="19"/>
  <c r="M82" i="19" s="1"/>
  <c r="G79" i="19"/>
  <c r="G78" i="19"/>
  <c r="G77" i="19"/>
  <c r="L114" i="19"/>
  <c r="K114" i="19"/>
  <c r="O114" i="19" s="1"/>
  <c r="J114" i="19"/>
  <c r="M114" i="19" s="1"/>
  <c r="L93" i="19"/>
  <c r="K93" i="19"/>
  <c r="O93" i="19" s="1"/>
  <c r="J93" i="19"/>
  <c r="M93" i="19" s="1"/>
  <c r="L86" i="19"/>
  <c r="K86" i="19"/>
  <c r="N86" i="19" s="1"/>
  <c r="J86" i="19"/>
  <c r="M86" i="19" s="1"/>
  <c r="L85" i="19"/>
  <c r="K85" i="19"/>
  <c r="O85" i="19" s="1"/>
  <c r="J85" i="19"/>
  <c r="M85" i="19" s="1"/>
  <c r="L232" i="19"/>
  <c r="K232" i="19"/>
  <c r="N232" i="19" s="1"/>
  <c r="J232" i="19"/>
  <c r="M232" i="19" s="1"/>
  <c r="G232" i="19"/>
  <c r="L90" i="19"/>
  <c r="K90" i="19"/>
  <c r="N90" i="19" s="1"/>
  <c r="J90" i="19"/>
  <c r="M90" i="19" s="1"/>
  <c r="L211" i="19"/>
  <c r="K211" i="19"/>
  <c r="N211" i="19" s="1"/>
  <c r="J211" i="19"/>
  <c r="M211" i="19" s="1"/>
  <c r="G83" i="19"/>
  <c r="G82" i="19"/>
  <c r="G81" i="19"/>
  <c r="G80" i="19"/>
  <c r="G105" i="19"/>
  <c r="L98" i="19"/>
  <c r="K98" i="19"/>
  <c r="N98" i="19" s="1"/>
  <c r="J98" i="19"/>
  <c r="M98" i="19" s="1"/>
  <c r="U20" i="17" l="1"/>
  <c r="N115" i="19"/>
  <c r="N76" i="19"/>
  <c r="N73" i="19"/>
  <c r="N268" i="19"/>
  <c r="N68" i="19"/>
  <c r="N71" i="19"/>
  <c r="N150" i="19"/>
  <c r="O78" i="19"/>
  <c r="N70" i="19"/>
  <c r="O72" i="19"/>
  <c r="O88" i="19"/>
  <c r="N91" i="19"/>
  <c r="O121" i="19"/>
  <c r="N94" i="19"/>
  <c r="O79" i="19"/>
  <c r="N87" i="19"/>
  <c r="N114" i="19"/>
  <c r="O82" i="19"/>
  <c r="O232" i="19"/>
  <c r="N93" i="19"/>
  <c r="N85" i="19"/>
  <c r="O90" i="19"/>
  <c r="O86" i="19"/>
  <c r="O211" i="19"/>
  <c r="O98" i="19"/>
  <c r="G86" i="19"/>
  <c r="G85" i="19"/>
  <c r="G84" i="19"/>
  <c r="L89" i="19"/>
  <c r="K89" i="19"/>
  <c r="O89" i="19" s="1"/>
  <c r="J89" i="19"/>
  <c r="M89" i="19" s="1"/>
  <c r="L154" i="19"/>
  <c r="K154" i="19"/>
  <c r="N154" i="19" s="1"/>
  <c r="J154" i="19"/>
  <c r="M154" i="19" s="1"/>
  <c r="G90" i="19"/>
  <c r="G89" i="19"/>
  <c r="G88" i="19"/>
  <c r="G87" i="19"/>
  <c r="L233" i="19"/>
  <c r="K233" i="19"/>
  <c r="N233" i="19" s="1"/>
  <c r="J233" i="19"/>
  <c r="M233" i="19" s="1"/>
  <c r="G231" i="19"/>
  <c r="L101" i="19"/>
  <c r="K101" i="19"/>
  <c r="O101" i="19" s="1"/>
  <c r="J101" i="19"/>
  <c r="M101" i="19" s="1"/>
  <c r="L107" i="19"/>
  <c r="K107" i="19"/>
  <c r="N107" i="19" s="1"/>
  <c r="J107" i="19"/>
  <c r="M107" i="19" s="1"/>
  <c r="L104" i="19"/>
  <c r="K104" i="19"/>
  <c r="N104" i="19" s="1"/>
  <c r="J104" i="19"/>
  <c r="M104" i="19" s="1"/>
  <c r="L132" i="19"/>
  <c r="K132" i="19"/>
  <c r="O132" i="19" s="1"/>
  <c r="J132" i="19"/>
  <c r="M132" i="19" s="1"/>
  <c r="L100" i="19"/>
  <c r="K100" i="19"/>
  <c r="O100" i="19" s="1"/>
  <c r="J100" i="19"/>
  <c r="M100" i="19" s="1"/>
  <c r="G94" i="19"/>
  <c r="G93" i="19"/>
  <c r="G92" i="19"/>
  <c r="G91" i="19"/>
  <c r="L102" i="19"/>
  <c r="K102" i="19"/>
  <c r="N102" i="19" s="1"/>
  <c r="J102" i="19"/>
  <c r="M102" i="19" s="1"/>
  <c r="L140" i="19"/>
  <c r="K140" i="19"/>
  <c r="O140" i="19" s="1"/>
  <c r="J140" i="19"/>
  <c r="M140" i="19" s="1"/>
  <c r="N51" i="8"/>
  <c r="N457" i="8"/>
  <c r="L241" i="19"/>
  <c r="K241" i="19"/>
  <c r="O241" i="19" s="1"/>
  <c r="J241" i="19"/>
  <c r="M241" i="19" s="1"/>
  <c r="G240" i="19"/>
  <c r="L254" i="19"/>
  <c r="K254" i="19"/>
  <c r="O254" i="19" s="1"/>
  <c r="J254" i="19"/>
  <c r="M254" i="19" s="1"/>
  <c r="G253" i="19"/>
  <c r="L95" i="19"/>
  <c r="K95" i="19"/>
  <c r="N95" i="19" s="1"/>
  <c r="J95" i="19"/>
  <c r="M95" i="19" s="1"/>
  <c r="L244" i="19"/>
  <c r="K244" i="19"/>
  <c r="N244" i="19" s="1"/>
  <c r="J244" i="19"/>
  <c r="M244" i="19" s="1"/>
  <c r="G96" i="19"/>
  <c r="G95" i="19"/>
  <c r="L109" i="19"/>
  <c r="K109" i="19"/>
  <c r="N109" i="19" s="1"/>
  <c r="J109" i="19"/>
  <c r="M109" i="19" s="1"/>
  <c r="G52" i="2"/>
  <c r="G51" i="2"/>
  <c r="G50" i="2"/>
  <c r="F52" i="2"/>
  <c r="F51" i="2"/>
  <c r="I51" i="2" l="1"/>
  <c r="I50" i="2"/>
  <c r="I52" i="2"/>
  <c r="N89" i="19"/>
  <c r="O104" i="19"/>
  <c r="O154" i="19"/>
  <c r="O233" i="19"/>
  <c r="N101" i="19"/>
  <c r="O107" i="19"/>
  <c r="N140" i="19"/>
  <c r="O102" i="19"/>
  <c r="N100" i="19"/>
  <c r="N132" i="19"/>
  <c r="N241" i="19"/>
  <c r="N254" i="19"/>
  <c r="O244" i="19"/>
  <c r="O95" i="19"/>
  <c r="O109" i="19"/>
  <c r="H52" i="2"/>
  <c r="H50" i="2"/>
  <c r="H51" i="2"/>
  <c r="L258" i="19"/>
  <c r="K258" i="19"/>
  <c r="N258" i="19" s="1"/>
  <c r="J258" i="19"/>
  <c r="M258" i="19" s="1"/>
  <c r="N163" i="8"/>
  <c r="G98" i="19"/>
  <c r="G97" i="19"/>
  <c r="L250" i="19"/>
  <c r="K250" i="19"/>
  <c r="N250" i="19" s="1"/>
  <c r="J250" i="19"/>
  <c r="M250" i="19" s="1"/>
  <c r="L106" i="19"/>
  <c r="K106" i="19"/>
  <c r="O106" i="19" s="1"/>
  <c r="J106" i="19"/>
  <c r="M106" i="19" s="1"/>
  <c r="T18" i="17"/>
  <c r="R18" i="17"/>
  <c r="O18" i="17"/>
  <c r="K18" i="17"/>
  <c r="G18" i="17"/>
  <c r="E18" i="17"/>
  <c r="G100" i="19"/>
  <c r="G99" i="19"/>
  <c r="N489" i="8"/>
  <c r="N140" i="8"/>
  <c r="N485" i="8"/>
  <c r="N488" i="8"/>
  <c r="N116" i="8"/>
  <c r="N454" i="8"/>
  <c r="N481" i="8"/>
  <c r="N39" i="8"/>
  <c r="N103" i="8"/>
  <c r="N460" i="8"/>
  <c r="N487" i="8"/>
  <c r="N55" i="8"/>
  <c r="N148" i="8"/>
  <c r="N118" i="8"/>
  <c r="N117" i="8"/>
  <c r="N128" i="8"/>
  <c r="N479" i="8"/>
  <c r="N99" i="8"/>
  <c r="N484" i="8"/>
  <c r="N133" i="8"/>
  <c r="N483" i="8"/>
  <c r="N18" i="8"/>
  <c r="N106" i="8"/>
  <c r="N443" i="8"/>
  <c r="N125" i="8"/>
  <c r="N486" i="8"/>
  <c r="N482" i="8"/>
  <c r="N141" i="8"/>
  <c r="N82" i="8"/>
  <c r="N478" i="8"/>
  <c r="N109" i="8"/>
  <c r="N477" i="8"/>
  <c r="N98" i="8"/>
  <c r="N476" i="8"/>
  <c r="N105" i="8"/>
  <c r="N113" i="8"/>
  <c r="N150" i="8"/>
  <c r="N157" i="8"/>
  <c r="N104" i="8"/>
  <c r="N101" i="8"/>
  <c r="N80" i="8"/>
  <c r="N88" i="8"/>
  <c r="N129" i="8"/>
  <c r="N442" i="8"/>
  <c r="N441" i="8"/>
  <c r="N369" i="8"/>
  <c r="N394" i="8"/>
  <c r="N422" i="8"/>
  <c r="N385" i="8"/>
  <c r="N421" i="8"/>
  <c r="N384" i="8"/>
  <c r="N114" i="8"/>
  <c r="N107" i="8"/>
  <c r="N137" i="8"/>
  <c r="N419" i="8"/>
  <c r="N439" i="8"/>
  <c r="N380" i="8"/>
  <c r="N438" i="8"/>
  <c r="N437" i="8"/>
  <c r="N418" i="8"/>
  <c r="N368" i="8"/>
  <c r="N417" i="8"/>
  <c r="N436" i="8"/>
  <c r="N416" i="8"/>
  <c r="N415" i="8"/>
  <c r="N414" i="8"/>
  <c r="N413" i="8"/>
  <c r="N412" i="8"/>
  <c r="N411" i="8"/>
  <c r="N410" i="8"/>
  <c r="N367" i="8"/>
  <c r="N435" i="8"/>
  <c r="N408" i="8"/>
  <c r="N379" i="8"/>
  <c r="N365" i="8"/>
  <c r="N364" i="8"/>
  <c r="N363" i="8"/>
  <c r="N362" i="8"/>
  <c r="N407" i="8"/>
  <c r="N361" i="8"/>
  <c r="N360" i="8"/>
  <c r="N406" i="8"/>
  <c r="N434" i="8"/>
  <c r="N359" i="8"/>
  <c r="N378" i="8"/>
  <c r="N357" i="8"/>
  <c r="N356" i="8"/>
  <c r="N405" i="8"/>
  <c r="N404" i="8"/>
  <c r="N403" i="8"/>
  <c r="N124" i="8"/>
  <c r="N23" i="8"/>
  <c r="N393" i="8"/>
  <c r="N391" i="8"/>
  <c r="N158" i="8"/>
  <c r="N402" i="8"/>
  <c r="N433" i="8"/>
  <c r="N390" i="8"/>
  <c r="N432" i="8"/>
  <c r="N389" i="8"/>
  <c r="N452" i="8"/>
  <c r="N377" i="8"/>
  <c r="N355" i="8"/>
  <c r="N354" i="8"/>
  <c r="N388" i="8"/>
  <c r="N387" i="8"/>
  <c r="N375" i="8"/>
  <c r="N374" i="8"/>
  <c r="N373" i="8"/>
  <c r="N353" i="8"/>
  <c r="N372" i="8"/>
  <c r="N280" i="8"/>
  <c r="N279" i="8"/>
  <c r="N401" i="8"/>
  <c r="N352" i="8"/>
  <c r="N431" i="8"/>
  <c r="N277" i="8"/>
  <c r="N430" i="8"/>
  <c r="N108" i="8"/>
  <c r="N351" i="8"/>
  <c r="N345" i="8"/>
  <c r="N400" i="8"/>
  <c r="N232" i="8"/>
  <c r="N276" i="8"/>
  <c r="N275" i="8"/>
  <c r="N447" i="8"/>
  <c r="N242" i="8"/>
  <c r="N429" i="8"/>
  <c r="N344" i="8"/>
  <c r="N343" i="8"/>
  <c r="N240" i="8"/>
  <c r="N308" i="8"/>
  <c r="N239" i="8"/>
  <c r="N348" i="8"/>
  <c r="N347" i="8"/>
  <c r="N306" i="8"/>
  <c r="N305" i="8"/>
  <c r="N304" i="8"/>
  <c r="N273" i="8"/>
  <c r="N110" i="8"/>
  <c r="N341" i="8"/>
  <c r="N272" i="8"/>
  <c r="N340" i="8"/>
  <c r="N448" i="8"/>
  <c r="N339" i="8"/>
  <c r="N303" i="8"/>
  <c r="N33" i="8"/>
  <c r="N302" i="8"/>
  <c r="N301" i="8"/>
  <c r="N231" i="8"/>
  <c r="N230" i="8"/>
  <c r="N336" i="8"/>
  <c r="N335" i="8"/>
  <c r="N229" i="8"/>
  <c r="N300" i="8"/>
  <c r="N299" i="8"/>
  <c r="N298" i="8"/>
  <c r="N334" i="8"/>
  <c r="N228" i="8"/>
  <c r="N333" i="8"/>
  <c r="N238" i="8"/>
  <c r="N237" i="8"/>
  <c r="N236" i="8"/>
  <c r="N332" i="8"/>
  <c r="N331" i="8"/>
  <c r="N330" i="8"/>
  <c r="N270" i="8"/>
  <c r="N329" i="8"/>
  <c r="N227" i="8"/>
  <c r="N297" i="8"/>
  <c r="N269" i="8"/>
  <c r="N226" i="8"/>
  <c r="N296" i="8"/>
  <c r="N295" i="8"/>
  <c r="N225" i="8"/>
  <c r="N328" i="8"/>
  <c r="N121" i="8"/>
  <c r="N224" i="8"/>
  <c r="N267" i="8"/>
  <c r="N327" i="8"/>
  <c r="N326" i="8"/>
  <c r="N325" i="8"/>
  <c r="N450" i="8"/>
  <c r="N294" i="8"/>
  <c r="N324" i="8"/>
  <c r="N293" i="8"/>
  <c r="N292" i="8"/>
  <c r="N291" i="8"/>
  <c r="N473" i="8"/>
  <c r="N290" i="8"/>
  <c r="N289" i="8"/>
  <c r="N464" i="8"/>
  <c r="N235" i="8"/>
  <c r="N223" i="8"/>
  <c r="N288" i="8"/>
  <c r="N287" i="8"/>
  <c r="N286" i="8"/>
  <c r="N323" i="8"/>
  <c r="N285" i="8"/>
  <c r="N266" i="8"/>
  <c r="N265" i="8"/>
  <c r="N264" i="8"/>
  <c r="N284" i="8"/>
  <c r="N221" i="8"/>
  <c r="N263" i="8"/>
  <c r="N160" i="8"/>
  <c r="N262" i="8"/>
  <c r="N261" i="8"/>
  <c r="N127" i="8"/>
  <c r="N321" i="8"/>
  <c r="N283" i="8"/>
  <c r="N428" i="8"/>
  <c r="N320" i="8"/>
  <c r="N260" i="8"/>
  <c r="N259" i="8"/>
  <c r="N220" i="8"/>
  <c r="N258" i="8"/>
  <c r="N257" i="8"/>
  <c r="N256" i="8"/>
  <c r="N255" i="8"/>
  <c r="N318" i="8"/>
  <c r="N317" i="8"/>
  <c r="N254" i="8"/>
  <c r="N316" i="8"/>
  <c r="N282" i="8"/>
  <c r="N399" i="8"/>
  <c r="N253" i="8"/>
  <c r="N350" i="8"/>
  <c r="N315" i="8"/>
  <c r="N37" i="8"/>
  <c r="N131" i="8"/>
  <c r="N252" i="8"/>
  <c r="N314" i="8"/>
  <c r="N313" i="8"/>
  <c r="N132" i="8"/>
  <c r="N219" i="8"/>
  <c r="N251" i="8"/>
  <c r="N111" i="8"/>
  <c r="N119" i="8"/>
  <c r="N398" i="8"/>
  <c r="N312" i="8"/>
  <c r="N250" i="8"/>
  <c r="N249" i="8"/>
  <c r="N427" i="8"/>
  <c r="N397" i="8"/>
  <c r="N311" i="8"/>
  <c r="N248" i="8"/>
  <c r="N218" i="8"/>
  <c r="N247" i="8"/>
  <c r="N234" i="8"/>
  <c r="N233" i="8"/>
  <c r="N246" i="8"/>
  <c r="N217" i="8"/>
  <c r="N216" i="8"/>
  <c r="N215" i="8"/>
  <c r="N309" i="8"/>
  <c r="N214" i="8"/>
  <c r="N245" i="8"/>
  <c r="N244" i="8"/>
  <c r="N213" i="8"/>
  <c r="N243" i="8"/>
  <c r="N211" i="8"/>
  <c r="N207" i="8"/>
  <c r="N206" i="8"/>
  <c r="N205" i="8"/>
  <c r="N204" i="8"/>
  <c r="N201" i="8"/>
  <c r="N149" i="8"/>
  <c r="N203" i="8"/>
  <c r="N202" i="8"/>
  <c r="N200" i="8"/>
  <c r="N210" i="8"/>
  <c r="N199" i="8"/>
  <c r="N426" i="8"/>
  <c r="N197" i="8"/>
  <c r="N209" i="8"/>
  <c r="N196" i="8"/>
  <c r="N198" i="8"/>
  <c r="N208" i="8"/>
  <c r="N175" i="8"/>
  <c r="N115" i="8"/>
  <c r="N194" i="8"/>
  <c r="N183" i="8"/>
  <c r="N182" i="8"/>
  <c r="N192" i="8"/>
  <c r="N191" i="8"/>
  <c r="N174" i="8"/>
  <c r="N181" i="8"/>
  <c r="N167" i="8"/>
  <c r="N180" i="8"/>
  <c r="N190" i="8"/>
  <c r="N189" i="8"/>
  <c r="N169" i="8"/>
  <c r="N179" i="8"/>
  <c r="N168" i="8"/>
  <c r="N188" i="8"/>
  <c r="N187" i="8"/>
  <c r="N173" i="8"/>
  <c r="N186" i="8"/>
  <c r="N178" i="8"/>
  <c r="N185" i="8"/>
  <c r="N184" i="8"/>
  <c r="N166" i="8"/>
  <c r="N177" i="8"/>
  <c r="N171" i="8"/>
  <c r="N425" i="8"/>
  <c r="N134" i="8"/>
  <c r="N396" i="8"/>
  <c r="N165" i="8"/>
  <c r="N446" i="8"/>
  <c r="N453" i="8"/>
  <c r="N176" i="8"/>
  <c r="N463" i="8"/>
  <c r="N170" i="8"/>
  <c r="N153" i="8"/>
  <c r="N85" i="8"/>
  <c r="N123" i="8"/>
  <c r="N81" i="8"/>
  <c r="N54" i="8"/>
  <c r="N90" i="8"/>
  <c r="N50" i="8"/>
  <c r="N87" i="8"/>
  <c r="N70" i="8"/>
  <c r="N49" i="8"/>
  <c r="N73" i="8"/>
  <c r="N89" i="8"/>
  <c r="N66" i="8"/>
  <c r="N102" i="8"/>
  <c r="N145" i="8"/>
  <c r="N71" i="8"/>
  <c r="N78" i="8"/>
  <c r="N53" i="8"/>
  <c r="N72" i="8"/>
  <c r="N470" i="8"/>
  <c r="N472" i="8"/>
  <c r="N77" i="8"/>
  <c r="N138" i="8"/>
  <c r="N75" i="8"/>
  <c r="N154" i="8"/>
  <c r="N47" i="8"/>
  <c r="N451" i="8"/>
  <c r="N61" i="8"/>
  <c r="N84" i="8"/>
  <c r="N466" i="8"/>
  <c r="N126" i="8"/>
  <c r="N456" i="8"/>
  <c r="N62" i="8"/>
  <c r="N445" i="8"/>
  <c r="N36" i="8"/>
  <c r="N14" i="8"/>
  <c r="N83" i="8"/>
  <c r="N67" i="8"/>
  <c r="N465" i="8"/>
  <c r="N159" i="8"/>
  <c r="N42" i="8"/>
  <c r="N86" i="8"/>
  <c r="N56" i="8"/>
  <c r="N5" i="8"/>
  <c r="N65" i="8"/>
  <c r="N395" i="8"/>
  <c r="N60" i="8"/>
  <c r="N424" i="8"/>
  <c r="N120" i="8"/>
  <c r="N79" i="8"/>
  <c r="N46" i="8"/>
  <c r="N423" i="8"/>
  <c r="N17" i="8"/>
  <c r="N74" i="8"/>
  <c r="N155" i="8"/>
  <c r="N76" i="8"/>
  <c r="N63" i="8"/>
  <c r="N469" i="8"/>
  <c r="N161" i="8"/>
  <c r="N69" i="8"/>
  <c r="N59" i="8"/>
  <c r="N68" i="8"/>
  <c r="N57" i="8"/>
  <c r="N48" i="8"/>
  <c r="N58" i="8"/>
  <c r="N52" i="8"/>
  <c r="N156" i="8"/>
  <c r="N152" i="8"/>
  <c r="N3" i="8"/>
  <c r="N64" i="8"/>
  <c r="N45" i="8"/>
  <c r="N34" i="8"/>
  <c r="N32" i="8"/>
  <c r="N349" i="8"/>
  <c r="N38" i="8"/>
  <c r="N29" i="8"/>
  <c r="N27" i="8"/>
  <c r="N28" i="8"/>
  <c r="N25" i="8"/>
  <c r="N22" i="8"/>
  <c r="N21" i="8"/>
  <c r="N20" i="8"/>
  <c r="N474" i="8"/>
  <c r="N15" i="8"/>
  <c r="N7" i="8"/>
  <c r="N12" i="8"/>
  <c r="N11" i="8"/>
  <c r="N10" i="8"/>
  <c r="N4" i="8"/>
  <c r="N6" i="8"/>
  <c r="N8" i="8"/>
  <c r="N13" i="8"/>
  <c r="U19" i="17" l="1"/>
  <c r="O258" i="19"/>
  <c r="O250" i="19"/>
  <c r="N106" i="19"/>
  <c r="L236" i="19"/>
  <c r="K236" i="19"/>
  <c r="O236" i="19" s="1"/>
  <c r="J236" i="19"/>
  <c r="M236" i="19" s="1"/>
  <c r="G236" i="19"/>
  <c r="L129" i="19"/>
  <c r="K129" i="19"/>
  <c r="O129" i="19" s="1"/>
  <c r="J129" i="19"/>
  <c r="M129" i="19" s="1"/>
  <c r="G101" i="19"/>
  <c r="L215" i="19"/>
  <c r="K215" i="19"/>
  <c r="O215" i="19" s="1"/>
  <c r="J215" i="19"/>
  <c r="M215" i="19" s="1"/>
  <c r="G214" i="19"/>
  <c r="L103" i="19"/>
  <c r="K103" i="19"/>
  <c r="O103" i="19" s="1"/>
  <c r="J103" i="19"/>
  <c r="M103" i="19" s="1"/>
  <c r="N236" i="19" l="1"/>
  <c r="N129" i="19"/>
  <c r="N103" i="19"/>
  <c r="N215" i="19"/>
  <c r="G104" i="19"/>
  <c r="G103" i="19"/>
  <c r="G102" i="19"/>
  <c r="L108" i="19"/>
  <c r="K108" i="19"/>
  <c r="N108" i="19" s="1"/>
  <c r="J108" i="19"/>
  <c r="M108" i="19" s="1"/>
  <c r="L111" i="19"/>
  <c r="K111" i="19"/>
  <c r="N111" i="19" s="1"/>
  <c r="J111" i="19"/>
  <c r="M111" i="19" s="1"/>
  <c r="L238" i="19"/>
  <c r="K238" i="19"/>
  <c r="O238" i="19" s="1"/>
  <c r="J238" i="19"/>
  <c r="M238" i="19" s="1"/>
  <c r="L110" i="19"/>
  <c r="K110" i="19"/>
  <c r="N110" i="19" s="1"/>
  <c r="J110" i="19"/>
  <c r="M110" i="19" s="1"/>
  <c r="G59" i="2"/>
  <c r="F59" i="2"/>
  <c r="L112" i="19"/>
  <c r="K112" i="19"/>
  <c r="O112" i="19" s="1"/>
  <c r="J112" i="19"/>
  <c r="M112" i="19" s="1"/>
  <c r="G106" i="19"/>
  <c r="L123" i="19"/>
  <c r="K123" i="19"/>
  <c r="O123" i="19" s="1"/>
  <c r="J123" i="19"/>
  <c r="M123" i="19" s="1"/>
  <c r="G109" i="19"/>
  <c r="G108" i="19"/>
  <c r="G107" i="19"/>
  <c r="L113" i="19"/>
  <c r="K113" i="19"/>
  <c r="O113" i="19" s="1"/>
  <c r="J113" i="19"/>
  <c r="M113" i="19" s="1"/>
  <c r="L252" i="19"/>
  <c r="K252" i="19"/>
  <c r="N252" i="19" s="1"/>
  <c r="J252" i="19"/>
  <c r="M252" i="19" s="1"/>
  <c r="G113" i="19"/>
  <c r="G112" i="19"/>
  <c r="G111" i="19"/>
  <c r="G110" i="19"/>
  <c r="L161" i="19"/>
  <c r="K161" i="19"/>
  <c r="O161" i="19" s="1"/>
  <c r="J161" i="19"/>
  <c r="M161" i="19" s="1"/>
  <c r="L193" i="19"/>
  <c r="K193" i="19"/>
  <c r="O193" i="19" s="1"/>
  <c r="J193" i="19"/>
  <c r="M193" i="19" s="1"/>
  <c r="L120" i="19"/>
  <c r="K120" i="19"/>
  <c r="N120" i="19" s="1"/>
  <c r="J120" i="19"/>
  <c r="M120" i="19" s="1"/>
  <c r="G119" i="19"/>
  <c r="G115" i="19"/>
  <c r="G114" i="19"/>
  <c r="L127" i="19"/>
  <c r="K127" i="19"/>
  <c r="N127" i="19" s="1"/>
  <c r="J127" i="19"/>
  <c r="M127" i="19" s="1"/>
  <c r="L234" i="19"/>
  <c r="K234" i="19"/>
  <c r="O234" i="19" s="1"/>
  <c r="J234" i="19"/>
  <c r="M234" i="19" s="1"/>
  <c r="G234" i="19"/>
  <c r="L219" i="19"/>
  <c r="K219" i="19"/>
  <c r="N219" i="19" s="1"/>
  <c r="J219" i="19"/>
  <c r="M219" i="19" s="1"/>
  <c r="L145" i="19"/>
  <c r="K145" i="19"/>
  <c r="O145" i="19" s="1"/>
  <c r="J145" i="19"/>
  <c r="M145" i="19" s="1"/>
  <c r="L262" i="19"/>
  <c r="K262" i="19"/>
  <c r="N262" i="19" s="1"/>
  <c r="J262" i="19"/>
  <c r="M262" i="19" s="1"/>
  <c r="G63" i="2"/>
  <c r="F63" i="2"/>
  <c r="T17" i="17"/>
  <c r="R17" i="17"/>
  <c r="O17" i="17"/>
  <c r="K17" i="17"/>
  <c r="G17" i="17"/>
  <c r="E17" i="17"/>
  <c r="G120" i="19"/>
  <c r="G116" i="19"/>
  <c r="L155" i="19"/>
  <c r="K155" i="19"/>
  <c r="N155" i="19" s="1"/>
  <c r="J155" i="19"/>
  <c r="M155" i="19" s="1"/>
  <c r="G154" i="19"/>
  <c r="L204" i="19"/>
  <c r="K204" i="19"/>
  <c r="N204" i="19" s="1"/>
  <c r="J204" i="19"/>
  <c r="M204" i="19" s="1"/>
  <c r="G203" i="19"/>
  <c r="L255" i="19"/>
  <c r="K255" i="19"/>
  <c r="O255" i="19" s="1"/>
  <c r="J255" i="19"/>
  <c r="M255" i="19" s="1"/>
  <c r="G254" i="19"/>
  <c r="L271" i="19"/>
  <c r="K271" i="19"/>
  <c r="O271" i="19" s="1"/>
  <c r="J271" i="19"/>
  <c r="M271" i="19" s="1"/>
  <c r="G270" i="19"/>
  <c r="L125" i="19"/>
  <c r="K125" i="19"/>
  <c r="N125" i="19" s="1"/>
  <c r="J125" i="19"/>
  <c r="M125" i="19" s="1"/>
  <c r="G118" i="19"/>
  <c r="L188" i="19"/>
  <c r="K188" i="19"/>
  <c r="O188" i="19" s="1"/>
  <c r="J188" i="19"/>
  <c r="M188" i="19" s="1"/>
  <c r="G122" i="19"/>
  <c r="G121" i="19"/>
  <c r="L131" i="19"/>
  <c r="K131" i="19"/>
  <c r="O131" i="19" s="1"/>
  <c r="J131" i="19"/>
  <c r="M131" i="19" s="1"/>
  <c r="L126" i="19"/>
  <c r="K126" i="19"/>
  <c r="N126" i="19" s="1"/>
  <c r="J126" i="19"/>
  <c r="M126" i="19" s="1"/>
  <c r="U18" i="17" l="1"/>
  <c r="O108" i="19"/>
  <c r="O111" i="19"/>
  <c r="N238" i="19"/>
  <c r="O110" i="19"/>
  <c r="I59" i="2"/>
  <c r="H59" i="2"/>
  <c r="N112" i="19"/>
  <c r="N123" i="19"/>
  <c r="N113" i="19"/>
  <c r="O252" i="19"/>
  <c r="N161" i="19"/>
  <c r="N193" i="19"/>
  <c r="O120" i="19"/>
  <c r="O127" i="19"/>
  <c r="N234" i="19"/>
  <c r="N145" i="19"/>
  <c r="O219" i="19"/>
  <c r="O262" i="19"/>
  <c r="O204" i="19"/>
  <c r="O155" i="19"/>
  <c r="H63" i="2"/>
  <c r="I63" i="2"/>
  <c r="N271" i="19"/>
  <c r="N255" i="19"/>
  <c r="O125" i="19"/>
  <c r="N188" i="19"/>
  <c r="N131" i="19"/>
  <c r="O126" i="19"/>
  <c r="G124" i="19" l="1"/>
  <c r="G123" i="19"/>
  <c r="L130" i="19"/>
  <c r="K130" i="19"/>
  <c r="N130" i="19" s="1"/>
  <c r="J130" i="19"/>
  <c r="M130" i="19" s="1"/>
  <c r="L128" i="19"/>
  <c r="K128" i="19"/>
  <c r="O128" i="19" s="1"/>
  <c r="J128" i="19"/>
  <c r="M128" i="19" s="1"/>
  <c r="G127" i="19"/>
  <c r="G126" i="19"/>
  <c r="G125" i="19"/>
  <c r="L139" i="19"/>
  <c r="K139" i="19"/>
  <c r="N139" i="19" s="1"/>
  <c r="J139" i="19"/>
  <c r="M139" i="19" s="1"/>
  <c r="O130" i="19" l="1"/>
  <c r="N128" i="19"/>
  <c r="O139" i="19"/>
  <c r="L181" i="19" l="1"/>
  <c r="K181" i="19"/>
  <c r="O181" i="19" s="1"/>
  <c r="J181" i="19"/>
  <c r="M181" i="19" s="1"/>
  <c r="L141" i="19"/>
  <c r="K141" i="19"/>
  <c r="N141" i="19" s="1"/>
  <c r="J141" i="19"/>
  <c r="M141" i="19" s="1"/>
  <c r="G141" i="19"/>
  <c r="L272" i="19"/>
  <c r="K272" i="19"/>
  <c r="N272" i="19" s="1"/>
  <c r="J272" i="19"/>
  <c r="M272" i="19" s="1"/>
  <c r="G271" i="19"/>
  <c r="G128" i="19"/>
  <c r="L257" i="19"/>
  <c r="K257" i="19"/>
  <c r="O257" i="19" s="1"/>
  <c r="J257" i="19"/>
  <c r="M257" i="19" s="1"/>
  <c r="G256" i="19"/>
  <c r="L267" i="19"/>
  <c r="K267" i="19"/>
  <c r="O267" i="19" s="1"/>
  <c r="J267" i="19"/>
  <c r="M267" i="19" s="1"/>
  <c r="G266" i="19"/>
  <c r="L207" i="19"/>
  <c r="K207" i="19"/>
  <c r="N207" i="19" s="1"/>
  <c r="J207" i="19"/>
  <c r="M207" i="19" s="1"/>
  <c r="L142" i="19"/>
  <c r="K142" i="19"/>
  <c r="N142" i="19" s="1"/>
  <c r="J142" i="19"/>
  <c r="M142" i="19" s="1"/>
  <c r="G142" i="19"/>
  <c r="G131" i="19"/>
  <c r="G130" i="19"/>
  <c r="G129" i="19"/>
  <c r="L187" i="19"/>
  <c r="K187" i="19"/>
  <c r="N187" i="19" s="1"/>
  <c r="J187" i="19"/>
  <c r="M187" i="19" s="1"/>
  <c r="L134" i="19"/>
  <c r="K134" i="19"/>
  <c r="O134" i="19" s="1"/>
  <c r="J134" i="19"/>
  <c r="M134" i="19" s="1"/>
  <c r="T16" i="17"/>
  <c r="U17" i="17" s="1"/>
  <c r="R16" i="17"/>
  <c r="O16" i="17"/>
  <c r="K16" i="17"/>
  <c r="G16" i="17"/>
  <c r="E16" i="17"/>
  <c r="N181" i="19" l="1"/>
  <c r="O141" i="19"/>
  <c r="O272" i="19"/>
  <c r="N257" i="19"/>
  <c r="N267" i="19"/>
  <c r="O142" i="19"/>
  <c r="O207" i="19"/>
  <c r="O187" i="19"/>
  <c r="N134" i="19"/>
  <c r="L168" i="19" l="1"/>
  <c r="K168" i="19"/>
  <c r="N168" i="19" s="1"/>
  <c r="J168" i="19"/>
  <c r="M168" i="19" s="1"/>
  <c r="G132" i="19"/>
  <c r="L261" i="19"/>
  <c r="K261" i="19"/>
  <c r="O261" i="19" s="1"/>
  <c r="J261" i="19"/>
  <c r="M261" i="19" s="1"/>
  <c r="G260" i="19"/>
  <c r="L245" i="19"/>
  <c r="K245" i="19"/>
  <c r="O245" i="19" s="1"/>
  <c r="J245" i="19"/>
  <c r="M245" i="19" s="1"/>
  <c r="G244" i="19"/>
  <c r="L136" i="19"/>
  <c r="K136" i="19"/>
  <c r="N136" i="19" s="1"/>
  <c r="J136" i="19"/>
  <c r="M136" i="19" s="1"/>
  <c r="L247" i="19"/>
  <c r="K247" i="19"/>
  <c r="O247" i="19" s="1"/>
  <c r="J247" i="19"/>
  <c r="M247" i="19" s="1"/>
  <c r="G247" i="19"/>
  <c r="L133" i="19"/>
  <c r="K133" i="19"/>
  <c r="N133" i="19" s="1"/>
  <c r="J133" i="19"/>
  <c r="M133" i="19" s="1"/>
  <c r="G70" i="2"/>
  <c r="G69" i="2"/>
  <c r="F70" i="2"/>
  <c r="F69" i="2"/>
  <c r="G133" i="19"/>
  <c r="L137" i="19"/>
  <c r="K137" i="19"/>
  <c r="N137" i="19" s="1"/>
  <c r="J137" i="19"/>
  <c r="M137" i="19" s="1"/>
  <c r="L135" i="19"/>
  <c r="K135" i="19"/>
  <c r="O135" i="19" s="1"/>
  <c r="J135" i="19"/>
  <c r="M135" i="19" s="1"/>
  <c r="L144" i="19"/>
  <c r="K144" i="19"/>
  <c r="N144" i="19" s="1"/>
  <c r="J144" i="19"/>
  <c r="M144" i="19" s="1"/>
  <c r="G68" i="2"/>
  <c r="F68" i="2"/>
  <c r="T15" i="17"/>
  <c r="R15" i="17"/>
  <c r="O15" i="17"/>
  <c r="K15" i="17"/>
  <c r="G15" i="17"/>
  <c r="E15" i="17"/>
  <c r="L248" i="19"/>
  <c r="K248" i="19"/>
  <c r="O248" i="19" s="1"/>
  <c r="J248" i="19"/>
  <c r="M248" i="19" s="1"/>
  <c r="G246" i="19"/>
  <c r="G134" i="19"/>
  <c r="L143" i="19"/>
  <c r="K143" i="19"/>
  <c r="O143" i="19" s="1"/>
  <c r="J143" i="19"/>
  <c r="M143" i="19" s="1"/>
  <c r="U16" i="17" l="1"/>
  <c r="O168" i="19"/>
  <c r="N261" i="19"/>
  <c r="N245" i="19"/>
  <c r="O136" i="19"/>
  <c r="N247" i="19"/>
  <c r="O133" i="19"/>
  <c r="I69" i="2"/>
  <c r="H70" i="2"/>
  <c r="I70" i="2"/>
  <c r="H69" i="2"/>
  <c r="O137" i="19"/>
  <c r="N248" i="19"/>
  <c r="N135" i="19"/>
  <c r="O144" i="19"/>
  <c r="I68" i="2"/>
  <c r="H68" i="2"/>
  <c r="N143" i="19"/>
  <c r="G135" i="19"/>
  <c r="L237" i="19"/>
  <c r="K237" i="19"/>
  <c r="N237" i="19" s="1"/>
  <c r="J237" i="19"/>
  <c r="M237" i="19" s="1"/>
  <c r="L184" i="19"/>
  <c r="K184" i="19"/>
  <c r="N184" i="19" s="1"/>
  <c r="J184" i="19"/>
  <c r="M184" i="19" s="1"/>
  <c r="G138" i="19"/>
  <c r="G137" i="19"/>
  <c r="G136" i="19"/>
  <c r="L146" i="19"/>
  <c r="K146" i="19"/>
  <c r="O146" i="19" s="1"/>
  <c r="J146" i="19"/>
  <c r="M146" i="19" s="1"/>
  <c r="L147" i="19"/>
  <c r="K147" i="19"/>
  <c r="O147" i="19" s="1"/>
  <c r="J147" i="19"/>
  <c r="M147" i="19" s="1"/>
  <c r="L174" i="19"/>
  <c r="K174" i="19"/>
  <c r="O174" i="19" s="1"/>
  <c r="J174" i="19"/>
  <c r="M174" i="19" s="1"/>
  <c r="G144" i="19"/>
  <c r="G143" i="19"/>
  <c r="G140" i="19"/>
  <c r="G139" i="19"/>
  <c r="L149" i="19"/>
  <c r="K149" i="19"/>
  <c r="O149" i="19" s="1"/>
  <c r="J149" i="19"/>
  <c r="M149" i="19" s="1"/>
  <c r="L148" i="19"/>
  <c r="K148" i="19"/>
  <c r="O148" i="19" s="1"/>
  <c r="J148" i="19"/>
  <c r="M148" i="19" s="1"/>
  <c r="L153" i="19"/>
  <c r="K153" i="19"/>
  <c r="O153" i="19" s="1"/>
  <c r="J153" i="19"/>
  <c r="M153" i="19" s="1"/>
  <c r="G145" i="19"/>
  <c r="G146" i="19"/>
  <c r="L157" i="19"/>
  <c r="K157" i="19"/>
  <c r="O157" i="19" s="1"/>
  <c r="J157" i="19"/>
  <c r="M157" i="19" s="1"/>
  <c r="L151" i="19"/>
  <c r="K151" i="19"/>
  <c r="N151" i="19" s="1"/>
  <c r="J151" i="19"/>
  <c r="M151" i="19" s="1"/>
  <c r="G150" i="19"/>
  <c r="G149" i="19"/>
  <c r="G148" i="19"/>
  <c r="G147" i="19"/>
  <c r="L173" i="19"/>
  <c r="K173" i="19"/>
  <c r="O173" i="19" s="1"/>
  <c r="J173" i="19"/>
  <c r="M173" i="19" s="1"/>
  <c r="G173" i="19"/>
  <c r="L156" i="19"/>
  <c r="K156" i="19"/>
  <c r="O156" i="19" s="1"/>
  <c r="J156" i="19"/>
  <c r="M156" i="19" s="1"/>
  <c r="L158" i="19"/>
  <c r="K158" i="19"/>
  <c r="O158" i="19" s="1"/>
  <c r="J158" i="19"/>
  <c r="M158" i="19" s="1"/>
  <c r="L159" i="19"/>
  <c r="K159" i="19"/>
  <c r="N159" i="19" s="1"/>
  <c r="J159" i="19"/>
  <c r="M159" i="19" s="1"/>
  <c r="G151" i="19"/>
  <c r="L152" i="19"/>
  <c r="K152" i="19"/>
  <c r="O152" i="19" s="1"/>
  <c r="J152" i="19"/>
  <c r="M152" i="19" s="1"/>
  <c r="G155" i="19"/>
  <c r="G153" i="19"/>
  <c r="G152" i="19"/>
  <c r="L263" i="19"/>
  <c r="K263" i="19"/>
  <c r="N263" i="19" s="1"/>
  <c r="J263" i="19"/>
  <c r="M263" i="19" s="1"/>
  <c r="G262" i="19"/>
  <c r="G158" i="19"/>
  <c r="G157" i="19"/>
  <c r="G156" i="19"/>
  <c r="L222" i="19"/>
  <c r="K222" i="19"/>
  <c r="O222" i="19" s="1"/>
  <c r="J222" i="19"/>
  <c r="M222" i="19" s="1"/>
  <c r="L160" i="19"/>
  <c r="K160" i="19"/>
  <c r="N160" i="19" s="1"/>
  <c r="J160" i="19"/>
  <c r="M160" i="19" s="1"/>
  <c r="L220" i="19"/>
  <c r="K220" i="19"/>
  <c r="N220" i="19" s="1"/>
  <c r="J220" i="19"/>
  <c r="M220" i="19" s="1"/>
  <c r="G161" i="19"/>
  <c r="G160" i="19"/>
  <c r="G159" i="19"/>
  <c r="L166" i="19"/>
  <c r="K166" i="19"/>
  <c r="O166" i="19" s="1"/>
  <c r="J166" i="19"/>
  <c r="M166" i="19" s="1"/>
  <c r="G65" i="2"/>
  <c r="G64" i="2"/>
  <c r="F65" i="2"/>
  <c r="F64" i="2"/>
  <c r="G66" i="2"/>
  <c r="L162" i="19"/>
  <c r="K162" i="19"/>
  <c r="O162" i="19" s="1"/>
  <c r="J162" i="19"/>
  <c r="L186" i="19"/>
  <c r="K186" i="19"/>
  <c r="O186" i="19" s="1"/>
  <c r="J186" i="19"/>
  <c r="M186" i="19" s="1"/>
  <c r="N24" i="17"/>
  <c r="L164" i="19"/>
  <c r="K164" i="19"/>
  <c r="N164" i="19" s="1"/>
  <c r="J164" i="19"/>
  <c r="M164" i="19" s="1"/>
  <c r="T14" i="17"/>
  <c r="U15" i="17" s="1"/>
  <c r="R14" i="17"/>
  <c r="O14" i="17"/>
  <c r="K14" i="17"/>
  <c r="G14" i="17"/>
  <c r="E14" i="17"/>
  <c r="L163" i="19"/>
  <c r="K163" i="19"/>
  <c r="O163" i="19" s="1"/>
  <c r="J163" i="19"/>
  <c r="M163" i="19" s="1"/>
  <c r="G164" i="19"/>
  <c r="G163" i="19"/>
  <c r="G162" i="19"/>
  <c r="L169" i="19"/>
  <c r="K169" i="19"/>
  <c r="O169" i="19" s="1"/>
  <c r="J169" i="19"/>
  <c r="M169" i="19" s="1"/>
  <c r="M24" i="17" l="1"/>
  <c r="O24" i="17"/>
  <c r="I65" i="2"/>
  <c r="I64" i="2"/>
  <c r="O237" i="19"/>
  <c r="O184" i="19"/>
  <c r="N146" i="19"/>
  <c r="N147" i="19"/>
  <c r="N174" i="19"/>
  <c r="N153" i="19"/>
  <c r="O151" i="19"/>
  <c r="N148" i="19"/>
  <c r="N149" i="19"/>
  <c r="N156" i="19"/>
  <c r="N157" i="19"/>
  <c r="N173" i="19"/>
  <c r="O159" i="19"/>
  <c r="N158" i="19"/>
  <c r="N152" i="19"/>
  <c r="O263" i="19"/>
  <c r="N222" i="19"/>
  <c r="N166" i="19"/>
  <c r="O160" i="19"/>
  <c r="O220" i="19"/>
  <c r="H64" i="2"/>
  <c r="H65" i="2"/>
  <c r="M162" i="19"/>
  <c r="N162" i="19"/>
  <c r="N186" i="19"/>
  <c r="O164" i="19"/>
  <c r="N163" i="19"/>
  <c r="N169" i="19"/>
  <c r="L269" i="19"/>
  <c r="K269" i="19"/>
  <c r="N269" i="19" s="1"/>
  <c r="J269" i="19"/>
  <c r="M269" i="19" s="1"/>
  <c r="G268" i="19"/>
  <c r="L165" i="19"/>
  <c r="K165" i="19"/>
  <c r="N165" i="19" s="1"/>
  <c r="J165" i="19"/>
  <c r="M165" i="19" s="1"/>
  <c r="G166" i="19"/>
  <c r="G165" i="19"/>
  <c r="L167" i="19"/>
  <c r="K167" i="19"/>
  <c r="O167" i="19" s="1"/>
  <c r="J167" i="19"/>
  <c r="M167" i="19" s="1"/>
  <c r="L242" i="19"/>
  <c r="K242" i="19"/>
  <c r="O242" i="19" s="1"/>
  <c r="J242" i="19"/>
  <c r="M242" i="19" s="1"/>
  <c r="G241" i="19"/>
  <c r="L176" i="19"/>
  <c r="K176" i="19"/>
  <c r="N176" i="19" s="1"/>
  <c r="J176" i="19"/>
  <c r="M176" i="19" s="1"/>
  <c r="G167" i="19"/>
  <c r="L170" i="19"/>
  <c r="K170" i="19"/>
  <c r="O170" i="19" s="1"/>
  <c r="J170" i="19"/>
  <c r="M170" i="19" s="1"/>
  <c r="N167" i="19" l="1"/>
  <c r="O269" i="19"/>
  <c r="O165" i="19"/>
  <c r="N242" i="19"/>
  <c r="O176" i="19"/>
  <c r="N170" i="19"/>
  <c r="L171" i="19"/>
  <c r="K171" i="19"/>
  <c r="N171" i="19" s="1"/>
  <c r="J171" i="19"/>
  <c r="G171" i="19"/>
  <c r="G168" i="19"/>
  <c r="G169" i="19"/>
  <c r="G170" i="19"/>
  <c r="L172" i="19"/>
  <c r="K172" i="19"/>
  <c r="N172" i="19" s="1"/>
  <c r="J172" i="19"/>
  <c r="M172" i="19" s="1"/>
  <c r="L190" i="19"/>
  <c r="K190" i="19"/>
  <c r="O190" i="19" s="1"/>
  <c r="J190" i="19"/>
  <c r="M190" i="19" s="1"/>
  <c r="G172" i="19"/>
  <c r="M171" i="19" l="1"/>
  <c r="O172" i="19"/>
  <c r="O171" i="19"/>
  <c r="N190" i="19"/>
  <c r="L175" i="19"/>
  <c r="K175" i="19"/>
  <c r="O175" i="19" s="1"/>
  <c r="J175" i="19"/>
  <c r="M175" i="19" s="1"/>
  <c r="N175" i="19" l="1"/>
  <c r="L235" i="19"/>
  <c r="K235" i="19"/>
  <c r="N235" i="19" s="1"/>
  <c r="J235" i="19"/>
  <c r="M235" i="19" s="1"/>
  <c r="G233" i="19"/>
  <c r="L216" i="19"/>
  <c r="K216" i="19"/>
  <c r="N216" i="19" s="1"/>
  <c r="J216" i="19"/>
  <c r="M216" i="19" s="1"/>
  <c r="T13" i="17"/>
  <c r="R13" i="17"/>
  <c r="O13" i="17"/>
  <c r="K13" i="17"/>
  <c r="G13" i="17"/>
  <c r="E13" i="17"/>
  <c r="L180" i="19"/>
  <c r="K180" i="19"/>
  <c r="O180" i="19" s="1"/>
  <c r="J180" i="19"/>
  <c r="M180" i="19" s="1"/>
  <c r="G174" i="19"/>
  <c r="L177" i="19"/>
  <c r="K177" i="19"/>
  <c r="N177" i="19" s="1"/>
  <c r="J177" i="19"/>
  <c r="L189" i="19"/>
  <c r="K189" i="19"/>
  <c r="N189" i="19" s="1"/>
  <c r="J189" i="19"/>
  <c r="M189" i="19" s="1"/>
  <c r="G175" i="19"/>
  <c r="L179" i="19"/>
  <c r="K179" i="19"/>
  <c r="N179" i="19" s="1"/>
  <c r="J179" i="19"/>
  <c r="M179" i="19" s="1"/>
  <c r="L205" i="19"/>
  <c r="K205" i="19"/>
  <c r="O205" i="19" s="1"/>
  <c r="J205" i="19"/>
  <c r="M205" i="19" s="1"/>
  <c r="G204" i="19"/>
  <c r="L185" i="19"/>
  <c r="K185" i="19"/>
  <c r="O185" i="19" s="1"/>
  <c r="J185" i="19"/>
  <c r="M185" i="19" s="1"/>
  <c r="G184" i="19"/>
  <c r="M177" i="19" l="1"/>
  <c r="U14" i="17"/>
  <c r="O235" i="19"/>
  <c r="N180" i="19"/>
  <c r="O177" i="19"/>
  <c r="O216" i="19"/>
  <c r="O189" i="19"/>
  <c r="O179" i="19"/>
  <c r="N205" i="19"/>
  <c r="N185" i="19"/>
  <c r="G176" i="19" l="1"/>
  <c r="L178" i="19"/>
  <c r="K178" i="19"/>
  <c r="O178" i="19" s="1"/>
  <c r="J178" i="19"/>
  <c r="G177" i="19"/>
  <c r="G179" i="19"/>
  <c r="G178" i="19"/>
  <c r="L195" i="19"/>
  <c r="K195" i="19"/>
  <c r="N195" i="19" s="1"/>
  <c r="J195" i="19"/>
  <c r="M195" i="19" s="1"/>
  <c r="M178" i="19" l="1"/>
  <c r="N178" i="19"/>
  <c r="O195" i="19"/>
  <c r="L239" i="19" l="1"/>
  <c r="K239" i="19"/>
  <c r="O239" i="19" s="1"/>
  <c r="J239" i="19"/>
  <c r="M239" i="19" s="1"/>
  <c r="L206" i="19"/>
  <c r="K206" i="19"/>
  <c r="O206" i="19" s="1"/>
  <c r="J206" i="19"/>
  <c r="M206" i="19" s="1"/>
  <c r="G56" i="2"/>
  <c r="G55" i="2"/>
  <c r="F56" i="2"/>
  <c r="F55" i="2"/>
  <c r="L183" i="19"/>
  <c r="K183" i="19"/>
  <c r="O183" i="19" s="1"/>
  <c r="J183" i="19"/>
  <c r="M183" i="19" s="1"/>
  <c r="T12" i="17"/>
  <c r="R12" i="17"/>
  <c r="O12" i="17"/>
  <c r="K12" i="17"/>
  <c r="G12" i="17"/>
  <c r="E12" i="17"/>
  <c r="U13" i="17" l="1"/>
  <c r="I55" i="2"/>
  <c r="I56" i="2"/>
  <c r="N239" i="19"/>
  <c r="N183" i="19"/>
  <c r="N206" i="19"/>
  <c r="H55" i="2"/>
  <c r="H56" i="2"/>
  <c r="G180" i="19"/>
  <c r="L182" i="19"/>
  <c r="K182" i="19"/>
  <c r="N182" i="19" s="1"/>
  <c r="J182" i="19"/>
  <c r="L191" i="19"/>
  <c r="K191" i="19"/>
  <c r="O191" i="19" s="1"/>
  <c r="J191" i="19"/>
  <c r="M191" i="19" s="1"/>
  <c r="G58" i="2"/>
  <c r="F58" i="2"/>
  <c r="G183" i="19"/>
  <c r="G182" i="19"/>
  <c r="G181" i="19"/>
  <c r="L230" i="19"/>
  <c r="K230" i="19"/>
  <c r="O230" i="19" s="1"/>
  <c r="J230" i="19"/>
  <c r="M230" i="19" s="1"/>
  <c r="I58" i="2" l="1"/>
  <c r="M182" i="19"/>
  <c r="O182" i="19"/>
  <c r="N191" i="19"/>
  <c r="H58" i="2"/>
  <c r="N230" i="19"/>
  <c r="G187" i="19" l="1"/>
  <c r="G186" i="19"/>
  <c r="G185" i="19"/>
  <c r="L194" i="19"/>
  <c r="K194" i="19"/>
  <c r="O194" i="19" s="1"/>
  <c r="J194" i="19"/>
  <c r="M194" i="19" s="1"/>
  <c r="L251" i="19"/>
  <c r="K251" i="19"/>
  <c r="O251" i="19" s="1"/>
  <c r="J251" i="19"/>
  <c r="G188" i="19"/>
  <c r="G189" i="19"/>
  <c r="L192" i="19"/>
  <c r="K192" i="19"/>
  <c r="O192" i="19" s="1"/>
  <c r="J192" i="19"/>
  <c r="M192" i="19" s="1"/>
  <c r="L225" i="19"/>
  <c r="K225" i="19"/>
  <c r="O225" i="19" s="1"/>
  <c r="J225" i="19"/>
  <c r="M225" i="19" s="1"/>
  <c r="G193" i="19"/>
  <c r="G192" i="19"/>
  <c r="G191" i="19"/>
  <c r="G190" i="19"/>
  <c r="L228" i="19"/>
  <c r="K228" i="19"/>
  <c r="O228" i="19" s="1"/>
  <c r="J228" i="19"/>
  <c r="M228" i="19" s="1"/>
  <c r="G228" i="19"/>
  <c r="L212" i="19"/>
  <c r="K212" i="19"/>
  <c r="O212" i="19" s="1"/>
  <c r="J212" i="19"/>
  <c r="M212" i="19" s="1"/>
  <c r="J24" i="17"/>
  <c r="F24" i="17"/>
  <c r="F66" i="2"/>
  <c r="K24" i="17" l="1"/>
  <c r="I24" i="17"/>
  <c r="M251" i="19"/>
  <c r="I66" i="2"/>
  <c r="N194" i="19"/>
  <c r="N192" i="19"/>
  <c r="N251" i="19"/>
  <c r="H66" i="2"/>
  <c r="N225" i="19"/>
  <c r="N228" i="19"/>
  <c r="N212" i="19"/>
  <c r="L199" i="19"/>
  <c r="K199" i="19"/>
  <c r="O199" i="19" s="1"/>
  <c r="J199" i="19"/>
  <c r="M199" i="19" s="1"/>
  <c r="T11" i="17"/>
  <c r="U12" i="17" s="1"/>
  <c r="R11" i="17"/>
  <c r="O11" i="17"/>
  <c r="K11" i="17"/>
  <c r="G11" i="17"/>
  <c r="E11" i="17"/>
  <c r="G194" i="19"/>
  <c r="G195" i="19"/>
  <c r="L196" i="19"/>
  <c r="K196" i="19"/>
  <c r="O196" i="19" s="1"/>
  <c r="J196" i="19"/>
  <c r="M196" i="19" s="1"/>
  <c r="L224" i="19"/>
  <c r="K224" i="19"/>
  <c r="N224" i="19" s="1"/>
  <c r="J224" i="19"/>
  <c r="M224" i="19" s="1"/>
  <c r="G196" i="19"/>
  <c r="L197" i="19"/>
  <c r="K197" i="19"/>
  <c r="N197" i="19" s="1"/>
  <c r="J197" i="19"/>
  <c r="M197" i="19" s="1"/>
  <c r="N199" i="19" l="1"/>
  <c r="N196" i="19"/>
  <c r="O224" i="19"/>
  <c r="O197" i="19"/>
  <c r="L226" i="19"/>
  <c r="K226" i="19"/>
  <c r="O226" i="19" s="1"/>
  <c r="J226" i="19"/>
  <c r="M226" i="19" s="1"/>
  <c r="L202" i="19"/>
  <c r="K202" i="19"/>
  <c r="O202" i="19" s="1"/>
  <c r="J202" i="19"/>
  <c r="M202" i="19" s="1"/>
  <c r="G199" i="19"/>
  <c r="G198" i="19"/>
  <c r="G197" i="19"/>
  <c r="I4" i="3"/>
  <c r="H4" i="3"/>
  <c r="J4" i="3"/>
  <c r="L200" i="19"/>
  <c r="K200" i="19"/>
  <c r="O200" i="19" s="1"/>
  <c r="J200" i="19"/>
  <c r="M200" i="19" s="1"/>
  <c r="L210" i="19"/>
  <c r="K210" i="19"/>
  <c r="O210" i="19" s="1"/>
  <c r="J210" i="19"/>
  <c r="M210" i="19" s="1"/>
  <c r="G200" i="19"/>
  <c r="L208" i="19"/>
  <c r="K208" i="19"/>
  <c r="N208" i="19" s="1"/>
  <c r="J208" i="19"/>
  <c r="M208" i="19" s="1"/>
  <c r="L201" i="19"/>
  <c r="K201" i="19"/>
  <c r="O201" i="19" s="1"/>
  <c r="J201" i="19"/>
  <c r="M201" i="19" s="1"/>
  <c r="N210" i="19" l="1"/>
  <c r="N226" i="19"/>
  <c r="N202" i="19"/>
  <c r="N200" i="19"/>
  <c r="O208" i="19"/>
  <c r="N201" i="19"/>
  <c r="L221" i="19"/>
  <c r="K221" i="19"/>
  <c r="O221" i="19" s="1"/>
  <c r="J221" i="19"/>
  <c r="M221" i="19" s="1"/>
  <c r="N221" i="19" l="1"/>
  <c r="G201" i="19" l="1"/>
  <c r="L217" i="19"/>
  <c r="K217" i="19"/>
  <c r="O217" i="19" s="1"/>
  <c r="J217" i="19"/>
  <c r="G205" i="19"/>
  <c r="G202" i="19"/>
  <c r="M217" i="19" l="1"/>
  <c r="N217" i="19"/>
  <c r="L229" i="19" l="1"/>
  <c r="K229" i="19"/>
  <c r="O229" i="19" s="1"/>
  <c r="J229" i="19"/>
  <c r="M229" i="19" s="1"/>
  <c r="N229" i="19" l="1"/>
  <c r="G206" i="19" l="1"/>
  <c r="K223" i="19" l="1"/>
  <c r="N223" i="19" s="1"/>
  <c r="G207" i="19"/>
  <c r="L223" i="19"/>
  <c r="J223" i="19"/>
  <c r="E26" i="20"/>
  <c r="R25" i="20"/>
  <c r="Q25" i="20"/>
  <c r="N25" i="20"/>
  <c r="O25" i="20" s="1"/>
  <c r="J25" i="20"/>
  <c r="K25" i="20" s="1"/>
  <c r="F25" i="20"/>
  <c r="G25" i="20" s="1"/>
  <c r="D25" i="20"/>
  <c r="E25" i="20" s="1"/>
  <c r="C25" i="20"/>
  <c r="R23" i="20"/>
  <c r="Q23" i="20"/>
  <c r="N23" i="20"/>
  <c r="O23" i="20" s="1"/>
  <c r="J23" i="20"/>
  <c r="K23" i="20" s="1"/>
  <c r="F23" i="20"/>
  <c r="D23" i="20"/>
  <c r="E23" i="20" s="1"/>
  <c r="C23" i="20"/>
  <c r="T20" i="20"/>
  <c r="R20" i="20"/>
  <c r="O20" i="20"/>
  <c r="K20" i="20"/>
  <c r="G20" i="20"/>
  <c r="E20" i="20"/>
  <c r="T19" i="20"/>
  <c r="U19" i="20" s="1"/>
  <c r="R19" i="20"/>
  <c r="O19" i="20"/>
  <c r="K19" i="20"/>
  <c r="G19" i="20"/>
  <c r="E19" i="20"/>
  <c r="T18" i="20"/>
  <c r="R18" i="20"/>
  <c r="O18" i="20"/>
  <c r="K18" i="20"/>
  <c r="G18" i="20"/>
  <c r="E18" i="20"/>
  <c r="T17" i="20"/>
  <c r="R17" i="20"/>
  <c r="O17" i="20"/>
  <c r="K17" i="20"/>
  <c r="G17" i="20"/>
  <c r="E17" i="20"/>
  <c r="T16" i="20"/>
  <c r="U16" i="20" s="1"/>
  <c r="R16" i="20"/>
  <c r="O16" i="20"/>
  <c r="K16" i="20"/>
  <c r="G16" i="20"/>
  <c r="E16" i="20"/>
  <c r="T15" i="20"/>
  <c r="R15" i="20"/>
  <c r="O15" i="20"/>
  <c r="K15" i="20"/>
  <c r="G15" i="20"/>
  <c r="E15" i="20"/>
  <c r="T14" i="20"/>
  <c r="U14" i="20" s="1"/>
  <c r="R14" i="20"/>
  <c r="O14" i="20"/>
  <c r="K14" i="20"/>
  <c r="G14" i="20"/>
  <c r="E14" i="20"/>
  <c r="T13" i="20"/>
  <c r="R13" i="20"/>
  <c r="O13" i="20"/>
  <c r="K13" i="20"/>
  <c r="G13" i="20"/>
  <c r="E13" i="20"/>
  <c r="T12" i="20"/>
  <c r="R12" i="20"/>
  <c r="O12" i="20"/>
  <c r="K12" i="20"/>
  <c r="G12" i="20"/>
  <c r="E12" i="20"/>
  <c r="T11" i="20"/>
  <c r="U12" i="20" s="1"/>
  <c r="R11" i="20"/>
  <c r="O11" i="20"/>
  <c r="K11" i="20"/>
  <c r="G11" i="20"/>
  <c r="E11" i="20"/>
  <c r="T10" i="20"/>
  <c r="R10" i="20"/>
  <c r="O10" i="20"/>
  <c r="K10" i="20"/>
  <c r="G10" i="20"/>
  <c r="E10" i="20"/>
  <c r="T9" i="20"/>
  <c r="R9" i="20"/>
  <c r="R28" i="20" s="1"/>
  <c r="O9" i="20"/>
  <c r="K9" i="20"/>
  <c r="K28" i="20" s="1"/>
  <c r="G9" i="20"/>
  <c r="E9" i="20"/>
  <c r="T8" i="20"/>
  <c r="U8" i="20" s="1"/>
  <c r="R8" i="20"/>
  <c r="O8" i="20"/>
  <c r="K8" i="20"/>
  <c r="G8" i="20"/>
  <c r="E8" i="20"/>
  <c r="T7" i="20"/>
  <c r="R7" i="20"/>
  <c r="O7" i="20"/>
  <c r="K7" i="20"/>
  <c r="G7" i="20"/>
  <c r="E7" i="20"/>
  <c r="T6" i="20"/>
  <c r="R6" i="20"/>
  <c r="O6" i="20"/>
  <c r="K6" i="20"/>
  <c r="G6" i="20"/>
  <c r="E6" i="20"/>
  <c r="T5" i="20"/>
  <c r="R5" i="20"/>
  <c r="K5" i="20"/>
  <c r="G5" i="20"/>
  <c r="E5" i="20"/>
  <c r="T4" i="20"/>
  <c r="R4" i="20"/>
  <c r="K4" i="20"/>
  <c r="G4" i="20"/>
  <c r="E4" i="20"/>
  <c r="T3" i="20"/>
  <c r="M25" i="20" l="1"/>
  <c r="V17" i="20"/>
  <c r="U20" i="20"/>
  <c r="O28" i="20"/>
  <c r="G23" i="20"/>
  <c r="U10" i="20"/>
  <c r="G28" i="20"/>
  <c r="V6" i="20"/>
  <c r="V4" i="20"/>
  <c r="V7" i="20"/>
  <c r="V5" i="20"/>
  <c r="V13" i="20"/>
  <c r="M223" i="19"/>
  <c r="M2" i="19" s="1"/>
  <c r="J2" i="19"/>
  <c r="O223" i="19"/>
  <c r="E28" i="20"/>
  <c r="U11" i="20"/>
  <c r="V14" i="20"/>
  <c r="U7" i="20"/>
  <c r="U13" i="20"/>
  <c r="U23" i="20"/>
  <c r="U4" i="20"/>
  <c r="V10" i="20"/>
  <c r="V16" i="20"/>
  <c r="V19" i="20"/>
  <c r="T25" i="20"/>
  <c r="V8" i="20"/>
  <c r="V20" i="20"/>
  <c r="I23" i="20"/>
  <c r="U25" i="20"/>
  <c r="V11" i="20"/>
  <c r="U6" i="20"/>
  <c r="U9" i="20"/>
  <c r="U15" i="20"/>
  <c r="U18" i="20"/>
  <c r="U5" i="20"/>
  <c r="T23" i="20"/>
  <c r="V9" i="20"/>
  <c r="V12" i="20"/>
  <c r="V15" i="20"/>
  <c r="V18" i="20"/>
  <c r="M23" i="20"/>
  <c r="I25" i="20"/>
  <c r="U17" i="20"/>
  <c r="U28" i="20" l="1"/>
  <c r="E10" i="17" l="1"/>
  <c r="G272" i="19"/>
  <c r="G269" i="19"/>
  <c r="G267" i="19"/>
  <c r="G264" i="19"/>
  <c r="G263" i="19"/>
  <c r="G261" i="19"/>
  <c r="G259" i="19"/>
  <c r="G258" i="19"/>
  <c r="G257" i="19"/>
  <c r="G255" i="19"/>
  <c r="G252" i="19"/>
  <c r="G251" i="19"/>
  <c r="G250" i="19"/>
  <c r="G249" i="19"/>
  <c r="G248" i="19"/>
  <c r="G245" i="19"/>
  <c r="G243" i="19"/>
  <c r="G242" i="19"/>
  <c r="G239" i="19"/>
  <c r="G238" i="19"/>
  <c r="G237" i="19"/>
  <c r="G235" i="19"/>
  <c r="G230" i="19"/>
  <c r="G229" i="19"/>
  <c r="G227" i="19"/>
  <c r="G226" i="19"/>
  <c r="G225" i="19"/>
  <c r="G224" i="19"/>
  <c r="G223" i="19"/>
  <c r="G222" i="19"/>
  <c r="G221" i="19"/>
  <c r="G220" i="19"/>
  <c r="G219" i="19"/>
  <c r="G218" i="19"/>
  <c r="G217" i="19"/>
  <c r="G216" i="19"/>
  <c r="G215" i="19"/>
  <c r="G212" i="19"/>
  <c r="G211" i="19"/>
  <c r="G210" i="19"/>
  <c r="G209" i="19"/>
  <c r="G208" i="19"/>
  <c r="P2" i="19"/>
  <c r="V11" i="17"/>
  <c r="T9" i="17"/>
  <c r="R10" i="17"/>
  <c r="R9" i="17"/>
  <c r="O10" i="17"/>
  <c r="O9" i="17"/>
  <c r="D26" i="17"/>
  <c r="E26" i="17" s="1"/>
  <c r="K10" i="17"/>
  <c r="K9" i="17"/>
  <c r="G9" i="17"/>
  <c r="E9" i="17"/>
  <c r="G4" i="18"/>
  <c r="V21" i="17" l="1"/>
  <c r="V20" i="17"/>
  <c r="V19" i="17"/>
  <c r="V18" i="17"/>
  <c r="V17" i="17"/>
  <c r="V16" i="17"/>
  <c r="V15" i="17"/>
  <c r="V14" i="17"/>
  <c r="T24" i="17"/>
  <c r="V13" i="17"/>
  <c r="V12" i="17"/>
  <c r="U24" i="17"/>
  <c r="L2" i="19"/>
  <c r="K2" i="19"/>
  <c r="N2" i="19"/>
  <c r="Q2" i="19" s="1"/>
  <c r="R2" i="19" s="1"/>
  <c r="M139" i="18"/>
  <c r="L139" i="18"/>
  <c r="K139" i="18"/>
  <c r="N139" i="18" s="1"/>
  <c r="J139" i="18"/>
  <c r="J189" i="18"/>
  <c r="M189" i="18" s="1"/>
  <c r="K189" i="18"/>
  <c r="N189" i="18" s="1"/>
  <c r="L189" i="18"/>
  <c r="O2" i="19" l="1"/>
  <c r="L8" i="18"/>
  <c r="K8" i="18"/>
  <c r="N8" i="18" s="1"/>
  <c r="J8" i="18"/>
  <c r="M8" i="18" s="1"/>
  <c r="O8" i="18" l="1"/>
  <c r="G5" i="18" l="1"/>
  <c r="L9" i="18"/>
  <c r="K9" i="18"/>
  <c r="N9" i="18" s="1"/>
  <c r="J9" i="18"/>
  <c r="M9" i="18" s="1"/>
  <c r="G6" i="18" l="1"/>
  <c r="L247" i="18"/>
  <c r="K247" i="18"/>
  <c r="O247" i="18" s="1"/>
  <c r="J247" i="18"/>
  <c r="M247" i="18" s="1"/>
  <c r="G8" i="18"/>
  <c r="G7" i="18"/>
  <c r="L19" i="18"/>
  <c r="K19" i="18"/>
  <c r="N19" i="18" s="1"/>
  <c r="J19" i="18"/>
  <c r="M19" i="18" s="1"/>
  <c r="L18" i="18"/>
  <c r="K18" i="18"/>
  <c r="N18" i="18" s="1"/>
  <c r="J18" i="18"/>
  <c r="M18" i="18" s="1"/>
  <c r="G9" i="18"/>
  <c r="L58" i="18"/>
  <c r="K58" i="18"/>
  <c r="N58" i="18" s="1"/>
  <c r="J58" i="18"/>
  <c r="M58" i="18" s="1"/>
  <c r="L101" i="18"/>
  <c r="K101" i="18"/>
  <c r="N101" i="18" s="1"/>
  <c r="J101" i="18"/>
  <c r="M101" i="18" s="1"/>
  <c r="G14" i="18"/>
  <c r="G13" i="18"/>
  <c r="G12" i="18"/>
  <c r="G11" i="18"/>
  <c r="G10" i="18"/>
  <c r="L199" i="18"/>
  <c r="K199" i="18"/>
  <c r="N199" i="18" s="1"/>
  <c r="J199" i="18"/>
  <c r="M199" i="18" s="1"/>
  <c r="L24" i="18"/>
  <c r="K24" i="18"/>
  <c r="N24" i="18" s="1"/>
  <c r="J24" i="18"/>
  <c r="M24" i="18" s="1"/>
  <c r="L15" i="18"/>
  <c r="K15" i="18"/>
  <c r="N15" i="18" s="1"/>
  <c r="J15" i="18"/>
  <c r="M15" i="18" s="1"/>
  <c r="G17" i="18"/>
  <c r="G16" i="18"/>
  <c r="G15" i="18"/>
  <c r="L21" i="18"/>
  <c r="K21" i="18"/>
  <c r="N21" i="18" s="1"/>
  <c r="J21" i="18"/>
  <c r="M21" i="18" s="1"/>
  <c r="G20" i="18"/>
  <c r="G19" i="18"/>
  <c r="G18" i="18"/>
  <c r="L20" i="18"/>
  <c r="K20" i="18"/>
  <c r="N20" i="18" s="1"/>
  <c r="J20" i="18"/>
  <c r="M20" i="18" s="1"/>
  <c r="L49" i="18"/>
  <c r="K49" i="18"/>
  <c r="N49" i="18" s="1"/>
  <c r="J49" i="18"/>
  <c r="M49" i="18" s="1"/>
  <c r="G57" i="2"/>
  <c r="F57" i="2"/>
  <c r="L33" i="18"/>
  <c r="K33" i="18"/>
  <c r="N33" i="18" s="1"/>
  <c r="J33" i="18"/>
  <c r="M33" i="18" s="1"/>
  <c r="L25" i="18"/>
  <c r="K25" i="18"/>
  <c r="N25" i="18" s="1"/>
  <c r="J25" i="18"/>
  <c r="M25" i="18" s="1"/>
  <c r="G48" i="2"/>
  <c r="G47" i="2"/>
  <c r="F48" i="2"/>
  <c r="F47" i="2"/>
  <c r="I48" i="2" l="1"/>
  <c r="I47" i="2"/>
  <c r="H57" i="2"/>
  <c r="N247" i="18"/>
  <c r="H48" i="2"/>
  <c r="I57" i="2"/>
  <c r="H47" i="2"/>
  <c r="G25" i="18"/>
  <c r="G24" i="18"/>
  <c r="G23" i="18"/>
  <c r="G22" i="18"/>
  <c r="G21" i="18"/>
  <c r="L29" i="18"/>
  <c r="K29" i="18"/>
  <c r="N29" i="18" s="1"/>
  <c r="J29" i="18"/>
  <c r="M29" i="18" s="1"/>
  <c r="L26" i="18"/>
  <c r="K26" i="18"/>
  <c r="N26" i="18" s="1"/>
  <c r="J26" i="18"/>
  <c r="M26" i="18" s="1"/>
  <c r="L404" i="18"/>
  <c r="K404" i="18"/>
  <c r="N404" i="18" s="1"/>
  <c r="J404" i="18"/>
  <c r="M404" i="18" s="1"/>
  <c r="G404" i="18"/>
  <c r="L27" i="18"/>
  <c r="K27" i="18"/>
  <c r="N27" i="18" s="1"/>
  <c r="J27" i="18"/>
  <c r="M27" i="18" s="1"/>
  <c r="G26" i="18" l="1"/>
  <c r="L32" i="18"/>
  <c r="K32" i="18"/>
  <c r="N32" i="18" s="1"/>
  <c r="J32" i="18"/>
  <c r="M32" i="18" s="1"/>
  <c r="G27" i="18"/>
  <c r="L28" i="18"/>
  <c r="K28" i="18"/>
  <c r="N28" i="18" s="1"/>
  <c r="J28" i="18"/>
  <c r="M28" i="18" s="1"/>
  <c r="G29" i="18" l="1"/>
  <c r="G28" i="18"/>
  <c r="L270" i="18"/>
  <c r="K270" i="18"/>
  <c r="N270" i="18" s="1"/>
  <c r="J270" i="18"/>
  <c r="M270" i="18" s="1"/>
  <c r="L163" i="18"/>
  <c r="K163" i="18"/>
  <c r="N163" i="18" s="1"/>
  <c r="J163" i="18"/>
  <c r="M163" i="18" s="1"/>
  <c r="L110" i="18"/>
  <c r="K110" i="18"/>
  <c r="N110" i="18" s="1"/>
  <c r="J110" i="18"/>
  <c r="M110" i="18" s="1"/>
  <c r="G31" i="18"/>
  <c r="G30" i="18"/>
  <c r="O110" i="18" l="1"/>
  <c r="G49" i="18"/>
  <c r="G43" i="18"/>
  <c r="L99" i="18"/>
  <c r="K99" i="18"/>
  <c r="N99" i="18" s="1"/>
  <c r="J99" i="18"/>
  <c r="M99" i="18" s="1"/>
  <c r="L34" i="18"/>
  <c r="K34" i="18"/>
  <c r="N34" i="18" s="1"/>
  <c r="J34" i="18"/>
  <c r="M34" i="18" s="1"/>
  <c r="G34" i="18"/>
  <c r="G33" i="18"/>
  <c r="G32" i="18"/>
  <c r="L36" i="18"/>
  <c r="K36" i="18"/>
  <c r="N36" i="18" s="1"/>
  <c r="J36" i="18"/>
  <c r="M36" i="18" s="1"/>
  <c r="L43" i="18"/>
  <c r="K43" i="18"/>
  <c r="N43" i="18" s="1"/>
  <c r="J43" i="18"/>
  <c r="M43" i="18" s="1"/>
  <c r="G35" i="18"/>
  <c r="G60" i="2"/>
  <c r="F60" i="2"/>
  <c r="L37" i="18"/>
  <c r="K37" i="18"/>
  <c r="N37" i="18" s="1"/>
  <c r="J37" i="18"/>
  <c r="M37" i="18" s="1"/>
  <c r="L38" i="18"/>
  <c r="K38" i="18"/>
  <c r="N38" i="18" s="1"/>
  <c r="J38" i="18"/>
  <c r="M38" i="18" s="1"/>
  <c r="L40" i="18"/>
  <c r="K40" i="18"/>
  <c r="N40" i="18" s="1"/>
  <c r="J40" i="18"/>
  <c r="M40" i="18" s="1"/>
  <c r="G36" i="18"/>
  <c r="G38" i="18"/>
  <c r="G37" i="18"/>
  <c r="L41" i="18"/>
  <c r="K41" i="18"/>
  <c r="N41" i="18" s="1"/>
  <c r="J41" i="18"/>
  <c r="M41" i="18" s="1"/>
  <c r="L45" i="18"/>
  <c r="K45" i="18"/>
  <c r="N45" i="18" s="1"/>
  <c r="J45" i="18"/>
  <c r="M45" i="18" s="1"/>
  <c r="L81" i="18"/>
  <c r="K81" i="18"/>
  <c r="N81" i="18" s="1"/>
  <c r="J81" i="18"/>
  <c r="M81" i="18" s="1"/>
  <c r="L39" i="18"/>
  <c r="K39" i="18"/>
  <c r="N39" i="18" s="1"/>
  <c r="J39" i="18"/>
  <c r="M39" i="18" s="1"/>
  <c r="H60" i="2" l="1"/>
  <c r="O38" i="18"/>
  <c r="I60" i="2"/>
  <c r="G39" i="18"/>
  <c r="G41" i="18"/>
  <c r="G40" i="18"/>
  <c r="L44" i="18"/>
  <c r="K44" i="18"/>
  <c r="N44" i="18" s="1"/>
  <c r="J44" i="18"/>
  <c r="M44" i="18" s="1"/>
  <c r="L48" i="18"/>
  <c r="K48" i="18"/>
  <c r="N48" i="18" s="1"/>
  <c r="J48" i="18"/>
  <c r="M48" i="18" s="1"/>
  <c r="P2" i="18"/>
  <c r="L42" i="18"/>
  <c r="K42" i="18"/>
  <c r="N42" i="18" s="1"/>
  <c r="J42" i="18"/>
  <c r="M42" i="18" s="1"/>
  <c r="G42" i="18"/>
  <c r="G62" i="2"/>
  <c r="F62" i="2"/>
  <c r="L103" i="18"/>
  <c r="K103" i="18"/>
  <c r="N103" i="18" s="1"/>
  <c r="J103" i="18"/>
  <c r="M103" i="18" s="1"/>
  <c r="L62" i="18"/>
  <c r="K62" i="18"/>
  <c r="N62" i="18" s="1"/>
  <c r="J62" i="18"/>
  <c r="M62" i="18" s="1"/>
  <c r="L398" i="18"/>
  <c r="K398" i="18"/>
  <c r="O398" i="18" s="1"/>
  <c r="J398" i="18"/>
  <c r="M398" i="18" s="1"/>
  <c r="G44" i="18"/>
  <c r="L54" i="18"/>
  <c r="K54" i="18"/>
  <c r="O54" i="18" s="1"/>
  <c r="J54" i="18"/>
  <c r="M54" i="18" s="1"/>
  <c r="L52" i="18"/>
  <c r="K52" i="18"/>
  <c r="N52" i="18" s="1"/>
  <c r="J52" i="18"/>
  <c r="M52" i="18" s="1"/>
  <c r="I62" i="2" l="1"/>
  <c r="N398" i="18"/>
  <c r="H62" i="2"/>
  <c r="N54" i="18"/>
  <c r="G46" i="18" l="1"/>
  <c r="G45" i="18"/>
  <c r="G48" i="18" l="1"/>
  <c r="G47" i="18"/>
  <c r="L50" i="18"/>
  <c r="K50" i="18"/>
  <c r="J50" i="18"/>
  <c r="L146" i="18"/>
  <c r="K146" i="18"/>
  <c r="N146" i="18" s="1"/>
  <c r="J146" i="18"/>
  <c r="M146" i="18" s="1"/>
  <c r="G146" i="18"/>
  <c r="L51" i="18"/>
  <c r="K51" i="18"/>
  <c r="N51" i="18" s="1"/>
  <c r="J51" i="18"/>
  <c r="M51" i="18" s="1"/>
  <c r="L53" i="18"/>
  <c r="K53" i="18"/>
  <c r="N53" i="18" s="1"/>
  <c r="J53" i="18"/>
  <c r="M53" i="18" s="1"/>
  <c r="L55" i="18"/>
  <c r="K55" i="18"/>
  <c r="N55" i="18" s="1"/>
  <c r="J55" i="18"/>
  <c r="M55" i="18" s="1"/>
  <c r="M50" i="18" l="1"/>
  <c r="N50" i="18"/>
  <c r="G54" i="18" l="1"/>
  <c r="G53" i="18"/>
  <c r="G52" i="18"/>
  <c r="G51" i="18"/>
  <c r="G50" i="18"/>
  <c r="L56" i="18"/>
  <c r="K56" i="18"/>
  <c r="J56" i="18"/>
  <c r="L57" i="18"/>
  <c r="K57" i="18"/>
  <c r="N57" i="18" s="1"/>
  <c r="J57" i="18"/>
  <c r="M57" i="18" s="1"/>
  <c r="L63" i="18"/>
  <c r="K63" i="18"/>
  <c r="N63" i="18" s="1"/>
  <c r="J63" i="18"/>
  <c r="M63" i="18" s="1"/>
  <c r="G56" i="18"/>
  <c r="G55" i="18"/>
  <c r="L61" i="18"/>
  <c r="K61" i="18"/>
  <c r="N61" i="18" s="1"/>
  <c r="J61" i="18"/>
  <c r="M61" i="18" s="1"/>
  <c r="L59" i="18"/>
  <c r="K59" i="18"/>
  <c r="N59" i="18" s="1"/>
  <c r="J59" i="18"/>
  <c r="M59" i="18" s="1"/>
  <c r="L89" i="18"/>
  <c r="K89" i="18"/>
  <c r="N89" i="18" s="1"/>
  <c r="J89" i="18"/>
  <c r="M89" i="18" s="1"/>
  <c r="L93" i="18"/>
  <c r="K93" i="18"/>
  <c r="N93" i="18" s="1"/>
  <c r="J93" i="18"/>
  <c r="M93" i="18" s="1"/>
  <c r="L60" i="18"/>
  <c r="K60" i="18"/>
  <c r="N60" i="18" s="1"/>
  <c r="J60" i="18"/>
  <c r="M60" i="18" s="1"/>
  <c r="G60" i="18"/>
  <c r="G59" i="18"/>
  <c r="G58" i="18"/>
  <c r="G57" i="18"/>
  <c r="L65" i="18"/>
  <c r="K65" i="18"/>
  <c r="N65" i="18" s="1"/>
  <c r="J65" i="18"/>
  <c r="M65" i="18" s="1"/>
  <c r="M56" i="18" l="1"/>
  <c r="N56" i="18"/>
  <c r="L67" i="18"/>
  <c r="K67" i="18"/>
  <c r="N67" i="18" s="1"/>
  <c r="J67" i="18"/>
  <c r="M67" i="18" s="1"/>
  <c r="L64" i="18"/>
  <c r="K64" i="18"/>
  <c r="N64" i="18" s="1"/>
  <c r="J64" i="18"/>
  <c r="M64" i="18" s="1"/>
  <c r="L74" i="18"/>
  <c r="K74" i="18"/>
  <c r="N74" i="18" s="1"/>
  <c r="J74" i="18"/>
  <c r="M74" i="18" s="1"/>
  <c r="L69" i="18"/>
  <c r="K69" i="18"/>
  <c r="N69" i="18" s="1"/>
  <c r="J69" i="18"/>
  <c r="M69" i="18" s="1"/>
  <c r="L394" i="18"/>
  <c r="K394" i="18"/>
  <c r="O394" i="18" s="1"/>
  <c r="J394" i="18"/>
  <c r="M394" i="18" s="1"/>
  <c r="L393" i="18"/>
  <c r="K393" i="18"/>
  <c r="O393" i="18" s="1"/>
  <c r="J393" i="18"/>
  <c r="M393" i="18" s="1"/>
  <c r="G392" i="18"/>
  <c r="G393" i="18"/>
  <c r="L66" i="18"/>
  <c r="K66" i="18"/>
  <c r="N66" i="18" s="1"/>
  <c r="J66" i="18"/>
  <c r="M66" i="18" s="1"/>
  <c r="G67" i="18"/>
  <c r="G66" i="18"/>
  <c r="G65" i="18"/>
  <c r="G64" i="18"/>
  <c r="G63" i="18"/>
  <c r="G62" i="18"/>
  <c r="G61" i="18"/>
  <c r="L70" i="18"/>
  <c r="K70" i="18"/>
  <c r="N70" i="18" s="1"/>
  <c r="J70" i="18"/>
  <c r="M70" i="18" s="1"/>
  <c r="L68" i="18"/>
  <c r="K68" i="18"/>
  <c r="N68" i="18" s="1"/>
  <c r="J68" i="18"/>
  <c r="M68" i="18" s="1"/>
  <c r="G70" i="18"/>
  <c r="G69" i="18"/>
  <c r="G68" i="18"/>
  <c r="L95" i="18"/>
  <c r="K95" i="18"/>
  <c r="N95" i="18" s="1"/>
  <c r="J95" i="18"/>
  <c r="M95" i="18" s="1"/>
  <c r="L78" i="18"/>
  <c r="K78" i="18"/>
  <c r="N78" i="18" s="1"/>
  <c r="J78" i="18"/>
  <c r="M78" i="18" s="1"/>
  <c r="L243" i="18"/>
  <c r="K243" i="18"/>
  <c r="N243" i="18" s="1"/>
  <c r="J243" i="18"/>
  <c r="M243" i="18" s="1"/>
  <c r="L72" i="18"/>
  <c r="K72" i="18"/>
  <c r="N72" i="18" s="1"/>
  <c r="J72" i="18"/>
  <c r="M72" i="18" s="1"/>
  <c r="N394" i="18" l="1"/>
  <c r="N393" i="18"/>
  <c r="O243" i="18"/>
  <c r="G71" i="18" l="1"/>
  <c r="L75" i="18"/>
  <c r="K75" i="18"/>
  <c r="J75" i="18"/>
  <c r="G74" i="18"/>
  <c r="L201" i="18"/>
  <c r="K201" i="18"/>
  <c r="N201" i="18" s="1"/>
  <c r="J201" i="18"/>
  <c r="M201" i="18" s="1"/>
  <c r="L202" i="18"/>
  <c r="K202" i="18"/>
  <c r="N202" i="18" s="1"/>
  <c r="J202" i="18"/>
  <c r="M202" i="18" s="1"/>
  <c r="G201" i="18"/>
  <c r="L79" i="18"/>
  <c r="K79" i="18"/>
  <c r="N79" i="18" s="1"/>
  <c r="J79" i="18"/>
  <c r="M79" i="18" s="1"/>
  <c r="G78" i="18"/>
  <c r="G61" i="2"/>
  <c r="F61" i="2"/>
  <c r="G73" i="18"/>
  <c r="G72" i="18"/>
  <c r="L82" i="18"/>
  <c r="K82" i="18"/>
  <c r="N82" i="18" s="1"/>
  <c r="J82" i="18"/>
  <c r="M82" i="18" s="1"/>
  <c r="L77" i="18"/>
  <c r="K77" i="18"/>
  <c r="N77" i="18" s="1"/>
  <c r="J77" i="18"/>
  <c r="M77" i="18" s="1"/>
  <c r="G76" i="18"/>
  <c r="G75" i="18"/>
  <c r="L210" i="18"/>
  <c r="K210" i="18"/>
  <c r="N210" i="18" s="1"/>
  <c r="J210" i="18"/>
  <c r="M210" i="18" s="1"/>
  <c r="L250" i="18"/>
  <c r="K250" i="18"/>
  <c r="N250" i="18" s="1"/>
  <c r="J250" i="18"/>
  <c r="M250" i="18" s="1"/>
  <c r="L102" i="18"/>
  <c r="K102" i="18"/>
  <c r="N102" i="18" s="1"/>
  <c r="J102" i="18"/>
  <c r="M102" i="18" s="1"/>
  <c r="L83" i="18"/>
  <c r="K83" i="18"/>
  <c r="N83" i="18" s="1"/>
  <c r="J83" i="18"/>
  <c r="M83" i="18" s="1"/>
  <c r="G82" i="18"/>
  <c r="G79" i="18"/>
  <c r="G77" i="18"/>
  <c r="L84" i="18"/>
  <c r="K84" i="18"/>
  <c r="N84" i="18" s="1"/>
  <c r="J84" i="18"/>
  <c r="M84" i="18" s="1"/>
  <c r="G81" i="18"/>
  <c r="G80" i="18"/>
  <c r="L177" i="18"/>
  <c r="K177" i="18"/>
  <c r="N177" i="18" s="1"/>
  <c r="J177" i="18"/>
  <c r="M177" i="18" s="1"/>
  <c r="G72" i="2"/>
  <c r="F72" i="2"/>
  <c r="G83" i="18"/>
  <c r="L86" i="18"/>
  <c r="K86" i="18"/>
  <c r="N86" i="18" s="1"/>
  <c r="J86" i="18"/>
  <c r="M86" i="18" s="1"/>
  <c r="I61" i="2" l="1"/>
  <c r="M75" i="18"/>
  <c r="O75" i="18"/>
  <c r="N75" i="18"/>
  <c r="O201" i="18"/>
  <c r="H61" i="2"/>
  <c r="H72" i="2"/>
  <c r="I72" i="2"/>
  <c r="L157" i="18"/>
  <c r="K157" i="18"/>
  <c r="N157" i="18" s="1"/>
  <c r="J157" i="18"/>
  <c r="M157" i="18" s="1"/>
  <c r="L203" i="18"/>
  <c r="K203" i="18"/>
  <c r="N203" i="18" s="1"/>
  <c r="J203" i="18"/>
  <c r="M203" i="18" s="1"/>
  <c r="G202" i="18"/>
  <c r="L120" i="18"/>
  <c r="K120" i="18"/>
  <c r="N120" i="18" s="1"/>
  <c r="J120" i="18"/>
  <c r="M120" i="18" s="1"/>
  <c r="G119" i="18"/>
  <c r="L85" i="18"/>
  <c r="K85" i="18"/>
  <c r="N85" i="18" s="1"/>
  <c r="J85" i="18"/>
  <c r="M85" i="18" s="1"/>
  <c r="G85" i="18"/>
  <c r="G84" i="18"/>
  <c r="L111" i="18"/>
  <c r="K111" i="18"/>
  <c r="N111" i="18" s="1"/>
  <c r="J111" i="18"/>
  <c r="M111" i="18" s="1"/>
  <c r="G86" i="18"/>
  <c r="L100" i="18"/>
  <c r="K100" i="18"/>
  <c r="N100" i="18" s="1"/>
  <c r="J100" i="18"/>
  <c r="M100" i="18" s="1"/>
  <c r="L244" i="18"/>
  <c r="K244" i="18"/>
  <c r="O244" i="18" s="1"/>
  <c r="J244" i="18"/>
  <c r="M244" i="18" s="1"/>
  <c r="G243" i="18"/>
  <c r="L105" i="18"/>
  <c r="K105" i="18"/>
  <c r="N105" i="18" s="1"/>
  <c r="J105" i="18"/>
  <c r="M105" i="18" s="1"/>
  <c r="G104" i="18"/>
  <c r="L108" i="18"/>
  <c r="K108" i="18"/>
  <c r="N108" i="18" s="1"/>
  <c r="J108" i="18"/>
  <c r="M108" i="18" s="1"/>
  <c r="L109" i="18"/>
  <c r="K109" i="18"/>
  <c r="N109" i="18" s="1"/>
  <c r="J109" i="18"/>
  <c r="M109" i="18" s="1"/>
  <c r="G109" i="18"/>
  <c r="G108" i="18"/>
  <c r="L166" i="18"/>
  <c r="K166" i="18"/>
  <c r="N166" i="18" s="1"/>
  <c r="J166" i="18"/>
  <c r="M166" i="18" s="1"/>
  <c r="L251" i="18"/>
  <c r="K251" i="18"/>
  <c r="O251" i="18" s="1"/>
  <c r="J251" i="18"/>
  <c r="M251" i="18" s="1"/>
  <c r="G250" i="18"/>
  <c r="L87" i="18"/>
  <c r="K87" i="18"/>
  <c r="N87" i="18" s="1"/>
  <c r="J87" i="18"/>
  <c r="M87" i="18" s="1"/>
  <c r="G87" i="18"/>
  <c r="L106" i="18"/>
  <c r="K106" i="18"/>
  <c r="O106" i="18" s="1"/>
  <c r="J106" i="18"/>
  <c r="M106" i="18" s="1"/>
  <c r="G105" i="18"/>
  <c r="L88" i="18"/>
  <c r="K88" i="18"/>
  <c r="O88" i="18" s="1"/>
  <c r="J88" i="18"/>
  <c r="M88" i="18" s="1"/>
  <c r="L90" i="18"/>
  <c r="K90" i="18"/>
  <c r="N90" i="18" s="1"/>
  <c r="J90" i="18"/>
  <c r="M90" i="18" s="1"/>
  <c r="G88" i="18"/>
  <c r="L92" i="18"/>
  <c r="K92" i="18"/>
  <c r="N92" i="18" s="1"/>
  <c r="J92" i="18"/>
  <c r="M92" i="18" s="1"/>
  <c r="L115" i="18"/>
  <c r="K115" i="18"/>
  <c r="N115" i="18" s="1"/>
  <c r="J115" i="18"/>
  <c r="M115" i="18" s="1"/>
  <c r="G37" i="2"/>
  <c r="F37" i="2"/>
  <c r="G89" i="18"/>
  <c r="L122" i="18"/>
  <c r="K122" i="18"/>
  <c r="N122" i="18" s="1"/>
  <c r="J122" i="18"/>
  <c r="M122" i="18" s="1"/>
  <c r="L91" i="18"/>
  <c r="K91" i="18"/>
  <c r="N91" i="18" s="1"/>
  <c r="J91" i="18"/>
  <c r="M91" i="18" s="1"/>
  <c r="G92" i="18"/>
  <c r="G91" i="18"/>
  <c r="G90" i="18"/>
  <c r="L342" i="18"/>
  <c r="K342" i="18"/>
  <c r="N342" i="18" s="1"/>
  <c r="J342" i="18"/>
  <c r="M342" i="18" s="1"/>
  <c r="L207" i="18"/>
  <c r="K207" i="18"/>
  <c r="N207" i="18" s="1"/>
  <c r="J207" i="18"/>
  <c r="M207" i="18" s="1"/>
  <c r="L206" i="18"/>
  <c r="K206" i="18"/>
  <c r="N206" i="18" s="1"/>
  <c r="J206" i="18"/>
  <c r="M206" i="18" s="1"/>
  <c r="G206" i="18"/>
  <c r="G205" i="18"/>
  <c r="L218" i="18"/>
  <c r="K218" i="18"/>
  <c r="N218" i="18" s="1"/>
  <c r="J218" i="18"/>
  <c r="M218" i="18" s="1"/>
  <c r="L217" i="18"/>
  <c r="K217" i="18"/>
  <c r="N217" i="18" s="1"/>
  <c r="J217" i="18"/>
  <c r="M217" i="18" s="1"/>
  <c r="G217" i="18"/>
  <c r="G216" i="18"/>
  <c r="L98" i="18"/>
  <c r="K98" i="18"/>
  <c r="O98" i="18" s="1"/>
  <c r="J98" i="18"/>
  <c r="M98" i="18" s="1"/>
  <c r="L96" i="18"/>
  <c r="K96" i="18"/>
  <c r="N96" i="18" s="1"/>
  <c r="J96" i="18"/>
  <c r="M96" i="18" s="1"/>
  <c r="L141" i="18"/>
  <c r="K141" i="18"/>
  <c r="N141" i="18" s="1"/>
  <c r="J141" i="18"/>
  <c r="M141" i="18" s="1"/>
  <c r="G94" i="18"/>
  <c r="G93" i="18"/>
  <c r="L112" i="18"/>
  <c r="K112" i="18"/>
  <c r="N112" i="18" s="1"/>
  <c r="J112" i="18"/>
  <c r="M112" i="18" s="1"/>
  <c r="G97" i="18"/>
  <c r="G96" i="18"/>
  <c r="G95" i="18"/>
  <c r="L107" i="18"/>
  <c r="K107" i="18"/>
  <c r="N107" i="18" s="1"/>
  <c r="J107" i="18"/>
  <c r="M107" i="18" s="1"/>
  <c r="L415" i="18"/>
  <c r="K415" i="18"/>
  <c r="O415" i="18" s="1"/>
  <c r="J415" i="18"/>
  <c r="M415" i="18" s="1"/>
  <c r="G98" i="18"/>
  <c r="L411" i="18"/>
  <c r="K411" i="18"/>
  <c r="N411" i="18" s="1"/>
  <c r="J411" i="18"/>
  <c r="M411" i="18" s="1"/>
  <c r="I37" i="2" l="1"/>
  <c r="O157" i="18"/>
  <c r="N244" i="18"/>
  <c r="O108" i="18"/>
  <c r="N251" i="18"/>
  <c r="N106" i="18"/>
  <c r="N88" i="18"/>
  <c r="H37" i="2"/>
  <c r="O342" i="18"/>
  <c r="N98" i="18"/>
  <c r="N415" i="18"/>
  <c r="G100" i="18"/>
  <c r="G99" i="18"/>
  <c r="G163" i="18"/>
  <c r="L162" i="18"/>
  <c r="K162" i="18"/>
  <c r="O162" i="18" s="1"/>
  <c r="J162" i="18"/>
  <c r="M162" i="18" s="1"/>
  <c r="L224" i="18"/>
  <c r="K224" i="18"/>
  <c r="O224" i="18" s="1"/>
  <c r="J224" i="18"/>
  <c r="M224" i="18" s="1"/>
  <c r="L164" i="18"/>
  <c r="K164" i="18"/>
  <c r="N164" i="18" s="1"/>
  <c r="J164" i="18"/>
  <c r="M164" i="18" s="1"/>
  <c r="G164" i="18"/>
  <c r="L114" i="18"/>
  <c r="K114" i="18"/>
  <c r="N114" i="18" s="1"/>
  <c r="J114" i="18"/>
  <c r="M114" i="18" s="1"/>
  <c r="G110" i="18"/>
  <c r="G107" i="18"/>
  <c r="G106" i="18"/>
  <c r="G103" i="18"/>
  <c r="G102" i="18"/>
  <c r="G101" i="18"/>
  <c r="L123" i="18"/>
  <c r="K123" i="18"/>
  <c r="N123" i="18" s="1"/>
  <c r="J123" i="18"/>
  <c r="M123" i="18" s="1"/>
  <c r="G122" i="18"/>
  <c r="L405" i="18"/>
  <c r="K405" i="18"/>
  <c r="N405" i="18" s="1"/>
  <c r="J405" i="18"/>
  <c r="M405" i="18" s="1"/>
  <c r="G405" i="18"/>
  <c r="G403" i="18"/>
  <c r="L368" i="18"/>
  <c r="K368" i="18"/>
  <c r="N368" i="18" s="1"/>
  <c r="J368" i="18"/>
  <c r="M368" i="18" s="1"/>
  <c r="L367" i="18"/>
  <c r="K367" i="18"/>
  <c r="N367" i="18" s="1"/>
  <c r="J367" i="18"/>
  <c r="M367" i="18" s="1"/>
  <c r="G367" i="18"/>
  <c r="G366" i="18"/>
  <c r="L125" i="18"/>
  <c r="K125" i="18"/>
  <c r="N125" i="18" s="1"/>
  <c r="J125" i="18"/>
  <c r="M125" i="18" s="1"/>
  <c r="L130" i="18"/>
  <c r="K130" i="18"/>
  <c r="N130" i="18" s="1"/>
  <c r="J130" i="18"/>
  <c r="M130" i="18" s="1"/>
  <c r="L396" i="18"/>
  <c r="K396" i="18"/>
  <c r="O396" i="18" s="1"/>
  <c r="J396" i="18"/>
  <c r="M396" i="18" s="1"/>
  <c r="G113" i="18"/>
  <c r="G112" i="18"/>
  <c r="G111" i="18"/>
  <c r="L124" i="18"/>
  <c r="K124" i="18"/>
  <c r="N124" i="18" s="1"/>
  <c r="J124" i="18"/>
  <c r="M124" i="18" s="1"/>
  <c r="L117" i="18"/>
  <c r="K117" i="18"/>
  <c r="N117" i="18" s="1"/>
  <c r="J117" i="18"/>
  <c r="M117" i="18" s="1"/>
  <c r="L219" i="18"/>
  <c r="K219" i="18"/>
  <c r="N219" i="18" s="1"/>
  <c r="J219" i="18"/>
  <c r="M219" i="18" s="1"/>
  <c r="G218" i="18"/>
  <c r="G219" i="18"/>
  <c r="L121" i="18"/>
  <c r="K121" i="18"/>
  <c r="N121" i="18" s="1"/>
  <c r="J121" i="18"/>
  <c r="M121" i="18" s="1"/>
  <c r="L116" i="18"/>
  <c r="K116" i="18"/>
  <c r="N116" i="18" s="1"/>
  <c r="J116" i="18"/>
  <c r="M116" i="18" s="1"/>
  <c r="G115" i="18"/>
  <c r="G114" i="18"/>
  <c r="G120" i="18"/>
  <c r="G118" i="18"/>
  <c r="G117" i="18"/>
  <c r="G116" i="18"/>
  <c r="L128" i="18"/>
  <c r="K128" i="18"/>
  <c r="N128" i="18" s="1"/>
  <c r="J128" i="18"/>
  <c r="M128" i="18" s="1"/>
  <c r="L127" i="18"/>
  <c r="K127" i="18"/>
  <c r="N127" i="18" s="1"/>
  <c r="J127" i="18"/>
  <c r="M127" i="18" s="1"/>
  <c r="L126" i="18"/>
  <c r="K126" i="18"/>
  <c r="N126" i="18" s="1"/>
  <c r="J126" i="18"/>
  <c r="M126" i="18" s="1"/>
  <c r="L178" i="18"/>
  <c r="K178" i="18"/>
  <c r="N178" i="18" s="1"/>
  <c r="J178" i="18"/>
  <c r="M178" i="18" s="1"/>
  <c r="N162" i="18" l="1"/>
  <c r="N224" i="18"/>
  <c r="N396" i="18"/>
  <c r="G123" i="18" l="1"/>
  <c r="G121" i="18"/>
  <c r="L144" i="18"/>
  <c r="K144" i="18"/>
  <c r="N144" i="18" s="1"/>
  <c r="J144" i="18"/>
  <c r="M144" i="18" s="1"/>
  <c r="G131" i="18"/>
  <c r="G130" i="18"/>
  <c r="G129" i="18"/>
  <c r="G128" i="18"/>
  <c r="G127" i="18"/>
  <c r="G126" i="18"/>
  <c r="G125" i="18"/>
  <c r="G124" i="18"/>
  <c r="L193" i="18"/>
  <c r="K193" i="18"/>
  <c r="N193" i="18" s="1"/>
  <c r="J193" i="18"/>
  <c r="M193" i="18" s="1"/>
  <c r="L138" i="18"/>
  <c r="K138" i="18"/>
  <c r="N138" i="18" s="1"/>
  <c r="J138" i="18"/>
  <c r="M138" i="18" s="1"/>
  <c r="L170" i="18"/>
  <c r="K170" i="18"/>
  <c r="N170" i="18" s="1"/>
  <c r="J170" i="18"/>
  <c r="M170" i="18" s="1"/>
  <c r="L132" i="18"/>
  <c r="K132" i="18"/>
  <c r="J132" i="18"/>
  <c r="M132" i="18" s="1"/>
  <c r="L134" i="18"/>
  <c r="K134" i="18"/>
  <c r="N134" i="18" s="1"/>
  <c r="J134" i="18"/>
  <c r="M134" i="18" s="1"/>
  <c r="L133" i="18"/>
  <c r="K133" i="18"/>
  <c r="N133" i="18" s="1"/>
  <c r="J133" i="18"/>
  <c r="M133" i="18" s="1"/>
  <c r="L136" i="18"/>
  <c r="K136" i="18"/>
  <c r="N136" i="18" s="1"/>
  <c r="J136" i="18"/>
  <c r="M136" i="18" s="1"/>
  <c r="L135" i="18"/>
  <c r="K135" i="18"/>
  <c r="N135" i="18" s="1"/>
  <c r="J135" i="18"/>
  <c r="M135" i="18" s="1"/>
  <c r="G137" i="18"/>
  <c r="G136" i="18"/>
  <c r="G135" i="18"/>
  <c r="G134" i="18"/>
  <c r="G133" i="18"/>
  <c r="G132" i="18"/>
  <c r="L142" i="18"/>
  <c r="K142" i="18"/>
  <c r="N142" i="18" s="1"/>
  <c r="J142" i="18"/>
  <c r="M142" i="18" s="1"/>
  <c r="L252" i="18"/>
  <c r="K252" i="18"/>
  <c r="N252" i="18" s="1"/>
  <c r="J252" i="18"/>
  <c r="M252" i="18" s="1"/>
  <c r="G251" i="18"/>
  <c r="L174" i="18"/>
  <c r="K174" i="18"/>
  <c r="N174" i="18" s="1"/>
  <c r="J174" i="18"/>
  <c r="M174" i="18" s="1"/>
  <c r="L140" i="18"/>
  <c r="K140" i="18"/>
  <c r="N140" i="18" s="1"/>
  <c r="J140" i="18"/>
  <c r="M140" i="18" s="1"/>
  <c r="L169" i="18"/>
  <c r="K169" i="18"/>
  <c r="N169" i="18" s="1"/>
  <c r="J169" i="18"/>
  <c r="M169" i="18" s="1"/>
  <c r="G138" i="18"/>
  <c r="L194" i="18"/>
  <c r="K194" i="18"/>
  <c r="N194" i="18" s="1"/>
  <c r="J194" i="18"/>
  <c r="M194" i="18" s="1"/>
  <c r="L204" i="18"/>
  <c r="K204" i="18"/>
  <c r="N204" i="18" s="1"/>
  <c r="J204" i="18"/>
  <c r="M204" i="18" s="1"/>
  <c r="G193" i="18"/>
  <c r="G203" i="18"/>
  <c r="L175" i="18"/>
  <c r="K175" i="18"/>
  <c r="N175" i="18" s="1"/>
  <c r="J175" i="18"/>
  <c r="M175" i="18" s="1"/>
  <c r="G174" i="18"/>
  <c r="L410" i="18"/>
  <c r="K410" i="18"/>
  <c r="O410" i="18" s="1"/>
  <c r="J410" i="18"/>
  <c r="M410" i="18" s="1"/>
  <c r="G410" i="18"/>
  <c r="L409" i="18"/>
  <c r="K409" i="18"/>
  <c r="N409" i="18" s="1"/>
  <c r="J409" i="18"/>
  <c r="M409" i="18" s="1"/>
  <c r="G409" i="18"/>
  <c r="L389" i="18"/>
  <c r="K389" i="18"/>
  <c r="O389" i="18" s="1"/>
  <c r="J389" i="18"/>
  <c r="M389" i="18" s="1"/>
  <c r="G388" i="18"/>
  <c r="L165" i="18"/>
  <c r="K165" i="18"/>
  <c r="N165" i="18" s="1"/>
  <c r="J165" i="18"/>
  <c r="M165" i="18" s="1"/>
  <c r="G165" i="18"/>
  <c r="L386" i="18"/>
  <c r="K386" i="18"/>
  <c r="O386" i="18" s="1"/>
  <c r="J386" i="18"/>
  <c r="M386" i="18" s="1"/>
  <c r="G386" i="18"/>
  <c r="G141" i="18"/>
  <c r="G140" i="18"/>
  <c r="G139" i="18"/>
  <c r="L292" i="18"/>
  <c r="K292" i="18"/>
  <c r="N292" i="18" s="1"/>
  <c r="J292" i="18"/>
  <c r="M292" i="18" s="1"/>
  <c r="G292" i="18"/>
  <c r="N132" i="18" l="1"/>
  <c r="O252" i="18"/>
  <c r="N410" i="18"/>
  <c r="O409" i="18"/>
  <c r="N389" i="18"/>
  <c r="N386" i="18"/>
  <c r="L168" i="18"/>
  <c r="K168" i="18"/>
  <c r="O168" i="18" s="1"/>
  <c r="J168" i="18"/>
  <c r="M168" i="18" s="1"/>
  <c r="L181" i="18"/>
  <c r="K181" i="18"/>
  <c r="O181" i="18" s="1"/>
  <c r="J181" i="18"/>
  <c r="M181" i="18" s="1"/>
  <c r="L150" i="18"/>
  <c r="K150" i="18"/>
  <c r="N150" i="18" s="1"/>
  <c r="J150" i="18"/>
  <c r="M150" i="18" s="1"/>
  <c r="G166" i="18"/>
  <c r="L143" i="18"/>
  <c r="K143" i="18"/>
  <c r="N143" i="18" s="1"/>
  <c r="J143" i="18"/>
  <c r="M143" i="18" s="1"/>
  <c r="L155" i="18"/>
  <c r="K155" i="18"/>
  <c r="N155" i="18" s="1"/>
  <c r="J155" i="18"/>
  <c r="M155" i="18" s="1"/>
  <c r="N168" i="18" l="1"/>
  <c r="N181" i="18"/>
  <c r="L220" i="18"/>
  <c r="K220" i="18"/>
  <c r="N220" i="18" s="1"/>
  <c r="J220" i="18"/>
  <c r="M220" i="18" s="1"/>
  <c r="G220" i="18"/>
  <c r="L148" i="18"/>
  <c r="K148" i="18"/>
  <c r="N148" i="18" s="1"/>
  <c r="J148" i="18"/>
  <c r="M148" i="18" s="1"/>
  <c r="G143" i="18"/>
  <c r="G142" i="18"/>
  <c r="G144" i="18"/>
  <c r="L149" i="18"/>
  <c r="K149" i="18"/>
  <c r="N149" i="18" s="1"/>
  <c r="J149" i="18"/>
  <c r="M149" i="18" s="1"/>
  <c r="L245" i="18"/>
  <c r="K245" i="18"/>
  <c r="N245" i="18" s="1"/>
  <c r="J245" i="18"/>
  <c r="M245" i="18" s="1"/>
  <c r="G244" i="18"/>
  <c r="L152" i="18"/>
  <c r="K152" i="18"/>
  <c r="N152" i="18" s="1"/>
  <c r="J152" i="18"/>
  <c r="M152" i="18" s="1"/>
  <c r="L147" i="18"/>
  <c r="K147" i="18"/>
  <c r="N147" i="18" s="1"/>
  <c r="J147" i="18"/>
  <c r="M147" i="18" s="1"/>
  <c r="L145" i="18"/>
  <c r="K145" i="18"/>
  <c r="N145" i="18" s="1"/>
  <c r="J145" i="18"/>
  <c r="M145" i="18" s="1"/>
  <c r="G145" i="18"/>
  <c r="L151" i="18"/>
  <c r="K151" i="18"/>
  <c r="N151" i="18" s="1"/>
  <c r="J151" i="18"/>
  <c r="M151" i="18" s="1"/>
  <c r="L153" i="18"/>
  <c r="K153" i="18"/>
  <c r="N153" i="18" s="1"/>
  <c r="J153" i="18"/>
  <c r="M153" i="18" s="1"/>
  <c r="L156" i="18"/>
  <c r="K156" i="18"/>
  <c r="N156" i="18" s="1"/>
  <c r="J156" i="18"/>
  <c r="M156" i="18" s="1"/>
  <c r="L369" i="18"/>
  <c r="K369" i="18"/>
  <c r="O369" i="18" s="1"/>
  <c r="J369" i="18"/>
  <c r="M369" i="18" s="1"/>
  <c r="G368" i="18"/>
  <c r="G151" i="18"/>
  <c r="G150" i="18"/>
  <c r="G149" i="18"/>
  <c r="G148" i="18"/>
  <c r="G147" i="18"/>
  <c r="L197" i="18"/>
  <c r="K197" i="18"/>
  <c r="O197" i="18" s="1"/>
  <c r="J197" i="18"/>
  <c r="M197" i="18" s="1"/>
  <c r="G196" i="18"/>
  <c r="G161" i="18"/>
  <c r="L161" i="18"/>
  <c r="K161" i="18"/>
  <c r="N161" i="18" s="1"/>
  <c r="J161" i="18"/>
  <c r="M161" i="18" s="1"/>
  <c r="L154" i="18"/>
  <c r="K154" i="18"/>
  <c r="N154" i="18" s="1"/>
  <c r="J154" i="18"/>
  <c r="M154" i="18" s="1"/>
  <c r="L158" i="18"/>
  <c r="K158" i="18"/>
  <c r="N158" i="18" s="1"/>
  <c r="J158" i="18"/>
  <c r="M158" i="18" s="1"/>
  <c r="L187" i="18"/>
  <c r="K187" i="18"/>
  <c r="N187" i="18" s="1"/>
  <c r="J187" i="18"/>
  <c r="M187" i="18" s="1"/>
  <c r="G152" i="18"/>
  <c r="L183" i="18"/>
  <c r="K183" i="18"/>
  <c r="N183" i="18" s="1"/>
  <c r="J183" i="18"/>
  <c r="M183" i="18" s="1"/>
  <c r="L241" i="18"/>
  <c r="K241" i="18"/>
  <c r="N241" i="18" s="1"/>
  <c r="J241" i="18"/>
  <c r="M241" i="18" s="1"/>
  <c r="O220" i="18" l="1"/>
  <c r="O152" i="18"/>
  <c r="N369" i="18"/>
  <c r="N197" i="18"/>
  <c r="G154" i="18" l="1"/>
  <c r="G153" i="18"/>
  <c r="L357" i="18"/>
  <c r="K357" i="18"/>
  <c r="O357" i="18" s="1"/>
  <c r="J357" i="18"/>
  <c r="M357" i="18" s="1"/>
  <c r="L159" i="18"/>
  <c r="K159" i="18"/>
  <c r="J159" i="18"/>
  <c r="M159" i="18" s="1"/>
  <c r="G159" i="18"/>
  <c r="G158" i="18"/>
  <c r="G157" i="18"/>
  <c r="G156" i="18"/>
  <c r="G155" i="18"/>
  <c r="G38" i="2"/>
  <c r="F38" i="2"/>
  <c r="N159" i="18" l="1"/>
  <c r="N357" i="18"/>
  <c r="I38" i="2"/>
  <c r="H38" i="2"/>
  <c r="L160" i="18" l="1"/>
  <c r="K160" i="18"/>
  <c r="O160" i="18" s="1"/>
  <c r="J160" i="18"/>
  <c r="M160" i="18" s="1"/>
  <c r="L211" i="18"/>
  <c r="K211" i="18"/>
  <c r="O211" i="18" s="1"/>
  <c r="J211" i="18"/>
  <c r="M211" i="18" s="1"/>
  <c r="G210" i="18"/>
  <c r="L324" i="18"/>
  <c r="K324" i="18"/>
  <c r="N324" i="18" s="1"/>
  <c r="J324" i="18"/>
  <c r="M324" i="18" s="1"/>
  <c r="L208" i="18"/>
  <c r="K208" i="18"/>
  <c r="O208" i="18" s="1"/>
  <c r="J208" i="18"/>
  <c r="M208" i="18" s="1"/>
  <c r="G207" i="18"/>
  <c r="G39" i="2"/>
  <c r="G40" i="2"/>
  <c r="F39" i="2"/>
  <c r="G160" i="18"/>
  <c r="L253" i="18"/>
  <c r="K253" i="18"/>
  <c r="O253" i="18" s="1"/>
  <c r="J253" i="18"/>
  <c r="M253" i="18" s="1"/>
  <c r="G252" i="18"/>
  <c r="N160" i="18" l="1"/>
  <c r="N211" i="18"/>
  <c r="N208" i="18"/>
  <c r="I39" i="2"/>
  <c r="H39" i="2"/>
  <c r="N253" i="18"/>
  <c r="L179" i="18"/>
  <c r="K179" i="18"/>
  <c r="N179" i="18" s="1"/>
  <c r="J179" i="18"/>
  <c r="M179" i="18" s="1"/>
  <c r="L370" i="18"/>
  <c r="K370" i="18"/>
  <c r="O370" i="18" s="1"/>
  <c r="J370" i="18"/>
  <c r="M370" i="18" s="1"/>
  <c r="G369" i="18"/>
  <c r="L399" i="18"/>
  <c r="K399" i="18"/>
  <c r="N399" i="18" s="1"/>
  <c r="J399" i="18"/>
  <c r="M399" i="18" s="1"/>
  <c r="L260" i="18"/>
  <c r="K260" i="18"/>
  <c r="N260" i="18" s="1"/>
  <c r="J260" i="18"/>
  <c r="M260" i="18" s="1"/>
  <c r="L167" i="18"/>
  <c r="K167" i="18"/>
  <c r="N167" i="18" s="1"/>
  <c r="J167" i="18"/>
  <c r="M167" i="18" s="1"/>
  <c r="L173" i="18"/>
  <c r="K173" i="18"/>
  <c r="N173" i="18" s="1"/>
  <c r="J173" i="18"/>
  <c r="M173" i="18" s="1"/>
  <c r="L226" i="18"/>
  <c r="K226" i="18"/>
  <c r="N226" i="18" s="1"/>
  <c r="J226" i="18"/>
  <c r="M226" i="18" s="1"/>
  <c r="N370" i="18" l="1"/>
  <c r="O399" i="18"/>
  <c r="L171" i="18" l="1"/>
  <c r="K171" i="18"/>
  <c r="N171" i="18" s="1"/>
  <c r="J171" i="18"/>
  <c r="M171" i="18" s="1"/>
  <c r="G162" i="18"/>
  <c r="L227" i="18"/>
  <c r="K227" i="18"/>
  <c r="N227" i="18" s="1"/>
  <c r="J227" i="18"/>
  <c r="M227" i="18" s="1"/>
  <c r="G226" i="18"/>
  <c r="L412" i="18"/>
  <c r="K412" i="18"/>
  <c r="O412" i="18" s="1"/>
  <c r="J412" i="18"/>
  <c r="M412" i="18" s="1"/>
  <c r="G411" i="18"/>
  <c r="N412" i="18" l="1"/>
  <c r="L358" i="18"/>
  <c r="K358" i="18"/>
  <c r="O358" i="18" s="1"/>
  <c r="J358" i="18"/>
  <c r="M358" i="18" s="1"/>
  <c r="G357" i="18"/>
  <c r="L295" i="18"/>
  <c r="K295" i="18"/>
  <c r="O295" i="18" s="1"/>
  <c r="J295" i="18"/>
  <c r="M295" i="18" s="1"/>
  <c r="L248" i="18"/>
  <c r="K248" i="18"/>
  <c r="N248" i="18" s="1"/>
  <c r="J248" i="18"/>
  <c r="M248" i="18" s="1"/>
  <c r="L195" i="18"/>
  <c r="K195" i="18"/>
  <c r="N195" i="18" s="1"/>
  <c r="J195" i="18"/>
  <c r="M195" i="18" s="1"/>
  <c r="L268" i="18"/>
  <c r="K268" i="18"/>
  <c r="N268" i="18" s="1"/>
  <c r="J268" i="18"/>
  <c r="M268" i="18" s="1"/>
  <c r="G168" i="18"/>
  <c r="G167" i="18"/>
  <c r="L221" i="18"/>
  <c r="K221" i="18"/>
  <c r="N221" i="18" s="1"/>
  <c r="J221" i="18"/>
  <c r="M221" i="18" s="1"/>
  <c r="G221" i="18"/>
  <c r="L172" i="18"/>
  <c r="K172" i="18"/>
  <c r="N172" i="18" s="1"/>
  <c r="J172" i="18"/>
  <c r="M172" i="18" s="1"/>
  <c r="G170" i="18"/>
  <c r="G169" i="18"/>
  <c r="L180" i="18"/>
  <c r="K180" i="18"/>
  <c r="N180" i="18" s="1"/>
  <c r="J180" i="18"/>
  <c r="M180" i="18" s="1"/>
  <c r="L176" i="18"/>
  <c r="K176" i="18"/>
  <c r="N176" i="18" s="1"/>
  <c r="J176" i="18"/>
  <c r="M176" i="18" s="1"/>
  <c r="G32" i="2"/>
  <c r="G31" i="2"/>
  <c r="G30" i="2"/>
  <c r="F32" i="2"/>
  <c r="F31" i="2"/>
  <c r="F30" i="2"/>
  <c r="G171" i="18"/>
  <c r="L390" i="18"/>
  <c r="K390" i="18"/>
  <c r="O390" i="18" s="1"/>
  <c r="J390" i="18"/>
  <c r="M390" i="18" s="1"/>
  <c r="G389" i="18"/>
  <c r="L257" i="18"/>
  <c r="K257" i="18"/>
  <c r="N257" i="18" s="1"/>
  <c r="J257" i="18"/>
  <c r="M257" i="18" s="1"/>
  <c r="L222" i="18"/>
  <c r="K222" i="18"/>
  <c r="N222" i="18" s="1"/>
  <c r="J222" i="18"/>
  <c r="M222" i="18" s="1"/>
  <c r="L198" i="18"/>
  <c r="K198" i="18"/>
  <c r="O198" i="18" s="1"/>
  <c r="J198" i="18"/>
  <c r="M198" i="18" s="1"/>
  <c r="G197" i="18"/>
  <c r="L209" i="18"/>
  <c r="K209" i="18"/>
  <c r="N209" i="18" s="1"/>
  <c r="J209" i="18"/>
  <c r="M209" i="18" s="1"/>
  <c r="G178" i="18"/>
  <c r="G177" i="18"/>
  <c r="G176" i="18"/>
  <c r="G175" i="18"/>
  <c r="G173" i="18"/>
  <c r="G172" i="18"/>
  <c r="I30" i="2" l="1"/>
  <c r="H31" i="2"/>
  <c r="I32" i="2"/>
  <c r="N358" i="18"/>
  <c r="N295" i="18"/>
  <c r="H30" i="2"/>
  <c r="O221" i="18"/>
  <c r="I31" i="2"/>
  <c r="H32" i="2"/>
  <c r="N390" i="18"/>
  <c r="O222" i="18"/>
  <c r="O257" i="18"/>
  <c r="N198" i="18"/>
  <c r="L383" i="18" l="1"/>
  <c r="K383" i="18"/>
  <c r="N383" i="18" s="1"/>
  <c r="J383" i="18"/>
  <c r="M383" i="18" s="1"/>
  <c r="L240" i="18"/>
  <c r="K240" i="18"/>
  <c r="N240" i="18" s="1"/>
  <c r="J240" i="18"/>
  <c r="M240" i="18" s="1"/>
  <c r="L182" i="18"/>
  <c r="K182" i="18"/>
  <c r="N182" i="18" s="1"/>
  <c r="J182" i="18"/>
  <c r="M182" i="18" s="1"/>
  <c r="L280" i="18"/>
  <c r="K280" i="18"/>
  <c r="N280" i="18" s="1"/>
  <c r="J280" i="18"/>
  <c r="M280" i="18" s="1"/>
  <c r="L258" i="18"/>
  <c r="K258" i="18"/>
  <c r="N258" i="18" s="1"/>
  <c r="J258" i="18"/>
  <c r="M258" i="18" s="1"/>
  <c r="G257" i="18"/>
  <c r="G179" i="18"/>
  <c r="G182" i="18"/>
  <c r="G181" i="18"/>
  <c r="G180" i="18"/>
  <c r="L223" i="18"/>
  <c r="K223" i="18"/>
  <c r="N223" i="18" s="1"/>
  <c r="J223" i="18"/>
  <c r="M223" i="18" s="1"/>
  <c r="L184" i="18"/>
  <c r="K184" i="18"/>
  <c r="N184" i="18" s="1"/>
  <c r="J184" i="18"/>
  <c r="M184" i="18" s="1"/>
  <c r="G184" i="18"/>
  <c r="G183" i="18"/>
  <c r="O258" i="18" l="1"/>
  <c r="L192" i="18" l="1"/>
  <c r="K192" i="18"/>
  <c r="N192" i="18" s="1"/>
  <c r="J192" i="18"/>
  <c r="M192" i="18" s="1"/>
  <c r="L186" i="18"/>
  <c r="K186" i="18"/>
  <c r="N186" i="18" s="1"/>
  <c r="J186" i="18"/>
  <c r="M186" i="18" s="1"/>
  <c r="L261" i="18"/>
  <c r="K261" i="18"/>
  <c r="N261" i="18" s="1"/>
  <c r="J261" i="18"/>
  <c r="M261" i="18" s="1"/>
  <c r="L381" i="18"/>
  <c r="K381" i="18"/>
  <c r="O381" i="18" s="1"/>
  <c r="J381" i="18"/>
  <c r="M381" i="18" s="1"/>
  <c r="G381" i="18"/>
  <c r="L259" i="18"/>
  <c r="K259" i="18"/>
  <c r="N259" i="18" s="1"/>
  <c r="J259" i="18"/>
  <c r="M259" i="18" s="1"/>
  <c r="G259" i="18"/>
  <c r="L188" i="18"/>
  <c r="K188" i="18"/>
  <c r="N188" i="18" s="1"/>
  <c r="J188" i="18"/>
  <c r="M188" i="18" s="1"/>
  <c r="L190" i="18"/>
  <c r="K190" i="18"/>
  <c r="N190" i="18" s="1"/>
  <c r="J190" i="18"/>
  <c r="M190" i="18" s="1"/>
  <c r="G190" i="18"/>
  <c r="L185" i="18"/>
  <c r="K185" i="18"/>
  <c r="O185" i="18" s="1"/>
  <c r="J185" i="18"/>
  <c r="M185" i="18" s="1"/>
  <c r="G185" i="18"/>
  <c r="L191" i="18"/>
  <c r="K191" i="18"/>
  <c r="N191" i="18" s="1"/>
  <c r="J191" i="18"/>
  <c r="M191" i="18" s="1"/>
  <c r="G191" i="18"/>
  <c r="L408" i="18"/>
  <c r="K408" i="18"/>
  <c r="O408" i="18" s="1"/>
  <c r="J408" i="18"/>
  <c r="M408" i="18" s="1"/>
  <c r="G408" i="18"/>
  <c r="G192" i="18"/>
  <c r="G189" i="18"/>
  <c r="G188" i="18"/>
  <c r="G187" i="18"/>
  <c r="G186" i="18"/>
  <c r="N381" i="18" l="1"/>
  <c r="O259" i="18"/>
  <c r="O190" i="18"/>
  <c r="N185" i="18"/>
  <c r="N408" i="18"/>
  <c r="L213" i="18" l="1"/>
  <c r="K213" i="18"/>
  <c r="O213" i="18" s="1"/>
  <c r="J213" i="18"/>
  <c r="M213" i="18" s="1"/>
  <c r="L200" i="18"/>
  <c r="K200" i="18"/>
  <c r="O200" i="18" s="1"/>
  <c r="J200" i="18"/>
  <c r="M200" i="18" s="1"/>
  <c r="L406" i="18"/>
  <c r="K406" i="18"/>
  <c r="O406" i="18" s="1"/>
  <c r="J406" i="18"/>
  <c r="M406" i="18" s="1"/>
  <c r="G406" i="18"/>
  <c r="G194" i="18"/>
  <c r="L214" i="18"/>
  <c r="K214" i="18"/>
  <c r="N214" i="18" s="1"/>
  <c r="J214" i="18"/>
  <c r="M214" i="18" s="1"/>
  <c r="N213" i="18" l="1"/>
  <c r="N200" i="18"/>
  <c r="N406" i="18"/>
  <c r="G199" i="18"/>
  <c r="G198" i="18"/>
  <c r="G195" i="18"/>
  <c r="L212" i="18"/>
  <c r="K212" i="18"/>
  <c r="N212" i="18" s="1"/>
  <c r="J212" i="18"/>
  <c r="M212" i="18" s="1"/>
  <c r="L228" i="18"/>
  <c r="K228" i="18"/>
  <c r="N228" i="18" s="1"/>
  <c r="J228" i="18"/>
  <c r="M228" i="18" s="1"/>
  <c r="L229" i="18"/>
  <c r="K229" i="18"/>
  <c r="N229" i="18" s="1"/>
  <c r="J229" i="18"/>
  <c r="M229" i="18" s="1"/>
  <c r="G204" i="18"/>
  <c r="G200" i="18"/>
  <c r="L215" i="18"/>
  <c r="K215" i="18"/>
  <c r="O215" i="18" s="1"/>
  <c r="J215" i="18"/>
  <c r="M215" i="18" s="1"/>
  <c r="L347" i="18"/>
  <c r="K347" i="18"/>
  <c r="N347" i="18" s="1"/>
  <c r="J347" i="18"/>
  <c r="M347" i="18" s="1"/>
  <c r="G209" i="18"/>
  <c r="G208" i="18"/>
  <c r="L231" i="18"/>
  <c r="K231" i="18"/>
  <c r="N231" i="18" s="1"/>
  <c r="J231" i="18"/>
  <c r="M231" i="18" s="1"/>
  <c r="L230" i="18"/>
  <c r="K230" i="18"/>
  <c r="N230" i="18" s="1"/>
  <c r="J230" i="18"/>
  <c r="M230" i="18" s="1"/>
  <c r="G225" i="18"/>
  <c r="G224" i="18"/>
  <c r="G223" i="18"/>
  <c r="G222" i="18"/>
  <c r="G215" i="18"/>
  <c r="G214" i="18"/>
  <c r="G213" i="18"/>
  <c r="G212" i="18"/>
  <c r="G211" i="18"/>
  <c r="L275" i="18"/>
  <c r="K275" i="18"/>
  <c r="N275" i="18" s="1"/>
  <c r="J275" i="18"/>
  <c r="M275" i="18" s="1"/>
  <c r="L374" i="18"/>
  <c r="K374" i="18"/>
  <c r="O374" i="18" s="1"/>
  <c r="J374" i="18"/>
  <c r="M374" i="18" s="1"/>
  <c r="L269" i="18"/>
  <c r="K269" i="18"/>
  <c r="N269" i="18" s="1"/>
  <c r="J269" i="18"/>
  <c r="M269" i="18" s="1"/>
  <c r="L236" i="18"/>
  <c r="K236" i="18"/>
  <c r="N236" i="18" s="1"/>
  <c r="J236" i="18"/>
  <c r="M236" i="18" s="1"/>
  <c r="L249" i="18"/>
  <c r="K249" i="18"/>
  <c r="N249" i="18" s="1"/>
  <c r="J249" i="18"/>
  <c r="M249" i="18" s="1"/>
  <c r="L232" i="18"/>
  <c r="K232" i="18"/>
  <c r="N232" i="18" s="1"/>
  <c r="J232" i="18"/>
  <c r="M232" i="18" s="1"/>
  <c r="L234" i="18"/>
  <c r="K234" i="18"/>
  <c r="N234" i="18" s="1"/>
  <c r="J234" i="18"/>
  <c r="M234" i="18" s="1"/>
  <c r="L233" i="18"/>
  <c r="K233" i="18"/>
  <c r="N233" i="18" s="1"/>
  <c r="J233" i="18"/>
  <c r="M233" i="18" s="1"/>
  <c r="G229" i="18"/>
  <c r="G228" i="18"/>
  <c r="G227" i="18"/>
  <c r="L402" i="18"/>
  <c r="K402" i="18"/>
  <c r="N402" i="18" s="1"/>
  <c r="J402" i="18"/>
  <c r="M402" i="18" s="1"/>
  <c r="L235" i="18"/>
  <c r="K235" i="18"/>
  <c r="N235" i="18" s="1"/>
  <c r="J235" i="18"/>
  <c r="M235" i="18" s="1"/>
  <c r="L242" i="18"/>
  <c r="K242" i="18"/>
  <c r="O242" i="18" s="1"/>
  <c r="J242" i="18"/>
  <c r="M242" i="18" s="1"/>
  <c r="L339" i="18"/>
  <c r="K339" i="18"/>
  <c r="N339" i="18" s="1"/>
  <c r="J339" i="18"/>
  <c r="M339" i="18" s="1"/>
  <c r="N215" i="18" l="1"/>
  <c r="N374" i="18"/>
  <c r="N242" i="18"/>
  <c r="O339" i="18"/>
  <c r="G233" i="18" l="1"/>
  <c r="G232" i="18"/>
  <c r="G231" i="18"/>
  <c r="G230" i="18"/>
  <c r="L265" i="18"/>
  <c r="K265" i="18"/>
  <c r="N265" i="18" s="1"/>
  <c r="J265" i="18"/>
  <c r="M265" i="18" s="1"/>
  <c r="L237" i="18"/>
  <c r="K237" i="18"/>
  <c r="N237" i="18" s="1"/>
  <c r="J237" i="18"/>
  <c r="M237" i="18" s="1"/>
  <c r="L262" i="18"/>
  <c r="K262" i="18"/>
  <c r="N262" i="18" s="1"/>
  <c r="J262" i="18"/>
  <c r="M262" i="18" s="1"/>
  <c r="G261" i="18"/>
  <c r="L359" i="18"/>
  <c r="K359" i="18"/>
  <c r="O359" i="18" s="1"/>
  <c r="J359" i="18"/>
  <c r="M359" i="18" s="1"/>
  <c r="G358" i="18"/>
  <c r="G237" i="18"/>
  <c r="G236" i="18"/>
  <c r="G235" i="18"/>
  <c r="G234" i="18"/>
  <c r="N359" i="18" l="1"/>
  <c r="L239" i="18" l="1"/>
  <c r="K239" i="18"/>
  <c r="N239" i="18" s="1"/>
  <c r="J239" i="18"/>
  <c r="M239" i="18" s="1"/>
  <c r="L353" i="18"/>
  <c r="K353" i="18"/>
  <c r="N353" i="18" s="1"/>
  <c r="J353" i="18"/>
  <c r="M353" i="18" s="1"/>
  <c r="L306" i="18"/>
  <c r="K306" i="18"/>
  <c r="N306" i="18" s="1"/>
  <c r="J306" i="18"/>
  <c r="M306" i="18" s="1"/>
  <c r="L238" i="18"/>
  <c r="K238" i="18"/>
  <c r="N238" i="18" s="1"/>
  <c r="J238" i="18"/>
  <c r="M238" i="18" s="1"/>
  <c r="L272" i="18"/>
  <c r="K272" i="18"/>
  <c r="N272" i="18" s="1"/>
  <c r="J272" i="18"/>
  <c r="M272" i="18" s="1"/>
  <c r="L256" i="18"/>
  <c r="K256" i="18"/>
  <c r="N256" i="18" s="1"/>
  <c r="J256" i="18"/>
  <c r="M256" i="18" s="1"/>
  <c r="G238" i="18"/>
  <c r="G239" i="18"/>
  <c r="L255" i="18"/>
  <c r="K255" i="18"/>
  <c r="N255" i="18" s="1"/>
  <c r="J255" i="18"/>
  <c r="M255" i="18" s="1"/>
  <c r="L414" i="18"/>
  <c r="K414" i="18"/>
  <c r="O414" i="18" s="1"/>
  <c r="J414" i="18"/>
  <c r="M414" i="18" s="1"/>
  <c r="L354" i="18"/>
  <c r="K354" i="18"/>
  <c r="O354" i="18" s="1"/>
  <c r="J354" i="18"/>
  <c r="M354" i="18" s="1"/>
  <c r="G353" i="18"/>
  <c r="G240" i="18"/>
  <c r="L246" i="18"/>
  <c r="K246" i="18"/>
  <c r="N246" i="18" s="1"/>
  <c r="J246" i="18"/>
  <c r="M246" i="18" s="1"/>
  <c r="G246" i="18"/>
  <c r="G245" i="18"/>
  <c r="G242" i="18"/>
  <c r="G241" i="18"/>
  <c r="L254" i="18"/>
  <c r="K254" i="18"/>
  <c r="N254" i="18" s="1"/>
  <c r="J254" i="18"/>
  <c r="M254" i="18" s="1"/>
  <c r="L349" i="18"/>
  <c r="K349" i="18"/>
  <c r="N349" i="18" s="1"/>
  <c r="J349" i="18"/>
  <c r="M349" i="18" s="1"/>
  <c r="L299" i="18"/>
  <c r="K299" i="18"/>
  <c r="N299" i="18" s="1"/>
  <c r="J299" i="18"/>
  <c r="M299" i="18" s="1"/>
  <c r="L298" i="18"/>
  <c r="K298" i="18"/>
  <c r="N298" i="18" s="1"/>
  <c r="J298" i="18"/>
  <c r="M298" i="18" s="1"/>
  <c r="G256" i="18"/>
  <c r="G255" i="18"/>
  <c r="G254" i="18"/>
  <c r="G253" i="18"/>
  <c r="G249" i="18"/>
  <c r="G248" i="18"/>
  <c r="G247" i="18"/>
  <c r="L363" i="18"/>
  <c r="K363" i="18"/>
  <c r="N363" i="18" s="1"/>
  <c r="J363" i="18"/>
  <c r="M363" i="18" s="1"/>
  <c r="L300" i="18"/>
  <c r="K300" i="18"/>
  <c r="N300" i="18" s="1"/>
  <c r="J300" i="18"/>
  <c r="M300" i="18" s="1"/>
  <c r="L278" i="18"/>
  <c r="K278" i="18"/>
  <c r="O278" i="18" s="1"/>
  <c r="J278" i="18"/>
  <c r="M278" i="18" s="1"/>
  <c r="L264" i="18"/>
  <c r="K264" i="18"/>
  <c r="O264" i="18" s="1"/>
  <c r="J264" i="18"/>
  <c r="M264" i="18" s="1"/>
  <c r="L266" i="18"/>
  <c r="K266" i="18"/>
  <c r="O266" i="18" s="1"/>
  <c r="J266" i="18"/>
  <c r="M266" i="18" s="1"/>
  <c r="L263" i="18"/>
  <c r="K263" i="18"/>
  <c r="N263" i="18" s="1"/>
  <c r="J263" i="18"/>
  <c r="M263" i="18" s="1"/>
  <c r="L281" i="18"/>
  <c r="K281" i="18"/>
  <c r="N281" i="18" s="1"/>
  <c r="J281" i="18"/>
  <c r="M281" i="18" s="1"/>
  <c r="G280" i="18"/>
  <c r="L373" i="18"/>
  <c r="K373" i="18"/>
  <c r="N373" i="18" s="1"/>
  <c r="J373" i="18"/>
  <c r="M373" i="18" s="1"/>
  <c r="G265" i="18"/>
  <c r="G264" i="18"/>
  <c r="G263" i="18"/>
  <c r="G262" i="18"/>
  <c r="G260" i="18"/>
  <c r="G258" i="18"/>
  <c r="L276" i="18"/>
  <c r="K276" i="18"/>
  <c r="N276" i="18" s="1"/>
  <c r="J276" i="18"/>
  <c r="M276" i="18" s="1"/>
  <c r="L267" i="18"/>
  <c r="K267" i="18"/>
  <c r="N267" i="18" s="1"/>
  <c r="J267" i="18"/>
  <c r="M267" i="18" s="1"/>
  <c r="L380" i="18"/>
  <c r="K380" i="18"/>
  <c r="O380" i="18" s="1"/>
  <c r="J380" i="18"/>
  <c r="M380" i="18" s="1"/>
  <c r="L304" i="18"/>
  <c r="K304" i="18"/>
  <c r="O304" i="18" s="1"/>
  <c r="J304" i="18"/>
  <c r="M304" i="18" s="1"/>
  <c r="L271" i="18"/>
  <c r="K271" i="18"/>
  <c r="N271" i="18" s="1"/>
  <c r="J271" i="18"/>
  <c r="M271" i="18" s="1"/>
  <c r="L316" i="18"/>
  <c r="K316" i="18"/>
  <c r="N316" i="18" s="1"/>
  <c r="J316" i="18"/>
  <c r="M316" i="18" s="1"/>
  <c r="G269" i="18"/>
  <c r="G268" i="18"/>
  <c r="G267" i="18"/>
  <c r="G266" i="18"/>
  <c r="L286" i="18"/>
  <c r="K286" i="18"/>
  <c r="N286" i="18" s="1"/>
  <c r="J286" i="18"/>
  <c r="M286" i="18" s="1"/>
  <c r="L294" i="18"/>
  <c r="K294" i="18"/>
  <c r="N294" i="18" s="1"/>
  <c r="J294" i="18"/>
  <c r="M294" i="18" s="1"/>
  <c r="L400" i="18"/>
  <c r="K400" i="18"/>
  <c r="O400" i="18" s="1"/>
  <c r="J400" i="18"/>
  <c r="M400" i="18" s="1"/>
  <c r="G400" i="18"/>
  <c r="G272" i="18"/>
  <c r="G271" i="18"/>
  <c r="G270" i="18"/>
  <c r="L387" i="18"/>
  <c r="K387" i="18"/>
  <c r="O387" i="18" s="1"/>
  <c r="J387" i="18"/>
  <c r="M387" i="18" s="1"/>
  <c r="G385" i="18"/>
  <c r="L287" i="18"/>
  <c r="K287" i="18"/>
  <c r="N287" i="18" s="1"/>
  <c r="J287" i="18"/>
  <c r="M287" i="18" s="1"/>
  <c r="G286" i="18"/>
  <c r="L277" i="18"/>
  <c r="K277" i="18"/>
  <c r="N277" i="18" s="1"/>
  <c r="J277" i="18"/>
  <c r="M277" i="18" s="1"/>
  <c r="G276" i="18"/>
  <c r="L282" i="18"/>
  <c r="K282" i="18"/>
  <c r="N282" i="18" s="1"/>
  <c r="J282" i="18"/>
  <c r="M282" i="18" s="1"/>
  <c r="L273" i="18"/>
  <c r="K273" i="18"/>
  <c r="N273" i="18" s="1"/>
  <c r="J273" i="18"/>
  <c r="M273" i="18" s="1"/>
  <c r="L301" i="18"/>
  <c r="K301" i="18"/>
  <c r="N301" i="18" s="1"/>
  <c r="J301" i="18"/>
  <c r="M301" i="18" s="1"/>
  <c r="L274" i="18"/>
  <c r="K274" i="18"/>
  <c r="N274" i="18" s="1"/>
  <c r="J274" i="18"/>
  <c r="M274" i="18" s="1"/>
  <c r="G277" i="18"/>
  <c r="G275" i="18"/>
  <c r="G274" i="18"/>
  <c r="G273" i="18"/>
  <c r="L279" i="18"/>
  <c r="K279" i="18"/>
  <c r="N279" i="18" s="1"/>
  <c r="J279" i="18"/>
  <c r="M279" i="18" s="1"/>
  <c r="L377" i="18"/>
  <c r="K377" i="18"/>
  <c r="N377" i="18" s="1"/>
  <c r="J377" i="18"/>
  <c r="M377" i="18" s="1"/>
  <c r="L283" i="18"/>
  <c r="K283" i="18"/>
  <c r="N283" i="18" s="1"/>
  <c r="J283" i="18"/>
  <c r="M283" i="18" s="1"/>
  <c r="G282" i="18"/>
  <c r="G281" i="18"/>
  <c r="G279" i="18"/>
  <c r="G278" i="18"/>
  <c r="L285" i="18"/>
  <c r="K285" i="18"/>
  <c r="N285" i="18" s="1"/>
  <c r="J285" i="18"/>
  <c r="M285" i="18" s="1"/>
  <c r="L288" i="18"/>
  <c r="K288" i="18"/>
  <c r="N288" i="18" s="1"/>
  <c r="J288" i="18"/>
  <c r="M288" i="18" s="1"/>
  <c r="L395" i="18"/>
  <c r="K395" i="18"/>
  <c r="O395" i="18" s="1"/>
  <c r="J395" i="18"/>
  <c r="M395" i="18" s="1"/>
  <c r="L284" i="18"/>
  <c r="K284" i="18"/>
  <c r="N284" i="18" s="1"/>
  <c r="J284" i="18"/>
  <c r="M284" i="18" s="1"/>
  <c r="G288" i="18"/>
  <c r="G287" i="18"/>
  <c r="G285" i="18"/>
  <c r="G284" i="18"/>
  <c r="G283" i="18"/>
  <c r="L290" i="18"/>
  <c r="K290" i="18"/>
  <c r="N290" i="18" s="1"/>
  <c r="J290" i="18"/>
  <c r="M290" i="18" s="1"/>
  <c r="L413" i="18"/>
  <c r="K413" i="18"/>
  <c r="O413" i="18" s="1"/>
  <c r="J413" i="18"/>
  <c r="M413" i="18" s="1"/>
  <c r="G413" i="18"/>
  <c r="L289" i="18"/>
  <c r="K289" i="18"/>
  <c r="O289" i="18" s="1"/>
  <c r="J289" i="18"/>
  <c r="M289" i="18" s="1"/>
  <c r="L303" i="18"/>
  <c r="K303" i="18"/>
  <c r="N303" i="18" s="1"/>
  <c r="J303" i="18"/>
  <c r="M303" i="18" s="1"/>
  <c r="G290" i="18"/>
  <c r="G289" i="18"/>
  <c r="G29" i="2"/>
  <c r="F29" i="2"/>
  <c r="G390" i="18"/>
  <c r="H29" i="2" l="1"/>
  <c r="O353" i="18"/>
  <c r="O306" i="18"/>
  <c r="N414" i="18"/>
  <c r="N354" i="18"/>
  <c r="G24" i="17"/>
  <c r="O349" i="18"/>
  <c r="O363" i="18"/>
  <c r="O300" i="18"/>
  <c r="N278" i="18"/>
  <c r="N264" i="18"/>
  <c r="N266" i="18"/>
  <c r="N380" i="18"/>
  <c r="N304" i="18"/>
  <c r="N400" i="18"/>
  <c r="N387" i="18"/>
  <c r="N395" i="18"/>
  <c r="O284" i="18"/>
  <c r="N413" i="18"/>
  <c r="N289" i="18"/>
  <c r="I29" i="2"/>
  <c r="L407" i="18" l="1"/>
  <c r="K407" i="18"/>
  <c r="N407" i="18" s="1"/>
  <c r="J407" i="18"/>
  <c r="M407" i="18" s="1"/>
  <c r="G407" i="18"/>
  <c r="L416" i="18"/>
  <c r="K416" i="18"/>
  <c r="J416" i="18"/>
  <c r="L302" i="18"/>
  <c r="K302" i="18"/>
  <c r="O302" i="18" s="1"/>
  <c r="J302" i="18"/>
  <c r="M302" i="18" s="1"/>
  <c r="L293" i="18"/>
  <c r="K293" i="18"/>
  <c r="N293" i="18" s="1"/>
  <c r="J293" i="18"/>
  <c r="M293" i="18" s="1"/>
  <c r="G293" i="18"/>
  <c r="G291" i="18"/>
  <c r="L296" i="18"/>
  <c r="K296" i="18"/>
  <c r="N296" i="18" s="1"/>
  <c r="J296" i="18"/>
  <c r="M296" i="18" s="1"/>
  <c r="L384" i="18"/>
  <c r="K384" i="18"/>
  <c r="O384" i="18" s="1"/>
  <c r="J384" i="18"/>
  <c r="M384" i="18" s="1"/>
  <c r="I3" i="3"/>
  <c r="H3" i="3"/>
  <c r="J3" i="3"/>
  <c r="G296" i="18"/>
  <c r="G295" i="18"/>
  <c r="G294" i="18"/>
  <c r="L297" i="18"/>
  <c r="K297" i="18"/>
  <c r="N297" i="18" s="1"/>
  <c r="J297" i="18"/>
  <c r="M297" i="18" s="1"/>
  <c r="G297" i="18"/>
  <c r="L311" i="18"/>
  <c r="K311" i="18"/>
  <c r="N311" i="18" s="1"/>
  <c r="J311" i="18"/>
  <c r="M311" i="18" s="1"/>
  <c r="L372" i="18"/>
  <c r="K372" i="18"/>
  <c r="N372" i="18" s="1"/>
  <c r="J372" i="18"/>
  <c r="M372" i="18" s="1"/>
  <c r="G302" i="18"/>
  <c r="G301" i="18"/>
  <c r="G300" i="18"/>
  <c r="G299" i="18"/>
  <c r="G298" i="18"/>
  <c r="L360" i="18"/>
  <c r="K360" i="18"/>
  <c r="N360" i="18" s="1"/>
  <c r="J360" i="18"/>
  <c r="M360" i="18" s="1"/>
  <c r="G304" i="18"/>
  <c r="G303" i="18"/>
  <c r="L308" i="18"/>
  <c r="K308" i="18"/>
  <c r="N308" i="18" s="1"/>
  <c r="J308" i="18"/>
  <c r="M308" i="18" s="1"/>
  <c r="L305" i="18"/>
  <c r="K305" i="18"/>
  <c r="N305" i="18" s="1"/>
  <c r="J305" i="18"/>
  <c r="M305" i="18" s="1"/>
  <c r="L317" i="18"/>
  <c r="K317" i="18"/>
  <c r="N317" i="18" s="1"/>
  <c r="J317" i="18"/>
  <c r="M317" i="18" s="1"/>
  <c r="L307" i="18"/>
  <c r="K307" i="18"/>
  <c r="N307" i="18" s="1"/>
  <c r="J307" i="18"/>
  <c r="M307" i="18" s="1"/>
  <c r="L309" i="18"/>
  <c r="K309" i="18"/>
  <c r="N309" i="18" s="1"/>
  <c r="J309" i="18"/>
  <c r="M309" i="18" s="1"/>
  <c r="L329" i="18"/>
  <c r="K329" i="18"/>
  <c r="N329" i="18" s="1"/>
  <c r="J329" i="18"/>
  <c r="M329" i="18" s="1"/>
  <c r="L361" i="18"/>
  <c r="K361" i="18"/>
  <c r="N361" i="18" s="1"/>
  <c r="J361" i="18"/>
  <c r="M361" i="18" s="1"/>
  <c r="M416" i="18" l="1"/>
  <c r="N416" i="18"/>
  <c r="O416" i="18"/>
  <c r="N302" i="18"/>
  <c r="N384" i="18"/>
  <c r="O297" i="18"/>
  <c r="L310" i="18"/>
  <c r="K310" i="18"/>
  <c r="N310" i="18" s="1"/>
  <c r="J310" i="18"/>
  <c r="M310" i="18" s="1"/>
  <c r="L315" i="18"/>
  <c r="K315" i="18"/>
  <c r="N315" i="18" s="1"/>
  <c r="J315" i="18"/>
  <c r="M315" i="18" s="1"/>
  <c r="G310" i="18"/>
  <c r="G309" i="18"/>
  <c r="G308" i="18"/>
  <c r="G307" i="18"/>
  <c r="G306" i="18"/>
  <c r="G305" i="18"/>
  <c r="L391" i="18"/>
  <c r="K391" i="18"/>
  <c r="O391" i="18" s="1"/>
  <c r="J391" i="18"/>
  <c r="M391" i="18" s="1"/>
  <c r="O315" i="18" l="1"/>
  <c r="N391" i="18"/>
  <c r="L371" i="18" l="1"/>
  <c r="K371" i="18"/>
  <c r="N371" i="18" s="1"/>
  <c r="J371" i="18"/>
  <c r="M371" i="18" s="1"/>
  <c r="L312" i="18"/>
  <c r="K312" i="18"/>
  <c r="J312" i="18"/>
  <c r="L314" i="18"/>
  <c r="K314" i="18"/>
  <c r="N314" i="18" s="1"/>
  <c r="J314" i="18"/>
  <c r="M314" i="18" s="1"/>
  <c r="L313" i="18"/>
  <c r="K313" i="18"/>
  <c r="N313" i="18" s="1"/>
  <c r="J313" i="18"/>
  <c r="M313" i="18" s="1"/>
  <c r="L321" i="18"/>
  <c r="K321" i="18"/>
  <c r="N321" i="18" s="1"/>
  <c r="J321" i="18"/>
  <c r="M321" i="18" s="1"/>
  <c r="G314" i="18"/>
  <c r="G313" i="18"/>
  <c r="G312" i="18"/>
  <c r="G311" i="18"/>
  <c r="L318" i="18"/>
  <c r="K318" i="18"/>
  <c r="N318" i="18" s="1"/>
  <c r="J318" i="18"/>
  <c r="M318" i="18" s="1"/>
  <c r="L319" i="18"/>
  <c r="K319" i="18"/>
  <c r="N319" i="18" s="1"/>
  <c r="J319" i="18"/>
  <c r="M319" i="18" s="1"/>
  <c r="L323" i="18"/>
  <c r="K323" i="18"/>
  <c r="N323" i="18" s="1"/>
  <c r="J323" i="18"/>
  <c r="M323" i="18" s="1"/>
  <c r="L338" i="18"/>
  <c r="K338" i="18"/>
  <c r="N338" i="18" s="1"/>
  <c r="J338" i="18"/>
  <c r="M338" i="18" s="1"/>
  <c r="L376" i="18"/>
  <c r="K376" i="18"/>
  <c r="N376" i="18" s="1"/>
  <c r="J376" i="18"/>
  <c r="M376" i="18" s="1"/>
  <c r="G319" i="18"/>
  <c r="G318" i="18"/>
  <c r="G317" i="18"/>
  <c r="G316" i="18"/>
  <c r="G315" i="18"/>
  <c r="L327" i="18"/>
  <c r="K327" i="18"/>
  <c r="N327" i="18" s="1"/>
  <c r="J327" i="18"/>
  <c r="M327" i="18" s="1"/>
  <c r="L322" i="18"/>
  <c r="K322" i="18"/>
  <c r="N322" i="18" s="1"/>
  <c r="J322" i="18"/>
  <c r="M322" i="18" s="1"/>
  <c r="L320" i="18"/>
  <c r="K320" i="18"/>
  <c r="N320" i="18" s="1"/>
  <c r="J320" i="18"/>
  <c r="M320" i="18" s="1"/>
  <c r="G323" i="18"/>
  <c r="G322" i="18"/>
  <c r="G321" i="18"/>
  <c r="G320" i="18"/>
  <c r="L375" i="18"/>
  <c r="K375" i="18"/>
  <c r="N375" i="18" s="1"/>
  <c r="J375" i="18"/>
  <c r="M375" i="18" s="1"/>
  <c r="G375" i="18"/>
  <c r="L331" i="18"/>
  <c r="K331" i="18"/>
  <c r="N331" i="18" s="1"/>
  <c r="J331" i="18"/>
  <c r="M331" i="18" s="1"/>
  <c r="J332" i="18"/>
  <c r="M332" i="18" s="1"/>
  <c r="K332" i="18"/>
  <c r="N332" i="18" s="1"/>
  <c r="L332" i="18"/>
  <c r="L325" i="18"/>
  <c r="K325" i="18"/>
  <c r="O325" i="18" s="1"/>
  <c r="J325" i="18"/>
  <c r="M325" i="18" s="1"/>
  <c r="L356" i="18"/>
  <c r="K356" i="18"/>
  <c r="N356" i="18" s="1"/>
  <c r="J356" i="18"/>
  <c r="M356" i="18" s="1"/>
  <c r="L326" i="18"/>
  <c r="K326" i="18"/>
  <c r="N326" i="18" s="1"/>
  <c r="J326" i="18"/>
  <c r="M326" i="18" s="1"/>
  <c r="G325" i="18"/>
  <c r="G324" i="18"/>
  <c r="L328" i="18"/>
  <c r="K328" i="18"/>
  <c r="N328" i="18" s="1"/>
  <c r="J328" i="18"/>
  <c r="M328" i="18" s="1"/>
  <c r="M312" i="18" l="1"/>
  <c r="N312" i="18"/>
  <c r="N325" i="18"/>
  <c r="L330" i="18" l="1"/>
  <c r="K330" i="18"/>
  <c r="J330" i="18"/>
  <c r="G331" i="18"/>
  <c r="G330" i="18"/>
  <c r="G329" i="18"/>
  <c r="G328" i="18"/>
  <c r="G327" i="18"/>
  <c r="G326" i="18"/>
  <c r="L364" i="18"/>
  <c r="K364" i="18"/>
  <c r="N364" i="18" s="1"/>
  <c r="J364" i="18"/>
  <c r="M364" i="18" s="1"/>
  <c r="L335" i="18"/>
  <c r="K335" i="18"/>
  <c r="N335" i="18" s="1"/>
  <c r="J335" i="18"/>
  <c r="M335" i="18" s="1"/>
  <c r="L336" i="18"/>
  <c r="K336" i="18"/>
  <c r="N336" i="18" s="1"/>
  <c r="J336" i="18"/>
  <c r="M336" i="18" s="1"/>
  <c r="L333" i="18"/>
  <c r="K333" i="18"/>
  <c r="N333" i="18" s="1"/>
  <c r="J333" i="18"/>
  <c r="M333" i="18" s="1"/>
  <c r="L334" i="18"/>
  <c r="K334" i="18"/>
  <c r="N334" i="18" s="1"/>
  <c r="J334" i="18"/>
  <c r="M334" i="18" s="1"/>
  <c r="G333" i="18"/>
  <c r="G332" i="18"/>
  <c r="L337" i="18"/>
  <c r="K337" i="18"/>
  <c r="J337" i="18"/>
  <c r="M337" i="18" s="1"/>
  <c r="G337" i="18"/>
  <c r="G336" i="18"/>
  <c r="G335" i="18"/>
  <c r="G334" i="18"/>
  <c r="L365" i="18"/>
  <c r="K365" i="18"/>
  <c r="N365" i="18" s="1"/>
  <c r="J365" i="18"/>
  <c r="M365" i="18" s="1"/>
  <c r="M330" i="18" l="1"/>
  <c r="N330" i="18"/>
  <c r="N337" i="18"/>
  <c r="L340" i="18"/>
  <c r="K340" i="18"/>
  <c r="N340" i="18" s="1"/>
  <c r="J340" i="18"/>
  <c r="L346" i="18"/>
  <c r="K346" i="18"/>
  <c r="N346" i="18" s="1"/>
  <c r="J346" i="18"/>
  <c r="M346" i="18" s="1"/>
  <c r="L341" i="18"/>
  <c r="K341" i="18"/>
  <c r="N341" i="18" s="1"/>
  <c r="J341" i="18"/>
  <c r="M341" i="18" s="1"/>
  <c r="L343" i="18"/>
  <c r="K343" i="18"/>
  <c r="N343" i="18" s="1"/>
  <c r="J343" i="18"/>
  <c r="M343" i="18" s="1"/>
  <c r="L401" i="18"/>
  <c r="K401" i="18"/>
  <c r="N401" i="18" s="1"/>
  <c r="J401" i="18"/>
  <c r="G401" i="18"/>
  <c r="G341" i="18"/>
  <c r="G340" i="18"/>
  <c r="G339" i="18"/>
  <c r="G338" i="18"/>
  <c r="L348" i="18"/>
  <c r="K348" i="18"/>
  <c r="N348" i="18" s="1"/>
  <c r="J348" i="18"/>
  <c r="M348" i="18" s="1"/>
  <c r="L344" i="18"/>
  <c r="K344" i="18"/>
  <c r="N344" i="18" s="1"/>
  <c r="J344" i="18"/>
  <c r="M344" i="18" s="1"/>
  <c r="G344" i="18"/>
  <c r="G343" i="18"/>
  <c r="G342" i="18"/>
  <c r="L345" i="18"/>
  <c r="K345" i="18"/>
  <c r="N345" i="18" s="1"/>
  <c r="J345" i="18"/>
  <c r="M345" i="18" s="1"/>
  <c r="L352" i="18"/>
  <c r="K352" i="18"/>
  <c r="O352" i="18" s="1"/>
  <c r="J352" i="18"/>
  <c r="M352" i="18" s="1"/>
  <c r="G349" i="18"/>
  <c r="G348" i="18"/>
  <c r="G347" i="18"/>
  <c r="G346" i="18"/>
  <c r="G345" i="18"/>
  <c r="L379" i="18"/>
  <c r="K379" i="18"/>
  <c r="O379" i="18" s="1"/>
  <c r="J379" i="18"/>
  <c r="M379" i="18" s="1"/>
  <c r="L378" i="18"/>
  <c r="K378" i="18"/>
  <c r="N378" i="18" s="1"/>
  <c r="J378" i="18"/>
  <c r="M378" i="18" s="1"/>
  <c r="L350" i="18"/>
  <c r="K350" i="18"/>
  <c r="N350" i="18" s="1"/>
  <c r="J350" i="18"/>
  <c r="M350" i="18" s="1"/>
  <c r="L362" i="18"/>
  <c r="K362" i="18"/>
  <c r="O362" i="18" s="1"/>
  <c r="J362" i="18"/>
  <c r="M362" i="18" s="1"/>
  <c r="L351" i="18"/>
  <c r="K351" i="18"/>
  <c r="O351" i="18" s="1"/>
  <c r="J351" i="18"/>
  <c r="M351" i="18" s="1"/>
  <c r="L355" i="18"/>
  <c r="K355" i="18"/>
  <c r="O355" i="18" s="1"/>
  <c r="J355" i="18"/>
  <c r="M355" i="18" s="1"/>
  <c r="G354" i="18"/>
  <c r="G352" i="18"/>
  <c r="G351" i="18"/>
  <c r="G350" i="18"/>
  <c r="G355" i="18"/>
  <c r="G359" i="18"/>
  <c r="G356" i="18"/>
  <c r="L397" i="18"/>
  <c r="K397" i="18"/>
  <c r="O397" i="18" s="1"/>
  <c r="J397" i="18"/>
  <c r="M397" i="18" s="1"/>
  <c r="L299" i="7"/>
  <c r="K299" i="7"/>
  <c r="O299" i="7" s="1"/>
  <c r="J299" i="7"/>
  <c r="M299" i="7" s="1"/>
  <c r="G416" i="18"/>
  <c r="G415" i="18"/>
  <c r="G414" i="18"/>
  <c r="G412" i="18"/>
  <c r="G402" i="18"/>
  <c r="G399" i="18"/>
  <c r="G398" i="18"/>
  <c r="G397" i="18"/>
  <c r="G396" i="18"/>
  <c r="G395" i="18"/>
  <c r="G394" i="18"/>
  <c r="G391" i="18"/>
  <c r="G387" i="18"/>
  <c r="G384" i="18"/>
  <c r="G383" i="18"/>
  <c r="G382" i="18"/>
  <c r="G380" i="18"/>
  <c r="G379" i="18"/>
  <c r="G378" i="18"/>
  <c r="G377" i="18"/>
  <c r="G376" i="18"/>
  <c r="G374" i="18"/>
  <c r="G373" i="18"/>
  <c r="G372" i="18"/>
  <c r="G371" i="18"/>
  <c r="G370" i="18"/>
  <c r="G365" i="18"/>
  <c r="G364" i="18"/>
  <c r="G363" i="18"/>
  <c r="G362" i="18"/>
  <c r="G361" i="18"/>
  <c r="G360" i="18"/>
  <c r="L22" i="7"/>
  <c r="K22" i="7"/>
  <c r="O22" i="7" s="1"/>
  <c r="J22" i="7"/>
  <c r="M22" i="7" s="1"/>
  <c r="L10" i="7"/>
  <c r="K10" i="7"/>
  <c r="O10" i="7" s="1"/>
  <c r="J10" i="7"/>
  <c r="M10" i="7" s="1"/>
  <c r="L21" i="7"/>
  <c r="K21" i="7"/>
  <c r="O21" i="7" s="1"/>
  <c r="J21" i="7"/>
  <c r="M21" i="7" s="1"/>
  <c r="L6" i="7"/>
  <c r="K6" i="7"/>
  <c r="O6" i="7" s="1"/>
  <c r="J6" i="7"/>
  <c r="M6" i="7" s="1"/>
  <c r="L9" i="7"/>
  <c r="K9" i="7"/>
  <c r="O9" i="7" s="1"/>
  <c r="J9" i="7"/>
  <c r="M9" i="7" s="1"/>
  <c r="L18" i="7"/>
  <c r="K18" i="7"/>
  <c r="O18" i="7" s="1"/>
  <c r="J18" i="7"/>
  <c r="M18" i="7" s="1"/>
  <c r="L7" i="7"/>
  <c r="K7" i="7"/>
  <c r="O7" i="7" s="1"/>
  <c r="J7" i="7"/>
  <c r="M7" i="7" s="1"/>
  <c r="L8" i="7"/>
  <c r="K8" i="7"/>
  <c r="N8" i="7" s="1"/>
  <c r="J8" i="7"/>
  <c r="M8" i="7" s="1"/>
  <c r="D24" i="17"/>
  <c r="E24" i="17" s="1"/>
  <c r="T10" i="17"/>
  <c r="U11" i="17" s="1"/>
  <c r="R29" i="17"/>
  <c r="G10" i="17"/>
  <c r="K8" i="17"/>
  <c r="T8" i="17"/>
  <c r="U9" i="17" s="1"/>
  <c r="R8" i="17"/>
  <c r="O8" i="17"/>
  <c r="G8" i="17"/>
  <c r="E8" i="17"/>
  <c r="N26" i="17"/>
  <c r="J26" i="17"/>
  <c r="F26" i="17"/>
  <c r="G26" i="17" s="1"/>
  <c r="T7" i="17"/>
  <c r="V7" i="17" s="1"/>
  <c r="R7" i="17"/>
  <c r="O7" i="17"/>
  <c r="K7" i="17"/>
  <c r="G7" i="17"/>
  <c r="E7" i="17"/>
  <c r="T6" i="17"/>
  <c r="R6" i="17"/>
  <c r="O6" i="17"/>
  <c r="K6" i="17"/>
  <c r="G6" i="17"/>
  <c r="E6" i="17"/>
  <c r="T5" i="17"/>
  <c r="R5" i="17"/>
  <c r="K5" i="17"/>
  <c r="G5" i="17"/>
  <c r="E5" i="17"/>
  <c r="T4" i="17"/>
  <c r="V4" i="17" s="1"/>
  <c r="R4" i="17"/>
  <c r="K4" i="17"/>
  <c r="G4" i="17"/>
  <c r="E4" i="17"/>
  <c r="T3" i="17"/>
  <c r="V9" i="17" s="1"/>
  <c r="G5" i="7"/>
  <c r="G4" i="7"/>
  <c r="G11" i="7"/>
  <c r="G10" i="7"/>
  <c r="G9" i="7"/>
  <c r="G8" i="7"/>
  <c r="G7" i="7"/>
  <c r="G6" i="7"/>
  <c r="L35" i="7"/>
  <c r="K35" i="7"/>
  <c r="O35" i="7" s="1"/>
  <c r="J35" i="7"/>
  <c r="M35" i="7" s="1"/>
  <c r="L32" i="7"/>
  <c r="K32" i="7"/>
  <c r="N32" i="7" s="1"/>
  <c r="J32" i="7"/>
  <c r="M32" i="7" s="1"/>
  <c r="L17" i="7"/>
  <c r="K17" i="7"/>
  <c r="O17" i="7" s="1"/>
  <c r="J17" i="7"/>
  <c r="M17" i="7" s="1"/>
  <c r="L25" i="7"/>
  <c r="K25" i="7"/>
  <c r="O25" i="7" s="1"/>
  <c r="J25" i="7"/>
  <c r="M25" i="7" s="1"/>
  <c r="L14" i="7"/>
  <c r="K14" i="7"/>
  <c r="N14" i="7" s="1"/>
  <c r="J14" i="7"/>
  <c r="M14" i="7" s="1"/>
  <c r="L15" i="7"/>
  <c r="K15" i="7"/>
  <c r="O15" i="7" s="1"/>
  <c r="J15" i="7"/>
  <c r="M15" i="7" s="1"/>
  <c r="L27" i="7"/>
  <c r="K27" i="7"/>
  <c r="O27" i="7" s="1"/>
  <c r="J27" i="7"/>
  <c r="M27" i="7" s="1"/>
  <c r="L142" i="7"/>
  <c r="K142" i="7"/>
  <c r="O142" i="7" s="1"/>
  <c r="J142" i="7"/>
  <c r="M142" i="7" s="1"/>
  <c r="L13" i="7"/>
  <c r="K13" i="7"/>
  <c r="N13" i="7" s="1"/>
  <c r="J13" i="7"/>
  <c r="M13" i="7" s="1"/>
  <c r="G16" i="7"/>
  <c r="G15" i="7"/>
  <c r="G14" i="7"/>
  <c r="G13" i="7"/>
  <c r="G12" i="7"/>
  <c r="L31" i="7"/>
  <c r="K31" i="7"/>
  <c r="O31" i="7" s="1"/>
  <c r="J31" i="7"/>
  <c r="M31" i="7" s="1"/>
  <c r="L23" i="7"/>
  <c r="K23" i="7"/>
  <c r="N23" i="7" s="1"/>
  <c r="J23" i="7"/>
  <c r="M23" i="7" s="1"/>
  <c r="L28" i="7"/>
  <c r="K28" i="7"/>
  <c r="N28" i="7" s="1"/>
  <c r="J28" i="7"/>
  <c r="M28" i="7" s="1"/>
  <c r="L30" i="7"/>
  <c r="K30" i="7"/>
  <c r="O30" i="7" s="1"/>
  <c r="J30" i="7"/>
  <c r="M30" i="7" s="1"/>
  <c r="K26" i="17" l="1"/>
  <c r="I26" i="17"/>
  <c r="V6" i="17"/>
  <c r="O26" i="17"/>
  <c r="M26" i="17"/>
  <c r="T26" i="17"/>
  <c r="U26" i="17"/>
  <c r="V10" i="17"/>
  <c r="U10" i="17"/>
  <c r="V5" i="17"/>
  <c r="L2" i="18"/>
  <c r="M401" i="18"/>
  <c r="M2" i="18" s="1"/>
  <c r="J2" i="18"/>
  <c r="K2" i="18"/>
  <c r="N2" i="18"/>
  <c r="Q2" i="18" s="1"/>
  <c r="R2" i="18" s="1"/>
  <c r="U8" i="17"/>
  <c r="U6" i="17"/>
  <c r="V8" i="17"/>
  <c r="M340" i="18"/>
  <c r="N352" i="18"/>
  <c r="O350" i="18"/>
  <c r="N379" i="18"/>
  <c r="O378" i="18"/>
  <c r="N362" i="18"/>
  <c r="N351" i="18"/>
  <c r="N355" i="18"/>
  <c r="N397" i="18"/>
  <c r="N299" i="7"/>
  <c r="N22" i="7"/>
  <c r="N10" i="7"/>
  <c r="N21" i="7"/>
  <c r="N6" i="7"/>
  <c r="N9" i="7"/>
  <c r="N18" i="7"/>
  <c r="N7" i="7"/>
  <c r="O8" i="7"/>
  <c r="U7" i="17"/>
  <c r="E29" i="17"/>
  <c r="G29" i="17"/>
  <c r="K29" i="17"/>
  <c r="O29" i="17"/>
  <c r="U5" i="17"/>
  <c r="U4" i="17"/>
  <c r="N35" i="7"/>
  <c r="O32" i="7"/>
  <c r="N17" i="7"/>
  <c r="N25" i="7"/>
  <c r="O14" i="7"/>
  <c r="N15" i="7"/>
  <c r="N27" i="7"/>
  <c r="N142" i="7"/>
  <c r="O13" i="7"/>
  <c r="O28" i="7"/>
  <c r="N31" i="7"/>
  <c r="O23" i="7"/>
  <c r="N30" i="7"/>
  <c r="O2" i="18" l="1"/>
  <c r="U29" i="17"/>
  <c r="L29" i="7"/>
  <c r="K29" i="7"/>
  <c r="N29" i="7" s="1"/>
  <c r="J29" i="7"/>
  <c r="M29" i="7" s="1"/>
  <c r="L24" i="7"/>
  <c r="K24" i="7"/>
  <c r="O24" i="7" s="1"/>
  <c r="J24" i="7"/>
  <c r="M24" i="7" s="1"/>
  <c r="G23" i="7"/>
  <c r="G22" i="7"/>
  <c r="G21" i="7"/>
  <c r="G20" i="7"/>
  <c r="G19" i="7"/>
  <c r="G18" i="7"/>
  <c r="G17" i="7"/>
  <c r="L73" i="7"/>
  <c r="K73" i="7"/>
  <c r="O73" i="7" s="1"/>
  <c r="J73" i="7"/>
  <c r="M73" i="7" s="1"/>
  <c r="L26" i="7"/>
  <c r="K26" i="7"/>
  <c r="O26" i="7" s="1"/>
  <c r="J26" i="7"/>
  <c r="M26" i="7" s="1"/>
  <c r="L39" i="7"/>
  <c r="K39" i="7"/>
  <c r="N39" i="7" s="1"/>
  <c r="J39" i="7"/>
  <c r="M39" i="7" s="1"/>
  <c r="O29" i="7" l="1"/>
  <c r="N24" i="7"/>
  <c r="N73" i="7"/>
  <c r="N26" i="7"/>
  <c r="O39" i="7"/>
  <c r="G31" i="7" l="1"/>
  <c r="G30" i="7"/>
  <c r="G29" i="7"/>
  <c r="G28" i="7"/>
  <c r="G27" i="7"/>
  <c r="G26" i="7"/>
  <c r="G25" i="7"/>
  <c r="G24" i="7"/>
  <c r="L34" i="7"/>
  <c r="K34" i="7"/>
  <c r="O34" i="7" s="1"/>
  <c r="J34" i="7"/>
  <c r="M34" i="7" s="1"/>
  <c r="L36" i="7"/>
  <c r="K36" i="7"/>
  <c r="O36" i="7" s="1"/>
  <c r="J36" i="7"/>
  <c r="M36" i="7" s="1"/>
  <c r="L53" i="7"/>
  <c r="K53" i="7"/>
  <c r="N53" i="7" s="1"/>
  <c r="J53" i="7"/>
  <c r="M53" i="7" s="1"/>
  <c r="G32" i="7"/>
  <c r="O53" i="7" l="1"/>
  <c r="N34" i="7"/>
  <c r="N36" i="7"/>
  <c r="L38" i="7"/>
  <c r="K38" i="7"/>
  <c r="O38" i="7" s="1"/>
  <c r="J38" i="7"/>
  <c r="M38" i="7" s="1"/>
  <c r="L72" i="7"/>
  <c r="K72" i="7"/>
  <c r="O72" i="7" s="1"/>
  <c r="J72" i="7"/>
  <c r="M72" i="7" s="1"/>
  <c r="L37" i="7"/>
  <c r="K37" i="7"/>
  <c r="O37" i="7" s="1"/>
  <c r="J37" i="7"/>
  <c r="M37" i="7" s="1"/>
  <c r="L40" i="7"/>
  <c r="K40" i="7"/>
  <c r="N40" i="7" s="1"/>
  <c r="J40" i="7"/>
  <c r="M40" i="7" s="1"/>
  <c r="L33" i="7"/>
  <c r="K33" i="7"/>
  <c r="N33" i="7" s="1"/>
  <c r="J33" i="7"/>
  <c r="M33" i="7" s="1"/>
  <c r="L48" i="7"/>
  <c r="K48" i="7"/>
  <c r="N48" i="7" s="1"/>
  <c r="J48" i="7"/>
  <c r="M48" i="7" s="1"/>
  <c r="L52" i="7"/>
  <c r="K52" i="7"/>
  <c r="O52" i="7" s="1"/>
  <c r="J52" i="7"/>
  <c r="M52" i="7" s="1"/>
  <c r="G39" i="7"/>
  <c r="G38" i="7"/>
  <c r="G37" i="7"/>
  <c r="G36" i="7"/>
  <c r="G35" i="7"/>
  <c r="G34" i="7"/>
  <c r="G33" i="7"/>
  <c r="L71" i="7"/>
  <c r="K71" i="7"/>
  <c r="O71" i="7" s="1"/>
  <c r="J71" i="7"/>
  <c r="M71" i="7" s="1"/>
  <c r="L51" i="7"/>
  <c r="K51" i="7"/>
  <c r="O51" i="7" s="1"/>
  <c r="J51" i="7"/>
  <c r="M51" i="7" s="1"/>
  <c r="L58" i="7"/>
  <c r="K58" i="7"/>
  <c r="N58" i="7" s="1"/>
  <c r="J58" i="7"/>
  <c r="M58" i="7" s="1"/>
  <c r="L80" i="7"/>
  <c r="K80" i="7"/>
  <c r="O80" i="7" s="1"/>
  <c r="J80" i="7"/>
  <c r="M80" i="7" s="1"/>
  <c r="L90" i="7"/>
  <c r="K90" i="7"/>
  <c r="O90" i="7" s="1"/>
  <c r="J90" i="7"/>
  <c r="M90" i="7" s="1"/>
  <c r="L45" i="7"/>
  <c r="K45" i="7"/>
  <c r="O45" i="7" s="1"/>
  <c r="J45" i="7"/>
  <c r="M45" i="7" s="1"/>
  <c r="G45" i="7"/>
  <c r="L50" i="7"/>
  <c r="K50" i="7"/>
  <c r="O50" i="7" s="1"/>
  <c r="J50" i="7"/>
  <c r="M50" i="7" s="1"/>
  <c r="L41" i="7"/>
  <c r="K41" i="7"/>
  <c r="N41" i="7" s="1"/>
  <c r="J41" i="7"/>
  <c r="M41" i="7" s="1"/>
  <c r="L43" i="7"/>
  <c r="K43" i="7"/>
  <c r="O43" i="7" s="1"/>
  <c r="J43" i="7"/>
  <c r="M43" i="7" s="1"/>
  <c r="L144" i="7"/>
  <c r="K144" i="7"/>
  <c r="N144" i="7" s="1"/>
  <c r="J144" i="7"/>
  <c r="M144" i="7" s="1"/>
  <c r="L108" i="7"/>
  <c r="K108" i="7"/>
  <c r="O108" i="7" s="1"/>
  <c r="J108" i="7"/>
  <c r="M108" i="7" s="1"/>
  <c r="G43" i="7"/>
  <c r="G42" i="7"/>
  <c r="G41" i="7"/>
  <c r="G40" i="7"/>
  <c r="L49" i="7"/>
  <c r="K49" i="7"/>
  <c r="O49" i="7" s="1"/>
  <c r="J49" i="7"/>
  <c r="M49" i="7" s="1"/>
  <c r="L56" i="7"/>
  <c r="K56" i="7"/>
  <c r="O56" i="7" s="1"/>
  <c r="J56" i="7"/>
  <c r="M56" i="7" s="1"/>
  <c r="L68" i="7"/>
  <c r="K68" i="7"/>
  <c r="N68" i="7" s="1"/>
  <c r="J68" i="7"/>
  <c r="M68" i="7" s="1"/>
  <c r="G51" i="7"/>
  <c r="G50" i="7"/>
  <c r="G49" i="7"/>
  <c r="G48" i="7"/>
  <c r="G47" i="7"/>
  <c r="G46" i="7"/>
  <c r="G44" i="7"/>
  <c r="L61" i="7"/>
  <c r="K61" i="7"/>
  <c r="N61" i="7" s="1"/>
  <c r="J61" i="7"/>
  <c r="M61" i="7" s="1"/>
  <c r="G52" i="7"/>
  <c r="L106" i="7"/>
  <c r="K106" i="7"/>
  <c r="O106" i="7" s="1"/>
  <c r="J106" i="7"/>
  <c r="M106" i="7" s="1"/>
  <c r="G106" i="7"/>
  <c r="L55" i="7"/>
  <c r="K55" i="7"/>
  <c r="O55" i="7" s="1"/>
  <c r="J55" i="7"/>
  <c r="M55" i="7" s="1"/>
  <c r="L54" i="7"/>
  <c r="K54" i="7"/>
  <c r="N54" i="7" s="1"/>
  <c r="J54" i="7"/>
  <c r="M54" i="7" s="1"/>
  <c r="L57" i="7"/>
  <c r="K57" i="7"/>
  <c r="N57" i="7" s="1"/>
  <c r="J57" i="7"/>
  <c r="M57" i="7" s="1"/>
  <c r="L59" i="7"/>
  <c r="K59" i="7"/>
  <c r="O59" i="7" s="1"/>
  <c r="J59" i="7"/>
  <c r="M59" i="7" s="1"/>
  <c r="L69" i="7"/>
  <c r="K69" i="7"/>
  <c r="O69" i="7" s="1"/>
  <c r="J69" i="7"/>
  <c r="M69" i="7" s="1"/>
  <c r="G54" i="7"/>
  <c r="G53" i="7"/>
  <c r="L107" i="7"/>
  <c r="K107" i="7"/>
  <c r="N107" i="7" s="1"/>
  <c r="J107" i="7"/>
  <c r="M107" i="7" s="1"/>
  <c r="G107" i="7"/>
  <c r="L126" i="7"/>
  <c r="K126" i="7"/>
  <c r="N126" i="7" s="1"/>
  <c r="J126" i="7"/>
  <c r="M126" i="7" s="1"/>
  <c r="L60" i="7"/>
  <c r="K60" i="7"/>
  <c r="N60" i="7" s="1"/>
  <c r="J60" i="7"/>
  <c r="M60" i="7" s="1"/>
  <c r="G57" i="7"/>
  <c r="G56" i="7"/>
  <c r="G55" i="7"/>
  <c r="L62" i="7"/>
  <c r="K62" i="7"/>
  <c r="N62" i="7" s="1"/>
  <c r="J62" i="7"/>
  <c r="M62" i="7" s="1"/>
  <c r="L65" i="7"/>
  <c r="K65" i="7"/>
  <c r="O65" i="7" s="1"/>
  <c r="J65" i="7"/>
  <c r="M65" i="7" s="1"/>
  <c r="L63" i="7"/>
  <c r="K63" i="7"/>
  <c r="N63" i="7" s="1"/>
  <c r="J63" i="7"/>
  <c r="M63" i="7" s="1"/>
  <c r="G59" i="7"/>
  <c r="G58" i="7"/>
  <c r="L76" i="7"/>
  <c r="K76" i="7"/>
  <c r="O76" i="7" s="1"/>
  <c r="J76" i="7"/>
  <c r="M76" i="7" s="1"/>
  <c r="G63" i="7"/>
  <c r="G62" i="7"/>
  <c r="G61" i="7"/>
  <c r="G60" i="7"/>
  <c r="L93" i="7"/>
  <c r="K93" i="7"/>
  <c r="O93" i="7" s="1"/>
  <c r="J93" i="7"/>
  <c r="M93" i="7" s="1"/>
  <c r="R24" i="14"/>
  <c r="R22" i="14"/>
  <c r="Q24" i="14"/>
  <c r="Q22" i="14"/>
  <c r="E25" i="14"/>
  <c r="C24" i="14"/>
  <c r="C22" i="14"/>
  <c r="O40" i="7" l="1"/>
  <c r="N72" i="7"/>
  <c r="N52" i="7"/>
  <c r="N38" i="7"/>
  <c r="N37" i="7"/>
  <c r="O33" i="7"/>
  <c r="O48" i="7"/>
  <c r="N80" i="7"/>
  <c r="N71" i="7"/>
  <c r="N51" i="7"/>
  <c r="O58" i="7"/>
  <c r="N90" i="7"/>
  <c r="N45" i="7"/>
  <c r="O41" i="7"/>
  <c r="N50" i="7"/>
  <c r="O144" i="7"/>
  <c r="N43" i="7"/>
  <c r="N108" i="7"/>
  <c r="N49" i="7"/>
  <c r="N56" i="7"/>
  <c r="O68" i="7"/>
  <c r="O61" i="7"/>
  <c r="N106" i="7"/>
  <c r="O57" i="7"/>
  <c r="N55" i="7"/>
  <c r="O54" i="7"/>
  <c r="N59" i="7"/>
  <c r="N69" i="7"/>
  <c r="O107" i="7"/>
  <c r="O126" i="7"/>
  <c r="O60" i="7"/>
  <c r="N65" i="7"/>
  <c r="O62" i="7"/>
  <c r="O63" i="7"/>
  <c r="N76" i="7"/>
  <c r="N93" i="7"/>
  <c r="L87" i="7" l="1"/>
  <c r="K87" i="7"/>
  <c r="O87" i="7" s="1"/>
  <c r="J87" i="7"/>
  <c r="M87" i="7" s="1"/>
  <c r="L147" i="7"/>
  <c r="K147" i="7"/>
  <c r="N147" i="7" s="1"/>
  <c r="J147" i="7"/>
  <c r="M147" i="7" s="1"/>
  <c r="N87" i="7" l="1"/>
  <c r="O147" i="7"/>
  <c r="L232" i="7" l="1"/>
  <c r="K232" i="7"/>
  <c r="O232" i="7" s="1"/>
  <c r="J232" i="7"/>
  <c r="M232" i="7" s="1"/>
  <c r="L213" i="7"/>
  <c r="K213" i="7"/>
  <c r="O213" i="7" s="1"/>
  <c r="J213" i="7"/>
  <c r="M213" i="7" s="1"/>
  <c r="L237" i="7"/>
  <c r="K237" i="7"/>
  <c r="O237" i="7" s="1"/>
  <c r="J237" i="7"/>
  <c r="M237" i="7" s="1"/>
  <c r="L70" i="7"/>
  <c r="K70" i="7"/>
  <c r="O70" i="7" s="1"/>
  <c r="J70" i="7"/>
  <c r="M70" i="7" s="1"/>
  <c r="L128" i="7"/>
  <c r="K128" i="7"/>
  <c r="N128" i="7" s="1"/>
  <c r="J128" i="7"/>
  <c r="M128" i="7" s="1"/>
  <c r="L99" i="7"/>
  <c r="K99" i="7"/>
  <c r="O99" i="7" s="1"/>
  <c r="J99" i="7"/>
  <c r="M99" i="7" s="1"/>
  <c r="G70" i="7"/>
  <c r="G69" i="7"/>
  <c r="G68" i="7"/>
  <c r="G67" i="7"/>
  <c r="G66" i="7"/>
  <c r="G65" i="7"/>
  <c r="G64" i="7"/>
  <c r="T19" i="14"/>
  <c r="R19" i="14"/>
  <c r="O19" i="14"/>
  <c r="K19" i="14"/>
  <c r="G19" i="14"/>
  <c r="E19" i="14"/>
  <c r="L89" i="7"/>
  <c r="K89" i="7"/>
  <c r="O89" i="7" s="1"/>
  <c r="J89" i="7"/>
  <c r="M89" i="7" s="1"/>
  <c r="L75" i="7"/>
  <c r="K75" i="7"/>
  <c r="O75" i="7" s="1"/>
  <c r="J75" i="7"/>
  <c r="M75" i="7" s="1"/>
  <c r="L74" i="7"/>
  <c r="K74" i="7"/>
  <c r="O74" i="7" s="1"/>
  <c r="J74" i="7"/>
  <c r="M74" i="7" s="1"/>
  <c r="L79" i="7"/>
  <c r="K79" i="7"/>
  <c r="O79" i="7" s="1"/>
  <c r="J79" i="7"/>
  <c r="M79" i="7" s="1"/>
  <c r="L78" i="7"/>
  <c r="K78" i="7"/>
  <c r="O78" i="7" s="1"/>
  <c r="J78" i="7"/>
  <c r="M78" i="7" s="1"/>
  <c r="L77" i="7"/>
  <c r="K77" i="7"/>
  <c r="O77" i="7" s="1"/>
  <c r="J77" i="7"/>
  <c r="M77" i="7" s="1"/>
  <c r="L81" i="7"/>
  <c r="K81" i="7"/>
  <c r="O81" i="7" s="1"/>
  <c r="J81" i="7"/>
  <c r="M81" i="7" s="1"/>
  <c r="G75" i="7"/>
  <c r="G74" i="7"/>
  <c r="G73" i="7"/>
  <c r="G72" i="7"/>
  <c r="G71" i="7"/>
  <c r="G78" i="7"/>
  <c r="G77" i="7"/>
  <c r="G76" i="7"/>
  <c r="L119" i="7"/>
  <c r="K119" i="7"/>
  <c r="O119" i="7" s="1"/>
  <c r="J119" i="7"/>
  <c r="M119" i="7" s="1"/>
  <c r="L83" i="7"/>
  <c r="K83" i="7"/>
  <c r="O83" i="7" s="1"/>
  <c r="J83" i="7"/>
  <c r="M83" i="7" s="1"/>
  <c r="L97" i="7"/>
  <c r="K97" i="7"/>
  <c r="O97" i="7" s="1"/>
  <c r="J97" i="7"/>
  <c r="M97" i="7" s="1"/>
  <c r="L82" i="7"/>
  <c r="K82" i="7"/>
  <c r="N82" i="7" s="1"/>
  <c r="J82" i="7"/>
  <c r="M82" i="7" s="1"/>
  <c r="G82" i="7"/>
  <c r="G81" i="7"/>
  <c r="G80" i="7"/>
  <c r="G79" i="7"/>
  <c r="L88" i="7"/>
  <c r="K88" i="7"/>
  <c r="O88" i="7" s="1"/>
  <c r="J88" i="7"/>
  <c r="M88" i="7" s="1"/>
  <c r="L91" i="7"/>
  <c r="K91" i="7"/>
  <c r="N91" i="7" s="1"/>
  <c r="J91" i="7"/>
  <c r="M91" i="7" s="1"/>
  <c r="L86" i="7"/>
  <c r="K86" i="7"/>
  <c r="O86" i="7" s="1"/>
  <c r="J86" i="7"/>
  <c r="M86" i="7" s="1"/>
  <c r="L92" i="7"/>
  <c r="K92" i="7"/>
  <c r="N92" i="7" s="1"/>
  <c r="J92" i="7"/>
  <c r="M92" i="7" s="1"/>
  <c r="G89" i="7"/>
  <c r="G88" i="7"/>
  <c r="G87" i="7"/>
  <c r="G86" i="7"/>
  <c r="G85" i="7"/>
  <c r="G84" i="7"/>
  <c r="G83" i="7"/>
  <c r="L181" i="7"/>
  <c r="K181" i="7"/>
  <c r="N181" i="7" s="1"/>
  <c r="J181" i="7"/>
  <c r="M181" i="7" s="1"/>
  <c r="L175" i="7"/>
  <c r="K175" i="7"/>
  <c r="O175" i="7" s="1"/>
  <c r="J175" i="7"/>
  <c r="M175" i="7" s="1"/>
  <c r="N232" i="7" l="1"/>
  <c r="N213" i="7"/>
  <c r="N237" i="7"/>
  <c r="N70" i="7"/>
  <c r="O128" i="7"/>
  <c r="N99" i="7"/>
  <c r="N89" i="7"/>
  <c r="N75" i="7"/>
  <c r="N74" i="7"/>
  <c r="N79" i="7"/>
  <c r="N78" i="7"/>
  <c r="N77" i="7"/>
  <c r="N81" i="7"/>
  <c r="N119" i="7"/>
  <c r="N83" i="7"/>
  <c r="O91" i="7"/>
  <c r="N97" i="7"/>
  <c r="O82" i="7"/>
  <c r="N88" i="7"/>
  <c r="N175" i="7"/>
  <c r="N86" i="7"/>
  <c r="O92" i="7"/>
  <c r="O181" i="7"/>
  <c r="G90" i="7"/>
  <c r="J152" i="7"/>
  <c r="M152" i="7" s="1"/>
  <c r="K152" i="7"/>
  <c r="O152" i="7" s="1"/>
  <c r="L152" i="7"/>
  <c r="L186" i="7"/>
  <c r="K186" i="7"/>
  <c r="O186" i="7" s="1"/>
  <c r="J186" i="7"/>
  <c r="M186" i="7" s="1"/>
  <c r="L98" i="7"/>
  <c r="K98" i="7"/>
  <c r="O98" i="7" s="1"/>
  <c r="J98" i="7"/>
  <c r="M98" i="7" s="1"/>
  <c r="L94" i="7"/>
  <c r="K94" i="7"/>
  <c r="O94" i="7" s="1"/>
  <c r="J94" i="7"/>
  <c r="M94" i="7" s="1"/>
  <c r="G91" i="7"/>
  <c r="L110" i="7"/>
  <c r="K110" i="7"/>
  <c r="O110" i="7" s="1"/>
  <c r="J110" i="7"/>
  <c r="M110" i="7" s="1"/>
  <c r="L100" i="7"/>
  <c r="K100" i="7"/>
  <c r="O100" i="7" s="1"/>
  <c r="J100" i="7"/>
  <c r="M100" i="7" s="1"/>
  <c r="L102" i="7"/>
  <c r="K102" i="7"/>
  <c r="O102" i="7" s="1"/>
  <c r="J102" i="7"/>
  <c r="M102" i="7" s="1"/>
  <c r="L165" i="7"/>
  <c r="K165" i="7"/>
  <c r="O165" i="7" s="1"/>
  <c r="J165" i="7"/>
  <c r="M165" i="7" s="1"/>
  <c r="L96" i="7"/>
  <c r="K96" i="7"/>
  <c r="O96" i="7" s="1"/>
  <c r="J96" i="7"/>
  <c r="M96" i="7" s="1"/>
  <c r="L167" i="7"/>
  <c r="K167" i="7"/>
  <c r="O167" i="7" s="1"/>
  <c r="J167" i="7"/>
  <c r="M167" i="7" s="1"/>
  <c r="G167" i="7"/>
  <c r="G94" i="7"/>
  <c r="G93" i="7"/>
  <c r="G92" i="7"/>
  <c r="L121" i="7"/>
  <c r="K121" i="7"/>
  <c r="O121" i="7" s="1"/>
  <c r="J121" i="7"/>
  <c r="M121" i="7" s="1"/>
  <c r="L104" i="7"/>
  <c r="K104" i="7"/>
  <c r="N104" i="7" s="1"/>
  <c r="J104" i="7"/>
  <c r="M104" i="7" s="1"/>
  <c r="L164" i="7"/>
  <c r="K164" i="7"/>
  <c r="O164" i="7" s="1"/>
  <c r="J164" i="7"/>
  <c r="M164" i="7" s="1"/>
  <c r="L103" i="7"/>
  <c r="K103" i="7"/>
  <c r="N103" i="7" s="1"/>
  <c r="J103" i="7"/>
  <c r="M103" i="7" s="1"/>
  <c r="L105" i="7"/>
  <c r="K105" i="7"/>
  <c r="O105" i="7" s="1"/>
  <c r="J105" i="7"/>
  <c r="M105" i="7" s="1"/>
  <c r="G100" i="7"/>
  <c r="G99" i="7"/>
  <c r="G98" i="7"/>
  <c r="G97" i="7"/>
  <c r="G96" i="7"/>
  <c r="G95" i="7"/>
  <c r="G101" i="7"/>
  <c r="G105" i="7"/>
  <c r="G104" i="7"/>
  <c r="G103" i="7"/>
  <c r="G102" i="7"/>
  <c r="L465" i="7"/>
  <c r="K465" i="7"/>
  <c r="O465" i="7" s="1"/>
  <c r="J465" i="7"/>
  <c r="M465" i="7" s="1"/>
  <c r="L125" i="7"/>
  <c r="K125" i="7"/>
  <c r="O125" i="7" s="1"/>
  <c r="J125" i="7"/>
  <c r="M125" i="7" s="1"/>
  <c r="N152" i="7" l="1"/>
  <c r="N186" i="7"/>
  <c r="N98" i="7"/>
  <c r="N94" i="7"/>
  <c r="N110" i="7"/>
  <c r="N100" i="7"/>
  <c r="N102" i="7"/>
  <c r="N165" i="7"/>
  <c r="N96" i="7"/>
  <c r="N167" i="7"/>
  <c r="N121" i="7"/>
  <c r="O104" i="7"/>
  <c r="N164" i="7"/>
  <c r="O103" i="7"/>
  <c r="N105" i="7"/>
  <c r="N465" i="7"/>
  <c r="N125" i="7"/>
  <c r="L117" i="7"/>
  <c r="K117" i="7"/>
  <c r="N117" i="7" s="1"/>
  <c r="J117" i="7"/>
  <c r="M117" i="7" s="1"/>
  <c r="L111" i="7"/>
  <c r="K111" i="7"/>
  <c r="O111" i="7" s="1"/>
  <c r="J111" i="7"/>
  <c r="M111" i="7" s="1"/>
  <c r="L112" i="7"/>
  <c r="K112" i="7"/>
  <c r="O112" i="7" s="1"/>
  <c r="J112" i="7"/>
  <c r="M112" i="7" s="1"/>
  <c r="L114" i="7"/>
  <c r="K114" i="7"/>
  <c r="O114" i="7" s="1"/>
  <c r="J114" i="7"/>
  <c r="M114" i="7" s="1"/>
  <c r="L113" i="7"/>
  <c r="K113" i="7"/>
  <c r="O113" i="7" s="1"/>
  <c r="J113" i="7"/>
  <c r="M113" i="7" s="1"/>
  <c r="L109" i="7"/>
  <c r="K109" i="7"/>
  <c r="O109" i="7" s="1"/>
  <c r="J109" i="7"/>
  <c r="M109" i="7" s="1"/>
  <c r="O117" i="7" l="1"/>
  <c r="N111" i="7"/>
  <c r="N112" i="7"/>
  <c r="N114" i="7"/>
  <c r="N113" i="7"/>
  <c r="N109" i="7"/>
  <c r="G108" i="7" l="1"/>
  <c r="L201" i="7"/>
  <c r="K201" i="7"/>
  <c r="N201" i="7" s="1"/>
  <c r="J201" i="7"/>
  <c r="M201" i="7" s="1"/>
  <c r="G126" i="7"/>
  <c r="G110" i="7"/>
  <c r="G109" i="7"/>
  <c r="L151" i="7"/>
  <c r="K151" i="7"/>
  <c r="O151" i="7" s="1"/>
  <c r="J151" i="7"/>
  <c r="M151" i="7" s="1"/>
  <c r="L116" i="7"/>
  <c r="K116" i="7"/>
  <c r="O116" i="7" s="1"/>
  <c r="J116" i="7"/>
  <c r="M116" i="7" s="1"/>
  <c r="G114" i="7"/>
  <c r="G113" i="7"/>
  <c r="G112" i="7"/>
  <c r="G111" i="7"/>
  <c r="L118" i="7"/>
  <c r="K118" i="7"/>
  <c r="N118" i="7" s="1"/>
  <c r="J118" i="7"/>
  <c r="M118" i="7" s="1"/>
  <c r="L133" i="7"/>
  <c r="K133" i="7"/>
  <c r="N133" i="7" s="1"/>
  <c r="J133" i="7"/>
  <c r="M133" i="7" s="1"/>
  <c r="L183" i="7"/>
  <c r="K183" i="7"/>
  <c r="N183" i="7" s="1"/>
  <c r="J183" i="7"/>
  <c r="M183" i="7" s="1"/>
  <c r="L115" i="7"/>
  <c r="K115" i="7"/>
  <c r="O115" i="7" s="1"/>
  <c r="J115" i="7"/>
  <c r="M115" i="7" s="1"/>
  <c r="L168" i="7"/>
  <c r="K168" i="7"/>
  <c r="N168" i="7" s="1"/>
  <c r="J168" i="7"/>
  <c r="M168" i="7" s="1"/>
  <c r="G118" i="7"/>
  <c r="G117" i="7"/>
  <c r="G116" i="7"/>
  <c r="G115" i="7"/>
  <c r="L127" i="7"/>
  <c r="K127" i="7"/>
  <c r="O127" i="7" s="1"/>
  <c r="J127" i="7"/>
  <c r="M127" i="7" s="1"/>
  <c r="L130" i="7"/>
  <c r="K130" i="7"/>
  <c r="O130" i="7" s="1"/>
  <c r="J130" i="7"/>
  <c r="M130" i="7" s="1"/>
  <c r="L120" i="7"/>
  <c r="K120" i="7"/>
  <c r="N120" i="7" s="1"/>
  <c r="J120" i="7"/>
  <c r="M120" i="7" s="1"/>
  <c r="L131" i="7"/>
  <c r="K131" i="7"/>
  <c r="O131" i="7" s="1"/>
  <c r="J131" i="7"/>
  <c r="M131" i="7" s="1"/>
  <c r="G121" i="7"/>
  <c r="G120" i="7"/>
  <c r="G119" i="7"/>
  <c r="L129" i="7"/>
  <c r="K129" i="7"/>
  <c r="O129" i="7" s="1"/>
  <c r="J129" i="7"/>
  <c r="M129" i="7" s="1"/>
  <c r="L122" i="7"/>
  <c r="K122" i="7"/>
  <c r="O122" i="7" s="1"/>
  <c r="J122" i="7"/>
  <c r="M122" i="7" s="1"/>
  <c r="L123" i="7"/>
  <c r="K123" i="7"/>
  <c r="O123" i="7" s="1"/>
  <c r="J123" i="7"/>
  <c r="M123" i="7" s="1"/>
  <c r="G122" i="7"/>
  <c r="G26" i="2"/>
  <c r="F26" i="2"/>
  <c r="G123" i="7"/>
  <c r="L158" i="7"/>
  <c r="K158" i="7"/>
  <c r="N158" i="7" s="1"/>
  <c r="J158" i="7"/>
  <c r="M158" i="7" s="1"/>
  <c r="L124" i="7"/>
  <c r="K124" i="7"/>
  <c r="N124" i="7" s="1"/>
  <c r="J124" i="7"/>
  <c r="M124" i="7" s="1"/>
  <c r="T18" i="14"/>
  <c r="R18" i="14"/>
  <c r="O18" i="14"/>
  <c r="K18" i="14"/>
  <c r="G18" i="14"/>
  <c r="E18" i="14"/>
  <c r="G125" i="7"/>
  <c r="G124" i="7"/>
  <c r="L137" i="7"/>
  <c r="K137" i="7"/>
  <c r="N137" i="7" s="1"/>
  <c r="J137" i="7"/>
  <c r="M137" i="7" s="1"/>
  <c r="L148" i="7"/>
  <c r="K148" i="7"/>
  <c r="O148" i="7" s="1"/>
  <c r="J148" i="7"/>
  <c r="M148" i="7" s="1"/>
  <c r="G127" i="7"/>
  <c r="L166" i="7"/>
  <c r="K166" i="7"/>
  <c r="O166" i="7" s="1"/>
  <c r="J166" i="7"/>
  <c r="M166" i="7" s="1"/>
  <c r="G131" i="7"/>
  <c r="G130" i="7"/>
  <c r="G129" i="7"/>
  <c r="G128" i="7"/>
  <c r="L556" i="7"/>
  <c r="K556" i="7"/>
  <c r="O556" i="7" s="1"/>
  <c r="J556" i="7"/>
  <c r="M556" i="7" s="1"/>
  <c r="U19" i="14" l="1"/>
  <c r="I26" i="2"/>
  <c r="O201" i="7"/>
  <c r="N116" i="7"/>
  <c r="N151" i="7"/>
  <c r="O118" i="7"/>
  <c r="O133" i="7"/>
  <c r="O183" i="7"/>
  <c r="N115" i="7"/>
  <c r="O168" i="7"/>
  <c r="N127" i="7"/>
  <c r="N130" i="7"/>
  <c r="O120" i="7"/>
  <c r="N131" i="7"/>
  <c r="N129" i="7"/>
  <c r="N122" i="7"/>
  <c r="N123" i="7"/>
  <c r="H26" i="2"/>
  <c r="O158" i="7"/>
  <c r="O124" i="7"/>
  <c r="O137" i="7"/>
  <c r="N148" i="7"/>
  <c r="N166" i="7"/>
  <c r="N556" i="7"/>
  <c r="L135" i="7" l="1"/>
  <c r="K135" i="7"/>
  <c r="O135" i="7" s="1"/>
  <c r="J135" i="7"/>
  <c r="M135" i="7" s="1"/>
  <c r="L182" i="7"/>
  <c r="K182" i="7"/>
  <c r="O182" i="7" s="1"/>
  <c r="J182" i="7"/>
  <c r="M182" i="7" s="1"/>
  <c r="L138" i="7"/>
  <c r="K138" i="7"/>
  <c r="O138" i="7" s="1"/>
  <c r="J138" i="7"/>
  <c r="M138" i="7" s="1"/>
  <c r="L134" i="7"/>
  <c r="K134" i="7"/>
  <c r="N134" i="7" s="1"/>
  <c r="J134" i="7"/>
  <c r="M134" i="7" s="1"/>
  <c r="G134" i="7"/>
  <c r="G133" i="7"/>
  <c r="G132" i="7"/>
  <c r="L159" i="7"/>
  <c r="K159" i="7"/>
  <c r="O159" i="7" s="1"/>
  <c r="J159" i="7"/>
  <c r="M159" i="7" s="1"/>
  <c r="G136" i="7"/>
  <c r="G135" i="7"/>
  <c r="L145" i="7"/>
  <c r="K145" i="7"/>
  <c r="N145" i="7" s="1"/>
  <c r="J145" i="7"/>
  <c r="M145" i="7" s="1"/>
  <c r="L140" i="7"/>
  <c r="K140" i="7"/>
  <c r="N140" i="7" s="1"/>
  <c r="J140" i="7"/>
  <c r="M140" i="7" s="1"/>
  <c r="L143" i="7"/>
  <c r="K143" i="7"/>
  <c r="N143" i="7" s="1"/>
  <c r="J143" i="7"/>
  <c r="M143" i="7" s="1"/>
  <c r="G138" i="7"/>
  <c r="G137" i="7"/>
  <c r="L139" i="7"/>
  <c r="K139" i="7"/>
  <c r="N139" i="7" s="1"/>
  <c r="J139" i="7"/>
  <c r="M139" i="7" s="1"/>
  <c r="L156" i="7"/>
  <c r="K156" i="7"/>
  <c r="N156" i="7" s="1"/>
  <c r="J156" i="7"/>
  <c r="M156" i="7" s="1"/>
  <c r="L141" i="7"/>
  <c r="K141" i="7"/>
  <c r="O141" i="7" s="1"/>
  <c r="J141" i="7"/>
  <c r="M141" i="7" s="1"/>
  <c r="G143" i="7"/>
  <c r="G142" i="7"/>
  <c r="G141" i="7"/>
  <c r="G140" i="7"/>
  <c r="G139" i="7"/>
  <c r="L157" i="7"/>
  <c r="K157" i="7"/>
  <c r="O157" i="7" s="1"/>
  <c r="J157" i="7"/>
  <c r="M157" i="7" s="1"/>
  <c r="G156" i="7"/>
  <c r="L171" i="7"/>
  <c r="K171" i="7"/>
  <c r="N171" i="7" s="1"/>
  <c r="J171" i="7"/>
  <c r="M171" i="7" s="1"/>
  <c r="L149" i="7"/>
  <c r="K149" i="7"/>
  <c r="O149" i="7" s="1"/>
  <c r="J149" i="7"/>
  <c r="M149" i="7" s="1"/>
  <c r="L150" i="7"/>
  <c r="K150" i="7"/>
  <c r="O150" i="7" s="1"/>
  <c r="J150" i="7"/>
  <c r="M150" i="7" s="1"/>
  <c r="L146" i="7"/>
  <c r="K146" i="7"/>
  <c r="N146" i="7" s="1"/>
  <c r="J146" i="7"/>
  <c r="M146" i="7" s="1"/>
  <c r="G147" i="7"/>
  <c r="G146" i="7"/>
  <c r="G145" i="7"/>
  <c r="G144" i="7"/>
  <c r="L153" i="7"/>
  <c r="K153" i="7"/>
  <c r="N153" i="7" s="1"/>
  <c r="J153" i="7"/>
  <c r="M153" i="7" s="1"/>
  <c r="L155" i="7"/>
  <c r="K155" i="7"/>
  <c r="O155" i="7" s="1"/>
  <c r="J155" i="7"/>
  <c r="M155" i="7" s="1"/>
  <c r="G151" i="7"/>
  <c r="G150" i="7"/>
  <c r="G149" i="7"/>
  <c r="G148" i="7"/>
  <c r="L216" i="7"/>
  <c r="K216" i="7"/>
  <c r="O216" i="7" s="1"/>
  <c r="J216" i="7"/>
  <c r="M216" i="7" s="1"/>
  <c r="L255" i="7"/>
  <c r="K255" i="7"/>
  <c r="N255" i="7" s="1"/>
  <c r="J255" i="7"/>
  <c r="M255" i="7" s="1"/>
  <c r="L160" i="7"/>
  <c r="K160" i="7"/>
  <c r="N160" i="7" s="1"/>
  <c r="J160" i="7"/>
  <c r="M160" i="7" s="1"/>
  <c r="L154" i="7"/>
  <c r="K154" i="7"/>
  <c r="O154" i="7" s="1"/>
  <c r="J154" i="7"/>
  <c r="M154" i="7" s="1"/>
  <c r="L172" i="7"/>
  <c r="K172" i="7"/>
  <c r="O172" i="7" s="1"/>
  <c r="J172" i="7"/>
  <c r="M172" i="7" s="1"/>
  <c r="L161" i="7"/>
  <c r="K161" i="7"/>
  <c r="O161" i="7" s="1"/>
  <c r="J161" i="7"/>
  <c r="M161" i="7" s="1"/>
  <c r="G152" i="7"/>
  <c r="L162" i="7"/>
  <c r="K162" i="7"/>
  <c r="O162" i="7" s="1"/>
  <c r="J162" i="7"/>
  <c r="M162" i="7" s="1"/>
  <c r="L177" i="7"/>
  <c r="K177" i="7"/>
  <c r="O177" i="7" s="1"/>
  <c r="J177" i="7"/>
  <c r="M177" i="7" s="1"/>
  <c r="L184" i="7"/>
  <c r="K184" i="7"/>
  <c r="N184" i="7" s="1"/>
  <c r="J184" i="7"/>
  <c r="M184" i="7" s="1"/>
  <c r="L233" i="7"/>
  <c r="K233" i="7"/>
  <c r="O233" i="7" s="1"/>
  <c r="J233" i="7"/>
  <c r="M233" i="7" s="1"/>
  <c r="L163" i="7"/>
  <c r="K163" i="7"/>
  <c r="O163" i="7" s="1"/>
  <c r="J163" i="7"/>
  <c r="M163" i="7" s="1"/>
  <c r="L173" i="7"/>
  <c r="K173" i="7"/>
  <c r="O173" i="7" s="1"/>
  <c r="J173" i="7"/>
  <c r="M173" i="7" s="1"/>
  <c r="G161" i="7"/>
  <c r="G160" i="7"/>
  <c r="G159" i="7"/>
  <c r="G158" i="7"/>
  <c r="G157" i="7"/>
  <c r="G155" i="7"/>
  <c r="G154" i="7"/>
  <c r="G153" i="7"/>
  <c r="N182" i="7" l="1"/>
  <c r="N135" i="7"/>
  <c r="N138" i="7"/>
  <c r="O134" i="7"/>
  <c r="N159" i="7"/>
  <c r="O145" i="7"/>
  <c r="O140" i="7"/>
  <c r="O143" i="7"/>
  <c r="O139" i="7"/>
  <c r="O156" i="7"/>
  <c r="N141" i="7"/>
  <c r="N157" i="7"/>
  <c r="O171" i="7"/>
  <c r="N149" i="7"/>
  <c r="N150" i="7"/>
  <c r="O146" i="7"/>
  <c r="N155" i="7"/>
  <c r="O153" i="7"/>
  <c r="N216" i="7"/>
  <c r="O255" i="7"/>
  <c r="O160" i="7"/>
  <c r="N154" i="7"/>
  <c r="N172" i="7"/>
  <c r="N161" i="7"/>
  <c r="N162" i="7"/>
  <c r="N177" i="7"/>
  <c r="O184" i="7"/>
  <c r="N233" i="7"/>
  <c r="N163" i="7"/>
  <c r="N173" i="7"/>
  <c r="L265" i="7" l="1"/>
  <c r="K265" i="7"/>
  <c r="O265" i="7" s="1"/>
  <c r="J265" i="7"/>
  <c r="M265" i="7" s="1"/>
  <c r="L176" i="7"/>
  <c r="K176" i="7"/>
  <c r="O176" i="7" s="1"/>
  <c r="J176" i="7"/>
  <c r="M176" i="7" s="1"/>
  <c r="L221" i="7"/>
  <c r="K221" i="7"/>
  <c r="O221" i="7" s="1"/>
  <c r="J221" i="7"/>
  <c r="M221" i="7" s="1"/>
  <c r="L222" i="7"/>
  <c r="K222" i="7"/>
  <c r="O222" i="7" s="1"/>
  <c r="J222" i="7"/>
  <c r="M222" i="7" s="1"/>
  <c r="T17" i="14"/>
  <c r="U18" i="14" s="1"/>
  <c r="R17" i="14"/>
  <c r="O17" i="14"/>
  <c r="K17" i="14"/>
  <c r="G17" i="14"/>
  <c r="E17" i="14"/>
  <c r="G163" i="7"/>
  <c r="G162" i="7"/>
  <c r="G166" i="7"/>
  <c r="G165" i="7"/>
  <c r="G164" i="7"/>
  <c r="L179" i="7"/>
  <c r="K179" i="7"/>
  <c r="O179" i="7" s="1"/>
  <c r="J179" i="7"/>
  <c r="M179" i="7" s="1"/>
  <c r="L169" i="7"/>
  <c r="K169" i="7"/>
  <c r="O169" i="7" s="1"/>
  <c r="J169" i="7"/>
  <c r="M169" i="7" s="1"/>
  <c r="L220" i="7"/>
  <c r="K220" i="7"/>
  <c r="O220" i="7" s="1"/>
  <c r="J220" i="7"/>
  <c r="M220" i="7" s="1"/>
  <c r="L190" i="7"/>
  <c r="K190" i="7"/>
  <c r="O190" i="7" s="1"/>
  <c r="J190" i="7"/>
  <c r="M190" i="7" s="1"/>
  <c r="G190" i="7"/>
  <c r="G168" i="7"/>
  <c r="G169" i="7"/>
  <c r="L187" i="7"/>
  <c r="K187" i="7"/>
  <c r="N187" i="7" s="1"/>
  <c r="J187" i="7"/>
  <c r="M187" i="7" s="1"/>
  <c r="L185" i="7"/>
  <c r="K185" i="7"/>
  <c r="O185" i="7" s="1"/>
  <c r="J185" i="7"/>
  <c r="M185" i="7" s="1"/>
  <c r="L174" i="7"/>
  <c r="K174" i="7"/>
  <c r="O174" i="7" s="1"/>
  <c r="J174" i="7"/>
  <c r="M174" i="7" s="1"/>
  <c r="L170" i="7"/>
  <c r="K170" i="7"/>
  <c r="O170" i="7" s="1"/>
  <c r="J170" i="7"/>
  <c r="M170" i="7" s="1"/>
  <c r="G172" i="7"/>
  <c r="G171" i="7"/>
  <c r="G170" i="7"/>
  <c r="L195" i="7"/>
  <c r="K195" i="7"/>
  <c r="O195" i="7" s="1"/>
  <c r="J195" i="7"/>
  <c r="M195" i="7" s="1"/>
  <c r="N265" i="7" l="1"/>
  <c r="N176" i="7"/>
  <c r="N221" i="7"/>
  <c r="N222" i="7"/>
  <c r="N179" i="7"/>
  <c r="N169" i="7"/>
  <c r="N220" i="7"/>
  <c r="N190" i="7"/>
  <c r="O187" i="7"/>
  <c r="N185" i="7"/>
  <c r="N174" i="7"/>
  <c r="N170" i="7"/>
  <c r="N195" i="7"/>
  <c r="L180" i="7" l="1"/>
  <c r="K180" i="7"/>
  <c r="O180" i="7" s="1"/>
  <c r="J180" i="7"/>
  <c r="M180" i="7" s="1"/>
  <c r="L178" i="7"/>
  <c r="K178" i="7"/>
  <c r="O178" i="7" s="1"/>
  <c r="J178" i="7"/>
  <c r="M178" i="7" s="1"/>
  <c r="L191" i="7"/>
  <c r="K191" i="7"/>
  <c r="O191" i="7" s="1"/>
  <c r="J191" i="7"/>
  <c r="M191" i="7" s="1"/>
  <c r="G175" i="7"/>
  <c r="G174" i="7"/>
  <c r="G173" i="7"/>
  <c r="L218" i="7"/>
  <c r="K218" i="7"/>
  <c r="N218" i="7" s="1"/>
  <c r="J218" i="7"/>
  <c r="M218" i="7" s="1"/>
  <c r="O218" i="7" l="1"/>
  <c r="N180" i="7"/>
  <c r="N178" i="7"/>
  <c r="N191" i="7"/>
  <c r="G178" i="7"/>
  <c r="G177" i="7"/>
  <c r="G176" i="7"/>
  <c r="L274" i="7"/>
  <c r="K274" i="7"/>
  <c r="O274" i="7" s="1"/>
  <c r="J274" i="7"/>
  <c r="M274" i="7" s="1"/>
  <c r="L199" i="7"/>
  <c r="K199" i="7"/>
  <c r="N199" i="7" s="1"/>
  <c r="J199" i="7"/>
  <c r="M199" i="7" s="1"/>
  <c r="G185" i="7"/>
  <c r="G184" i="7"/>
  <c r="G183" i="7"/>
  <c r="G182" i="7"/>
  <c r="G181" i="7"/>
  <c r="G180" i="7"/>
  <c r="G179" i="7"/>
  <c r="L215" i="7"/>
  <c r="K215" i="7"/>
  <c r="N215" i="7" s="1"/>
  <c r="J215" i="7"/>
  <c r="M215" i="7" s="1"/>
  <c r="L236" i="7"/>
  <c r="K236" i="7"/>
  <c r="N236" i="7" s="1"/>
  <c r="J236" i="7"/>
  <c r="M236" i="7" s="1"/>
  <c r="L259" i="7"/>
  <c r="K259" i="7"/>
  <c r="N259" i="7" s="1"/>
  <c r="J259" i="7"/>
  <c r="M259" i="7" s="1"/>
  <c r="L192" i="7"/>
  <c r="K192" i="7"/>
  <c r="O192" i="7" s="1"/>
  <c r="J192" i="7"/>
  <c r="M192" i="7" s="1"/>
  <c r="L188" i="7"/>
  <c r="K188" i="7"/>
  <c r="O188" i="7" s="1"/>
  <c r="J188" i="7"/>
  <c r="M188" i="7" s="1"/>
  <c r="L189" i="7"/>
  <c r="K189" i="7"/>
  <c r="N189" i="7" s="1"/>
  <c r="J189" i="7"/>
  <c r="M189" i="7" s="1"/>
  <c r="L260" i="7"/>
  <c r="K260" i="7"/>
  <c r="O260" i="7" s="1"/>
  <c r="J260" i="7"/>
  <c r="M260" i="7" s="1"/>
  <c r="L193" i="7"/>
  <c r="K193" i="7"/>
  <c r="O193" i="7" s="1"/>
  <c r="J193" i="7"/>
  <c r="M193" i="7" s="1"/>
  <c r="T16" i="14"/>
  <c r="U17" i="14" s="1"/>
  <c r="R16" i="14"/>
  <c r="O16" i="14"/>
  <c r="K16" i="14"/>
  <c r="G16" i="14"/>
  <c r="E16" i="14"/>
  <c r="G189" i="7"/>
  <c r="G188" i="7"/>
  <c r="G187" i="7"/>
  <c r="G186" i="7"/>
  <c r="L200" i="7"/>
  <c r="K200" i="7"/>
  <c r="N200" i="7" s="1"/>
  <c r="J200" i="7"/>
  <c r="M200" i="7" s="1"/>
  <c r="L194" i="7"/>
  <c r="K194" i="7"/>
  <c r="O194" i="7" s="1"/>
  <c r="J194" i="7"/>
  <c r="M194" i="7" s="1"/>
  <c r="L226" i="7"/>
  <c r="K226" i="7"/>
  <c r="O226" i="7" s="1"/>
  <c r="J226" i="7"/>
  <c r="M226" i="7" s="1"/>
  <c r="L266" i="7"/>
  <c r="K266" i="7"/>
  <c r="O266" i="7" s="1"/>
  <c r="J266" i="7"/>
  <c r="M266" i="7" s="1"/>
  <c r="G28" i="2"/>
  <c r="F28" i="2"/>
  <c r="G195" i="7"/>
  <c r="G194" i="7"/>
  <c r="G193" i="7"/>
  <c r="G192" i="7"/>
  <c r="G191" i="7"/>
  <c r="L206" i="7"/>
  <c r="K206" i="7"/>
  <c r="O206" i="7" s="1"/>
  <c r="J206" i="7"/>
  <c r="M206" i="7" s="1"/>
  <c r="L196" i="7"/>
  <c r="K196" i="7"/>
  <c r="O196" i="7" s="1"/>
  <c r="J196" i="7"/>
  <c r="M196" i="7" s="1"/>
  <c r="L198" i="7"/>
  <c r="K198" i="7"/>
  <c r="O198" i="7" s="1"/>
  <c r="J198" i="7"/>
  <c r="M198" i="7" s="1"/>
  <c r="L197" i="7"/>
  <c r="K197" i="7"/>
  <c r="O197" i="7" s="1"/>
  <c r="J197" i="7"/>
  <c r="M197" i="7" s="1"/>
  <c r="G200" i="7"/>
  <c r="G199" i="7"/>
  <c r="G198" i="7"/>
  <c r="G197" i="7"/>
  <c r="G196" i="7"/>
  <c r="L208" i="7"/>
  <c r="K208" i="7"/>
  <c r="O208" i="7" s="1"/>
  <c r="J208" i="7"/>
  <c r="M208" i="7" s="1"/>
  <c r="L212" i="7"/>
  <c r="K212" i="7"/>
  <c r="O212" i="7" s="1"/>
  <c r="J212" i="7"/>
  <c r="M212" i="7" s="1"/>
  <c r="G201" i="7"/>
  <c r="I28" i="2" l="1"/>
  <c r="N274" i="7"/>
  <c r="O199" i="7"/>
  <c r="O189" i="7"/>
  <c r="O259" i="7"/>
  <c r="N193" i="7"/>
  <c r="O215" i="7"/>
  <c r="O236" i="7"/>
  <c r="N192" i="7"/>
  <c r="N188" i="7"/>
  <c r="N260" i="7"/>
  <c r="O200" i="7"/>
  <c r="N194" i="7"/>
  <c r="N226" i="7"/>
  <c r="N266" i="7"/>
  <c r="H28" i="2"/>
  <c r="N206" i="7"/>
  <c r="N196" i="7"/>
  <c r="N198" i="7"/>
  <c r="N197" i="7"/>
  <c r="N208" i="7"/>
  <c r="N212" i="7"/>
  <c r="L257" i="7"/>
  <c r="K257" i="7"/>
  <c r="O257" i="7" s="1"/>
  <c r="J257" i="7"/>
  <c r="M257" i="7" s="1"/>
  <c r="L210" i="7"/>
  <c r="K210" i="7"/>
  <c r="O210" i="7" s="1"/>
  <c r="J210" i="7"/>
  <c r="M210" i="7" s="1"/>
  <c r="L234" i="7"/>
  <c r="K234" i="7"/>
  <c r="N234" i="7" s="1"/>
  <c r="J234" i="7"/>
  <c r="M234" i="7" s="1"/>
  <c r="L203" i="7"/>
  <c r="K203" i="7"/>
  <c r="O203" i="7" s="1"/>
  <c r="J203" i="7"/>
  <c r="M203" i="7" s="1"/>
  <c r="L204" i="7"/>
  <c r="K204" i="7"/>
  <c r="O204" i="7" s="1"/>
  <c r="J204" i="7"/>
  <c r="M204" i="7" s="1"/>
  <c r="L229" i="7"/>
  <c r="K229" i="7"/>
  <c r="O229" i="7" s="1"/>
  <c r="J229" i="7"/>
  <c r="M229" i="7" s="1"/>
  <c r="G204" i="7"/>
  <c r="G203" i="7"/>
  <c r="G202" i="7"/>
  <c r="G259" i="7"/>
  <c r="L207" i="7"/>
  <c r="K207" i="7"/>
  <c r="O207" i="7" s="1"/>
  <c r="J207" i="7"/>
  <c r="M207" i="7" s="1"/>
  <c r="L241" i="7"/>
  <c r="K241" i="7"/>
  <c r="N241" i="7" s="1"/>
  <c r="J241" i="7"/>
  <c r="M241" i="7" s="1"/>
  <c r="L209" i="7"/>
  <c r="K209" i="7"/>
  <c r="O209" i="7" s="1"/>
  <c r="J209" i="7"/>
  <c r="M209" i="7" s="1"/>
  <c r="G207" i="7"/>
  <c r="G206" i="7"/>
  <c r="G205" i="7"/>
  <c r="G208" i="7"/>
  <c r="L251" i="7"/>
  <c r="K251" i="7"/>
  <c r="O251" i="7" s="1"/>
  <c r="J251" i="7"/>
  <c r="M251" i="7" s="1"/>
  <c r="L319" i="7"/>
  <c r="K319" i="7"/>
  <c r="O319" i="7" s="1"/>
  <c r="J319" i="7"/>
  <c r="M319" i="7" s="1"/>
  <c r="G212" i="7"/>
  <c r="G211" i="7"/>
  <c r="G210" i="7"/>
  <c r="G209" i="7"/>
  <c r="L252" i="7"/>
  <c r="K252" i="7"/>
  <c r="N252" i="7" s="1"/>
  <c r="J252" i="7"/>
  <c r="M252" i="7" s="1"/>
  <c r="G53" i="2"/>
  <c r="F53" i="2"/>
  <c r="L219" i="7"/>
  <c r="K219" i="7"/>
  <c r="O219" i="7" s="1"/>
  <c r="J219" i="7"/>
  <c r="M219" i="7" s="1"/>
  <c r="L246" i="7"/>
  <c r="K246" i="7"/>
  <c r="N246" i="7" s="1"/>
  <c r="J246" i="7"/>
  <c r="M246" i="7" s="1"/>
  <c r="L239" i="7"/>
  <c r="K239" i="7"/>
  <c r="O239" i="7" s="1"/>
  <c r="J239" i="7"/>
  <c r="M239" i="7" s="1"/>
  <c r="L214" i="7"/>
  <c r="K214" i="7"/>
  <c r="N214" i="7" s="1"/>
  <c r="J214" i="7"/>
  <c r="M214" i="7" s="1"/>
  <c r="G214" i="7"/>
  <c r="G213" i="7"/>
  <c r="G215" i="7"/>
  <c r="L231" i="7"/>
  <c r="K231" i="7"/>
  <c r="O231" i="7" s="1"/>
  <c r="J231" i="7"/>
  <c r="M231" i="7" s="1"/>
  <c r="L217" i="7"/>
  <c r="K217" i="7"/>
  <c r="N217" i="7" s="1"/>
  <c r="J217" i="7"/>
  <c r="M217" i="7" s="1"/>
  <c r="L224" i="7"/>
  <c r="K224" i="7"/>
  <c r="O224" i="7" s="1"/>
  <c r="J224" i="7"/>
  <c r="M224" i="7" s="1"/>
  <c r="G216" i="7"/>
  <c r="L525" i="7"/>
  <c r="K525" i="7"/>
  <c r="O525" i="7" s="1"/>
  <c r="J525" i="7"/>
  <c r="M525" i="7" s="1"/>
  <c r="G217" i="7"/>
  <c r="L496" i="7"/>
  <c r="K496" i="7"/>
  <c r="O496" i="7" s="1"/>
  <c r="J496" i="7"/>
  <c r="M496" i="7" s="1"/>
  <c r="G496" i="7"/>
  <c r="L227" i="7"/>
  <c r="K227" i="7"/>
  <c r="O227" i="7" s="1"/>
  <c r="J227" i="7"/>
  <c r="M227" i="7" s="1"/>
  <c r="L261" i="7"/>
  <c r="K261" i="7"/>
  <c r="O261" i="7" s="1"/>
  <c r="J261" i="7"/>
  <c r="M261" i="7" s="1"/>
  <c r="G260" i="7"/>
  <c r="G222" i="7"/>
  <c r="G221" i="7"/>
  <c r="G220" i="7"/>
  <c r="G219" i="7"/>
  <c r="G218" i="7"/>
  <c r="L228" i="7"/>
  <c r="K228" i="7"/>
  <c r="N228" i="7" s="1"/>
  <c r="J228" i="7"/>
  <c r="M228" i="7" s="1"/>
  <c r="G224" i="7"/>
  <c r="G223" i="7"/>
  <c r="L365" i="7"/>
  <c r="K365" i="7"/>
  <c r="O365" i="7" s="1"/>
  <c r="J365" i="7"/>
  <c r="M365" i="7" s="1"/>
  <c r="L235" i="7"/>
  <c r="K235" i="7"/>
  <c r="O235" i="7" s="1"/>
  <c r="J235" i="7"/>
  <c r="M235" i="7" s="1"/>
  <c r="L248" i="7"/>
  <c r="K248" i="7"/>
  <c r="N248" i="7" s="1"/>
  <c r="J248" i="7"/>
  <c r="M248" i="7" s="1"/>
  <c r="G225" i="7"/>
  <c r="I53" i="2" l="1"/>
  <c r="N204" i="7"/>
  <c r="N257" i="7"/>
  <c r="N210" i="7"/>
  <c r="O234" i="7"/>
  <c r="N203" i="7"/>
  <c r="N229" i="7"/>
  <c r="N207" i="7"/>
  <c r="O241" i="7"/>
  <c r="N209" i="7"/>
  <c r="N251" i="7"/>
  <c r="N319" i="7"/>
  <c r="H53" i="2"/>
  <c r="O252" i="7"/>
  <c r="N219" i="7"/>
  <c r="O246" i="7"/>
  <c r="N239" i="7"/>
  <c r="O214" i="7"/>
  <c r="N231" i="7"/>
  <c r="O217" i="7"/>
  <c r="N224" i="7"/>
  <c r="N525" i="7"/>
  <c r="N496" i="7"/>
  <c r="N227" i="7"/>
  <c r="N261" i="7"/>
  <c r="O228" i="7"/>
  <c r="N365" i="7"/>
  <c r="N235" i="7"/>
  <c r="L298" i="7"/>
  <c r="K298" i="7"/>
  <c r="N298" i="7" s="1"/>
  <c r="J298" i="7"/>
  <c r="M298" i="7" s="1"/>
  <c r="G227" i="7"/>
  <c r="G226" i="7"/>
  <c r="L305" i="7"/>
  <c r="K305" i="7"/>
  <c r="O305" i="7" s="1"/>
  <c r="J305" i="7"/>
  <c r="M305" i="7" s="1"/>
  <c r="G231" i="7"/>
  <c r="G230" i="7"/>
  <c r="G229" i="7"/>
  <c r="G228" i="7"/>
  <c r="G24" i="2"/>
  <c r="F24" i="2"/>
  <c r="G237" i="7"/>
  <c r="G236" i="7"/>
  <c r="G235" i="7"/>
  <c r="G234" i="7"/>
  <c r="G233" i="7"/>
  <c r="G232" i="7"/>
  <c r="L247" i="7"/>
  <c r="K247" i="7"/>
  <c r="O247" i="7" s="1"/>
  <c r="J247" i="7"/>
  <c r="M247" i="7" s="1"/>
  <c r="L238" i="7"/>
  <c r="K238" i="7"/>
  <c r="O238" i="7" s="1"/>
  <c r="J238" i="7"/>
  <c r="M238" i="7" s="1"/>
  <c r="T15" i="14"/>
  <c r="U16" i="14" s="1"/>
  <c r="R15" i="14"/>
  <c r="O15" i="14"/>
  <c r="K15" i="14"/>
  <c r="G15" i="14"/>
  <c r="E15" i="14"/>
  <c r="I24" i="2" l="1"/>
  <c r="O298" i="7"/>
  <c r="N305" i="7"/>
  <c r="H24" i="2"/>
  <c r="N247" i="7"/>
  <c r="N238" i="7"/>
  <c r="L240" i="7" l="1"/>
  <c r="K240" i="7"/>
  <c r="O240" i="7" s="1"/>
  <c r="J240" i="7"/>
  <c r="M240" i="7" s="1"/>
  <c r="G239" i="7"/>
  <c r="L243" i="7"/>
  <c r="K243" i="7"/>
  <c r="O243" i="7" s="1"/>
  <c r="J243" i="7"/>
  <c r="M243" i="7" s="1"/>
  <c r="L242" i="7"/>
  <c r="K242" i="7"/>
  <c r="N242" i="7" s="1"/>
  <c r="J242" i="7"/>
  <c r="M242" i="7" s="1"/>
  <c r="L245" i="7"/>
  <c r="K245" i="7"/>
  <c r="O245" i="7" s="1"/>
  <c r="J245" i="7"/>
  <c r="M245" i="7" s="1"/>
  <c r="L249" i="7"/>
  <c r="K249" i="7"/>
  <c r="N249" i="7" s="1"/>
  <c r="J249" i="7"/>
  <c r="M249" i="7" s="1"/>
  <c r="L250" i="7"/>
  <c r="K250" i="7"/>
  <c r="O250" i="7" s="1"/>
  <c r="J250" i="7"/>
  <c r="M250" i="7" s="1"/>
  <c r="L516" i="7"/>
  <c r="K516" i="7"/>
  <c r="O516" i="7" s="1"/>
  <c r="J516" i="7"/>
  <c r="M516" i="7" s="1"/>
  <c r="L244" i="7"/>
  <c r="K244" i="7"/>
  <c r="O244" i="7" s="1"/>
  <c r="J244" i="7"/>
  <c r="M244" i="7" s="1"/>
  <c r="G240" i="7"/>
  <c r="G238" i="7"/>
  <c r="G242" i="7"/>
  <c r="G241" i="7"/>
  <c r="L254" i="7"/>
  <c r="K254" i="7"/>
  <c r="O254" i="7" s="1"/>
  <c r="J254" i="7"/>
  <c r="M254" i="7" s="1"/>
  <c r="L262" i="7"/>
  <c r="K262" i="7"/>
  <c r="N262" i="7" s="1"/>
  <c r="J262" i="7"/>
  <c r="M262" i="7" s="1"/>
  <c r="G243" i="7"/>
  <c r="L268" i="7"/>
  <c r="K268" i="7"/>
  <c r="O268" i="7" s="1"/>
  <c r="J268" i="7"/>
  <c r="M268" i="7" s="1"/>
  <c r="L411" i="7"/>
  <c r="K411" i="7"/>
  <c r="O411" i="7" s="1"/>
  <c r="J411" i="7"/>
  <c r="M411" i="7" s="1"/>
  <c r="L258" i="7"/>
  <c r="K258" i="7"/>
  <c r="N258" i="7" s="1"/>
  <c r="J258" i="7"/>
  <c r="M258" i="7" s="1"/>
  <c r="G250" i="7"/>
  <c r="G249" i="7"/>
  <c r="G248" i="7"/>
  <c r="G247" i="7"/>
  <c r="G246" i="7"/>
  <c r="G245" i="7"/>
  <c r="G244" i="7"/>
  <c r="G251" i="7"/>
  <c r="L364" i="7"/>
  <c r="K364" i="7"/>
  <c r="O364" i="7" s="1"/>
  <c r="J364" i="7"/>
  <c r="M364" i="7" s="1"/>
  <c r="L334" i="7"/>
  <c r="K334" i="7"/>
  <c r="O334" i="7" s="1"/>
  <c r="J334" i="7"/>
  <c r="M334" i="7" s="1"/>
  <c r="L280" i="7"/>
  <c r="K280" i="7"/>
  <c r="N280" i="7" s="1"/>
  <c r="J280" i="7"/>
  <c r="M280" i="7" s="1"/>
  <c r="L288" i="7"/>
  <c r="K288" i="7"/>
  <c r="O288" i="7" s="1"/>
  <c r="J288" i="7"/>
  <c r="M288" i="7" s="1"/>
  <c r="L285" i="7"/>
  <c r="K285" i="7"/>
  <c r="O285" i="7" s="1"/>
  <c r="J285" i="7"/>
  <c r="M285" i="7" s="1"/>
  <c r="L253" i="7"/>
  <c r="K253" i="7"/>
  <c r="N253" i="7" s="1"/>
  <c r="J253" i="7"/>
  <c r="M253" i="7" s="1"/>
  <c r="L312" i="7"/>
  <c r="K312" i="7"/>
  <c r="O312" i="7" s="1"/>
  <c r="J312" i="7"/>
  <c r="M312" i="7" s="1"/>
  <c r="G252" i="7"/>
  <c r="L264" i="7"/>
  <c r="K264" i="7"/>
  <c r="O264" i="7" s="1"/>
  <c r="J264" i="7"/>
  <c r="M264" i="7" s="1"/>
  <c r="L290" i="7"/>
  <c r="K290" i="7"/>
  <c r="O290" i="7" s="1"/>
  <c r="J290" i="7"/>
  <c r="M290" i="7" s="1"/>
  <c r="G254" i="7"/>
  <c r="G253" i="7"/>
  <c r="L256" i="7"/>
  <c r="K256" i="7"/>
  <c r="N256" i="7" s="1"/>
  <c r="J256" i="7"/>
  <c r="M256" i="7" s="1"/>
  <c r="L267" i="7"/>
  <c r="K267" i="7"/>
  <c r="O267" i="7" s="1"/>
  <c r="J267" i="7"/>
  <c r="M267" i="7" s="1"/>
  <c r="G257" i="7"/>
  <c r="G256" i="7"/>
  <c r="G255" i="7"/>
  <c r="L289" i="7"/>
  <c r="K289" i="7"/>
  <c r="O289" i="7" s="1"/>
  <c r="J289" i="7"/>
  <c r="M289" i="7" s="1"/>
  <c r="L322" i="7"/>
  <c r="K322" i="7"/>
  <c r="O322" i="7" s="1"/>
  <c r="J322" i="7"/>
  <c r="M322" i="7" s="1"/>
  <c r="L313" i="7"/>
  <c r="K313" i="7"/>
  <c r="N313" i="7" s="1"/>
  <c r="J313" i="7"/>
  <c r="M313" i="7" s="1"/>
  <c r="G312" i="7"/>
  <c r="L263" i="7"/>
  <c r="K263" i="7"/>
  <c r="O263" i="7" s="1"/>
  <c r="J263" i="7"/>
  <c r="M263" i="7" s="1"/>
  <c r="G261" i="7"/>
  <c r="G258" i="7"/>
  <c r="L359" i="7"/>
  <c r="K359" i="7"/>
  <c r="N359" i="7" s="1"/>
  <c r="J359" i="7"/>
  <c r="M359" i="7" s="1"/>
  <c r="G264" i="7"/>
  <c r="G263" i="7"/>
  <c r="G262" i="7"/>
  <c r="L273" i="7"/>
  <c r="K273" i="7"/>
  <c r="O273" i="7" s="1"/>
  <c r="J273" i="7"/>
  <c r="M273" i="7" s="1"/>
  <c r="L278" i="7"/>
  <c r="K278" i="7"/>
  <c r="N278" i="7" s="1"/>
  <c r="J278" i="7"/>
  <c r="M278" i="7" s="1"/>
  <c r="L275" i="7"/>
  <c r="K275" i="7"/>
  <c r="O275" i="7" s="1"/>
  <c r="J275" i="7"/>
  <c r="M275" i="7" s="1"/>
  <c r="L279" i="7"/>
  <c r="K279" i="7"/>
  <c r="N279" i="7" s="1"/>
  <c r="J279" i="7"/>
  <c r="M279" i="7" s="1"/>
  <c r="L294" i="7"/>
  <c r="K294" i="7"/>
  <c r="O294" i="7" s="1"/>
  <c r="J294" i="7"/>
  <c r="M294" i="7" s="1"/>
  <c r="L269" i="7"/>
  <c r="K269" i="7"/>
  <c r="O269" i="7" s="1"/>
  <c r="J269" i="7"/>
  <c r="M269" i="7" s="1"/>
  <c r="G269" i="7"/>
  <c r="G268" i="7"/>
  <c r="G267" i="7"/>
  <c r="G266" i="7"/>
  <c r="G265" i="7"/>
  <c r="L271" i="7"/>
  <c r="K271" i="7"/>
  <c r="O271" i="7" s="1"/>
  <c r="J271" i="7"/>
  <c r="M271" i="7" s="1"/>
  <c r="L272" i="7"/>
  <c r="K272" i="7"/>
  <c r="O272" i="7" s="1"/>
  <c r="J272" i="7"/>
  <c r="M272" i="7" s="1"/>
  <c r="L270" i="7"/>
  <c r="K270" i="7"/>
  <c r="O270" i="7" s="1"/>
  <c r="J270" i="7"/>
  <c r="M270" i="7" s="1"/>
  <c r="L338" i="7"/>
  <c r="K338" i="7"/>
  <c r="O338" i="7" s="1"/>
  <c r="J338" i="7"/>
  <c r="M338" i="7" s="1"/>
  <c r="L328" i="7"/>
  <c r="K328" i="7"/>
  <c r="O328" i="7" s="1"/>
  <c r="J328" i="7"/>
  <c r="M328" i="7" s="1"/>
  <c r="L447" i="7"/>
  <c r="K447" i="7"/>
  <c r="O447" i="7" s="1"/>
  <c r="J447" i="7"/>
  <c r="M447" i="7" s="1"/>
  <c r="L341" i="7"/>
  <c r="K341" i="7"/>
  <c r="O341" i="7" s="1"/>
  <c r="J341" i="7"/>
  <c r="M341" i="7" s="1"/>
  <c r="G273" i="7"/>
  <c r="G272" i="7"/>
  <c r="G271" i="7"/>
  <c r="G270" i="7"/>
  <c r="L277" i="7"/>
  <c r="K277" i="7"/>
  <c r="O277" i="7" s="1"/>
  <c r="J277" i="7"/>
  <c r="M277" i="7" s="1"/>
  <c r="L276" i="7"/>
  <c r="K276" i="7"/>
  <c r="O276" i="7" s="1"/>
  <c r="J276" i="7"/>
  <c r="M276" i="7" s="1"/>
  <c r="L281" i="7"/>
  <c r="K281" i="7"/>
  <c r="N281" i="7" s="1"/>
  <c r="J281" i="7"/>
  <c r="M281" i="7" s="1"/>
  <c r="L311" i="7"/>
  <c r="K311" i="7"/>
  <c r="O311" i="7" s="1"/>
  <c r="J311" i="7"/>
  <c r="M311" i="7" s="1"/>
  <c r="G279" i="7"/>
  <c r="G278" i="7"/>
  <c r="G277" i="7"/>
  <c r="G276" i="7"/>
  <c r="G275" i="7"/>
  <c r="G274" i="7"/>
  <c r="L282" i="7"/>
  <c r="K282" i="7"/>
  <c r="O282" i="7" s="1"/>
  <c r="J282" i="7"/>
  <c r="M282" i="7" s="1"/>
  <c r="L283" i="7"/>
  <c r="K283" i="7"/>
  <c r="O283" i="7" s="1"/>
  <c r="J283" i="7"/>
  <c r="M283" i="7" s="1"/>
  <c r="L291" i="7"/>
  <c r="K291" i="7"/>
  <c r="O291" i="7" s="1"/>
  <c r="J291" i="7"/>
  <c r="M291" i="7" s="1"/>
  <c r="L293" i="7"/>
  <c r="K293" i="7"/>
  <c r="O293" i="7" s="1"/>
  <c r="J293" i="7"/>
  <c r="M293" i="7" s="1"/>
  <c r="L379" i="7"/>
  <c r="K379" i="7"/>
  <c r="O379" i="7" s="1"/>
  <c r="J379" i="7"/>
  <c r="M379" i="7" s="1"/>
  <c r="L306" i="7"/>
  <c r="K306" i="7"/>
  <c r="N306" i="7" s="1"/>
  <c r="J306" i="7"/>
  <c r="M306" i="7" s="1"/>
  <c r="L284" i="7"/>
  <c r="K284" i="7"/>
  <c r="O284" i="7" s="1"/>
  <c r="J284" i="7"/>
  <c r="M284" i="7" s="1"/>
  <c r="G283" i="7"/>
  <c r="G282" i="7"/>
  <c r="G281" i="7"/>
  <c r="G280" i="7"/>
  <c r="L318" i="7"/>
  <c r="K318" i="7"/>
  <c r="O318" i="7" s="1"/>
  <c r="J318" i="7"/>
  <c r="M318" i="7" s="1"/>
  <c r="L325" i="7"/>
  <c r="K325" i="7"/>
  <c r="O325" i="7" s="1"/>
  <c r="J325" i="7"/>
  <c r="M325" i="7" s="1"/>
  <c r="L402" i="7"/>
  <c r="K402" i="7"/>
  <c r="N402" i="7" s="1"/>
  <c r="J402" i="7"/>
  <c r="M402" i="7" s="1"/>
  <c r="G284" i="7"/>
  <c r="L542" i="7"/>
  <c r="K542" i="7"/>
  <c r="N542" i="7" s="1"/>
  <c r="J542" i="7"/>
  <c r="M542" i="7" s="1"/>
  <c r="L287" i="7"/>
  <c r="K287" i="7"/>
  <c r="O287" i="7" s="1"/>
  <c r="J287" i="7"/>
  <c r="M287" i="7" s="1"/>
  <c r="L292" i="7"/>
  <c r="K292" i="7"/>
  <c r="N292" i="7" s="1"/>
  <c r="J292" i="7"/>
  <c r="M292" i="7" s="1"/>
  <c r="L321" i="7"/>
  <c r="K321" i="7"/>
  <c r="N321" i="7" s="1"/>
  <c r="J321" i="7"/>
  <c r="M321" i="7" s="1"/>
  <c r="L307" i="7"/>
  <c r="K307" i="7"/>
  <c r="O307" i="7" s="1"/>
  <c r="J307" i="7"/>
  <c r="M307" i="7" s="1"/>
  <c r="G306" i="7"/>
  <c r="L286" i="7"/>
  <c r="K286" i="7"/>
  <c r="O286" i="7" s="1"/>
  <c r="J286" i="7"/>
  <c r="M286" i="7" s="1"/>
  <c r="G285" i="7"/>
  <c r="G294" i="7"/>
  <c r="G293" i="7"/>
  <c r="G292" i="7"/>
  <c r="G291" i="7"/>
  <c r="G290" i="7"/>
  <c r="G289" i="7"/>
  <c r="G288" i="7"/>
  <c r="G287" i="7"/>
  <c r="G286" i="7"/>
  <c r="L300" i="7"/>
  <c r="K300" i="7"/>
  <c r="O300" i="7" s="1"/>
  <c r="J300" i="7"/>
  <c r="M300" i="7" s="1"/>
  <c r="L296" i="7"/>
  <c r="K296" i="7"/>
  <c r="O296" i="7" s="1"/>
  <c r="J296" i="7"/>
  <c r="M296" i="7" s="1"/>
  <c r="L295" i="7"/>
  <c r="K295" i="7"/>
  <c r="O295" i="7" s="1"/>
  <c r="J295" i="7"/>
  <c r="M295" i="7" s="1"/>
  <c r="L302" i="7"/>
  <c r="K302" i="7"/>
  <c r="N302" i="7" s="1"/>
  <c r="J302" i="7"/>
  <c r="M302" i="7" s="1"/>
  <c r="T14" i="14"/>
  <c r="R14" i="14"/>
  <c r="O14" i="14"/>
  <c r="K14" i="14"/>
  <c r="G14" i="14"/>
  <c r="E14" i="14"/>
  <c r="G296" i="7"/>
  <c r="G295" i="7"/>
  <c r="L410" i="7"/>
  <c r="K410" i="7"/>
  <c r="O410" i="7" s="1"/>
  <c r="J410" i="7"/>
  <c r="M410" i="7" s="1"/>
  <c r="L297" i="7"/>
  <c r="K297" i="7"/>
  <c r="O297" i="7" s="1"/>
  <c r="J297" i="7"/>
  <c r="M297" i="7" s="1"/>
  <c r="L304" i="7"/>
  <c r="K304" i="7"/>
  <c r="O304" i="7" s="1"/>
  <c r="J304" i="7"/>
  <c r="M304" i="7" s="1"/>
  <c r="L320" i="7"/>
  <c r="K320" i="7"/>
  <c r="O320" i="7" s="1"/>
  <c r="J320" i="7"/>
  <c r="M320" i="7" s="1"/>
  <c r="L315" i="7"/>
  <c r="K315" i="7"/>
  <c r="O315" i="7" s="1"/>
  <c r="J315" i="7"/>
  <c r="M315" i="7" s="1"/>
  <c r="L310" i="7"/>
  <c r="K310" i="7"/>
  <c r="O310" i="7" s="1"/>
  <c r="J310" i="7"/>
  <c r="M310" i="7" s="1"/>
  <c r="L301" i="7"/>
  <c r="K301" i="7"/>
  <c r="O301" i="7" s="1"/>
  <c r="J301" i="7"/>
  <c r="M301" i="7" s="1"/>
  <c r="G297" i="7"/>
  <c r="L303" i="7"/>
  <c r="K303" i="7"/>
  <c r="O303" i="7" s="1"/>
  <c r="J303" i="7"/>
  <c r="M303" i="7" s="1"/>
  <c r="L314" i="7"/>
  <c r="K314" i="7"/>
  <c r="O314" i="7" s="1"/>
  <c r="J314" i="7"/>
  <c r="M314" i="7" s="1"/>
  <c r="G300" i="7"/>
  <c r="G299" i="7"/>
  <c r="G298" i="7"/>
  <c r="L316" i="7"/>
  <c r="K316" i="7"/>
  <c r="O316" i="7" s="1"/>
  <c r="J316" i="7"/>
  <c r="M316" i="7" s="1"/>
  <c r="L354" i="7"/>
  <c r="K354" i="7"/>
  <c r="O354" i="7" s="1"/>
  <c r="J354" i="7"/>
  <c r="M354" i="7" s="1"/>
  <c r="G304" i="7"/>
  <c r="G303" i="7"/>
  <c r="G302" i="7"/>
  <c r="G301" i="7"/>
  <c r="L308" i="7"/>
  <c r="K308" i="7"/>
  <c r="O308" i="7" s="1"/>
  <c r="J308" i="7"/>
  <c r="M308" i="7" s="1"/>
  <c r="L309" i="7"/>
  <c r="K309" i="7"/>
  <c r="N309" i="7" s="1"/>
  <c r="J309" i="7"/>
  <c r="M309" i="7" s="1"/>
  <c r="L497" i="7"/>
  <c r="K497" i="7"/>
  <c r="N497" i="7" s="1"/>
  <c r="J497" i="7"/>
  <c r="M497" i="7" s="1"/>
  <c r="G495" i="7"/>
  <c r="L351" i="7"/>
  <c r="K351" i="7"/>
  <c r="O351" i="7" s="1"/>
  <c r="J351" i="7"/>
  <c r="M351" i="7" s="1"/>
  <c r="U15" i="14" l="1"/>
  <c r="N240" i="7"/>
  <c r="O249" i="7"/>
  <c r="N244" i="7"/>
  <c r="N243" i="7"/>
  <c r="O242" i="7"/>
  <c r="N245" i="7"/>
  <c r="N250" i="7"/>
  <c r="N516" i="7"/>
  <c r="O258" i="7"/>
  <c r="N254" i="7"/>
  <c r="O262" i="7"/>
  <c r="N268" i="7"/>
  <c r="N411" i="7"/>
  <c r="N364" i="7"/>
  <c r="N334" i="7"/>
  <c r="O253" i="7"/>
  <c r="N312" i="7"/>
  <c r="O280" i="7"/>
  <c r="N288" i="7"/>
  <c r="N285" i="7"/>
  <c r="O256" i="7"/>
  <c r="N264" i="7"/>
  <c r="N290" i="7"/>
  <c r="N267" i="7"/>
  <c r="N289" i="7"/>
  <c r="N322" i="7"/>
  <c r="O313" i="7"/>
  <c r="N263" i="7"/>
  <c r="O359" i="7"/>
  <c r="O278" i="7"/>
  <c r="N273" i="7"/>
  <c r="N275" i="7"/>
  <c r="O279" i="7"/>
  <c r="N294" i="7"/>
  <c r="N269" i="7"/>
  <c r="N271" i="7"/>
  <c r="N272" i="7"/>
  <c r="N270" i="7"/>
  <c r="N338" i="7"/>
  <c r="N328" i="7"/>
  <c r="N447" i="7"/>
  <c r="N341" i="7"/>
  <c r="N291" i="7"/>
  <c r="N277" i="7"/>
  <c r="N276" i="7"/>
  <c r="O281" i="7"/>
  <c r="N311" i="7"/>
  <c r="N282" i="7"/>
  <c r="N283" i="7"/>
  <c r="N293" i="7"/>
  <c r="N379" i="7"/>
  <c r="O306" i="7"/>
  <c r="N284" i="7"/>
  <c r="O292" i="7"/>
  <c r="N318" i="7"/>
  <c r="N325" i="7"/>
  <c r="O402" i="7"/>
  <c r="O542" i="7"/>
  <c r="N287" i="7"/>
  <c r="O321" i="7"/>
  <c r="N307" i="7"/>
  <c r="N286" i="7"/>
  <c r="O302" i="7"/>
  <c r="N300" i="7"/>
  <c r="N296" i="7"/>
  <c r="N295" i="7"/>
  <c r="N410" i="7"/>
  <c r="N297" i="7"/>
  <c r="N304" i="7"/>
  <c r="N320" i="7"/>
  <c r="N315" i="7"/>
  <c r="N310" i="7"/>
  <c r="N301" i="7"/>
  <c r="N303" i="7"/>
  <c r="N314" i="7"/>
  <c r="N316" i="7"/>
  <c r="N354" i="7"/>
  <c r="N308" i="7"/>
  <c r="O309" i="7"/>
  <c r="O497" i="7"/>
  <c r="N351" i="7"/>
  <c r="G309" i="7" l="1"/>
  <c r="G308" i="7"/>
  <c r="G307" i="7"/>
  <c r="G305" i="7"/>
  <c r="L452" i="7"/>
  <c r="K452" i="7"/>
  <c r="O452" i="7" s="1"/>
  <c r="J452" i="7"/>
  <c r="M452" i="7" s="1"/>
  <c r="G451" i="7"/>
  <c r="L487" i="7"/>
  <c r="K487" i="7"/>
  <c r="O487" i="7" s="1"/>
  <c r="J487" i="7"/>
  <c r="M487" i="7" s="1"/>
  <c r="L486" i="7"/>
  <c r="K486" i="7"/>
  <c r="N486" i="7" s="1"/>
  <c r="J486" i="7"/>
  <c r="M486" i="7" s="1"/>
  <c r="G310" i="7"/>
  <c r="L453" i="7"/>
  <c r="K453" i="7"/>
  <c r="O453" i="7" s="1"/>
  <c r="J453" i="7"/>
  <c r="M453" i="7" s="1"/>
  <c r="G452" i="7"/>
  <c r="L390" i="7"/>
  <c r="K390" i="7"/>
  <c r="O390" i="7" s="1"/>
  <c r="J390" i="7"/>
  <c r="M390" i="7" s="1"/>
  <c r="G486" i="7"/>
  <c r="G314" i="7"/>
  <c r="G313" i="7"/>
  <c r="G311" i="7"/>
  <c r="L317" i="7"/>
  <c r="K317" i="7"/>
  <c r="O317" i="7" s="1"/>
  <c r="J317" i="7"/>
  <c r="M317" i="7" s="1"/>
  <c r="G318" i="7"/>
  <c r="G317" i="7"/>
  <c r="G316" i="7"/>
  <c r="G315" i="7"/>
  <c r="L479" i="7"/>
  <c r="K479" i="7"/>
  <c r="O479" i="7" s="1"/>
  <c r="J479" i="7"/>
  <c r="M479" i="7" s="1"/>
  <c r="N452" i="7" l="1"/>
  <c r="N487" i="7"/>
  <c r="O486" i="7"/>
  <c r="N453" i="7"/>
  <c r="N390" i="7"/>
  <c r="N317" i="7"/>
  <c r="N479" i="7"/>
  <c r="G319" i="7" l="1"/>
  <c r="L324" i="7"/>
  <c r="K324" i="7"/>
  <c r="O324" i="7" s="1"/>
  <c r="J324" i="7"/>
  <c r="M324" i="7" s="1"/>
  <c r="L346" i="7"/>
  <c r="K346" i="7"/>
  <c r="O346" i="7" s="1"/>
  <c r="J346" i="7"/>
  <c r="M346" i="7" s="1"/>
  <c r="L323" i="7"/>
  <c r="K323" i="7"/>
  <c r="O323" i="7" s="1"/>
  <c r="J323" i="7"/>
  <c r="M323" i="7" s="1"/>
  <c r="L550" i="7"/>
  <c r="K550" i="7"/>
  <c r="O550" i="7" s="1"/>
  <c r="J550" i="7"/>
  <c r="M550" i="7" s="1"/>
  <c r="L515" i="7"/>
  <c r="K515" i="7"/>
  <c r="O515" i="7" s="1"/>
  <c r="J515" i="7"/>
  <c r="M515" i="7" s="1"/>
  <c r="G515" i="7"/>
  <c r="L340" i="7"/>
  <c r="K340" i="7"/>
  <c r="O340" i="7" s="1"/>
  <c r="J340" i="7"/>
  <c r="M340" i="7" s="1"/>
  <c r="G320" i="7"/>
  <c r="L329" i="7"/>
  <c r="K329" i="7"/>
  <c r="O329" i="7" s="1"/>
  <c r="J329" i="7"/>
  <c r="M329" i="7" s="1"/>
  <c r="L326" i="7"/>
  <c r="K326" i="7"/>
  <c r="O326" i="7" s="1"/>
  <c r="J326" i="7"/>
  <c r="M326" i="7" s="1"/>
  <c r="L327" i="7"/>
  <c r="K327" i="7"/>
  <c r="O327" i="7" s="1"/>
  <c r="J327" i="7"/>
  <c r="M327" i="7" s="1"/>
  <c r="G327" i="7"/>
  <c r="G326" i="7"/>
  <c r="G325" i="7"/>
  <c r="G324" i="7"/>
  <c r="G323" i="7"/>
  <c r="G322" i="7"/>
  <c r="G321" i="7"/>
  <c r="G329" i="7"/>
  <c r="G328" i="7"/>
  <c r="L386" i="7"/>
  <c r="K386" i="7"/>
  <c r="O386" i="7" s="1"/>
  <c r="J386" i="7"/>
  <c r="M386" i="7" s="1"/>
  <c r="L331" i="7"/>
  <c r="K331" i="7"/>
  <c r="O331" i="7" s="1"/>
  <c r="J331" i="7"/>
  <c r="M331" i="7" s="1"/>
  <c r="L333" i="7"/>
  <c r="K333" i="7"/>
  <c r="O333" i="7" s="1"/>
  <c r="J333" i="7"/>
  <c r="M333" i="7" s="1"/>
  <c r="L332" i="7"/>
  <c r="K332" i="7"/>
  <c r="O332" i="7" s="1"/>
  <c r="J332" i="7"/>
  <c r="M332" i="7" s="1"/>
  <c r="L330" i="7"/>
  <c r="K330" i="7"/>
  <c r="O330" i="7" s="1"/>
  <c r="J330" i="7"/>
  <c r="M330" i="7" s="1"/>
  <c r="L335" i="7"/>
  <c r="K335" i="7"/>
  <c r="N335" i="7" s="1"/>
  <c r="J335" i="7"/>
  <c r="M335" i="7" s="1"/>
  <c r="L350" i="7"/>
  <c r="K350" i="7"/>
  <c r="O350" i="7" s="1"/>
  <c r="J350" i="7"/>
  <c r="M350" i="7" s="1"/>
  <c r="G350" i="7"/>
  <c r="L345" i="7"/>
  <c r="K345" i="7"/>
  <c r="O345" i="7" s="1"/>
  <c r="J345" i="7"/>
  <c r="M345" i="7" s="1"/>
  <c r="G335" i="7"/>
  <c r="G334" i="7"/>
  <c r="G333" i="7"/>
  <c r="G332" i="7"/>
  <c r="G331" i="7"/>
  <c r="G330" i="7"/>
  <c r="L337" i="7"/>
  <c r="K337" i="7"/>
  <c r="O337" i="7" s="1"/>
  <c r="J337" i="7"/>
  <c r="M337" i="7" s="1"/>
  <c r="L498" i="7"/>
  <c r="K498" i="7"/>
  <c r="O498" i="7" s="1"/>
  <c r="J498" i="7"/>
  <c r="M498" i="7" s="1"/>
  <c r="G498" i="7"/>
  <c r="N515" i="7" l="1"/>
  <c r="N324" i="7"/>
  <c r="N346" i="7"/>
  <c r="N323" i="7"/>
  <c r="N550" i="7"/>
  <c r="N340" i="7"/>
  <c r="N329" i="7"/>
  <c r="N326" i="7"/>
  <c r="N327" i="7"/>
  <c r="N333" i="7"/>
  <c r="N331" i="7"/>
  <c r="N386" i="7"/>
  <c r="N332" i="7"/>
  <c r="N330" i="7"/>
  <c r="O335" i="7"/>
  <c r="N350" i="7"/>
  <c r="N345" i="7"/>
  <c r="N337" i="7"/>
  <c r="N498" i="7"/>
  <c r="L494" i="7"/>
  <c r="K494" i="7"/>
  <c r="O494" i="7" s="1"/>
  <c r="J494" i="7"/>
  <c r="M494" i="7" s="1"/>
  <c r="L348" i="7"/>
  <c r="K348" i="7"/>
  <c r="N348" i="7" s="1"/>
  <c r="J348" i="7"/>
  <c r="M348" i="7" s="1"/>
  <c r="L344" i="7"/>
  <c r="K344" i="7"/>
  <c r="N344" i="7" s="1"/>
  <c r="J344" i="7"/>
  <c r="M344" i="7" s="1"/>
  <c r="L499" i="7"/>
  <c r="K499" i="7"/>
  <c r="O499" i="7" s="1"/>
  <c r="J499" i="7"/>
  <c r="M499" i="7" s="1"/>
  <c r="G499" i="7"/>
  <c r="L370" i="7"/>
  <c r="K370" i="7"/>
  <c r="O370" i="7" s="1"/>
  <c r="J370" i="7"/>
  <c r="M370" i="7" s="1"/>
  <c r="L336" i="7"/>
  <c r="K336" i="7"/>
  <c r="N336" i="7" s="1"/>
  <c r="J336" i="7"/>
  <c r="M336" i="7" s="1"/>
  <c r="O344" i="7" l="1"/>
  <c r="O348" i="7"/>
  <c r="N494" i="7"/>
  <c r="N499" i="7"/>
  <c r="O336" i="7"/>
  <c r="N370" i="7"/>
  <c r="G337" i="7" l="1"/>
  <c r="G336" i="7"/>
  <c r="L343" i="7"/>
  <c r="K343" i="7"/>
  <c r="O343" i="7" s="1"/>
  <c r="J343" i="7"/>
  <c r="M343" i="7" s="1"/>
  <c r="L339" i="7"/>
  <c r="K339" i="7"/>
  <c r="O339" i="7" s="1"/>
  <c r="J339" i="7"/>
  <c r="M339" i="7" s="1"/>
  <c r="L454" i="7"/>
  <c r="K454" i="7"/>
  <c r="O454" i="7" s="1"/>
  <c r="J454" i="7"/>
  <c r="M454" i="7" s="1"/>
  <c r="G454" i="7"/>
  <c r="G339" i="7"/>
  <c r="G338" i="7"/>
  <c r="L391" i="7"/>
  <c r="K391" i="7"/>
  <c r="O391" i="7" s="1"/>
  <c r="J391" i="7"/>
  <c r="M391" i="7" s="1"/>
  <c r="G391" i="7"/>
  <c r="L360" i="7"/>
  <c r="K360" i="7"/>
  <c r="O360" i="7" s="1"/>
  <c r="J360" i="7"/>
  <c r="M360" i="7" s="1"/>
  <c r="L355" i="7"/>
  <c r="K355" i="7"/>
  <c r="N355" i="7" s="1"/>
  <c r="J355" i="7"/>
  <c r="M355" i="7" s="1"/>
  <c r="G344" i="7"/>
  <c r="G343" i="7"/>
  <c r="G342" i="7"/>
  <c r="G341" i="7"/>
  <c r="G340" i="7"/>
  <c r="L412" i="7"/>
  <c r="K412" i="7"/>
  <c r="O412" i="7" s="1"/>
  <c r="J412" i="7"/>
  <c r="M412" i="7" s="1"/>
  <c r="G412" i="7"/>
  <c r="L347" i="7"/>
  <c r="K347" i="7"/>
  <c r="O347" i="7" s="1"/>
  <c r="J347" i="7"/>
  <c r="M347" i="7" s="1"/>
  <c r="G349" i="7"/>
  <c r="G348" i="7"/>
  <c r="G347" i="7"/>
  <c r="G346" i="7"/>
  <c r="G345" i="7"/>
  <c r="L526" i="7"/>
  <c r="K526" i="7"/>
  <c r="O526" i="7" s="1"/>
  <c r="J526" i="7"/>
  <c r="M526" i="7" s="1"/>
  <c r="G526" i="7"/>
  <c r="L535" i="7"/>
  <c r="K535" i="7"/>
  <c r="N535" i="7" s="1"/>
  <c r="J535" i="7"/>
  <c r="M535" i="7" s="1"/>
  <c r="L372" i="7"/>
  <c r="K372" i="7"/>
  <c r="O372" i="7" s="1"/>
  <c r="J372" i="7"/>
  <c r="M372" i="7" s="1"/>
  <c r="L532" i="7"/>
  <c r="K532" i="7"/>
  <c r="O532" i="7" s="1"/>
  <c r="J532" i="7"/>
  <c r="M532" i="7" s="1"/>
  <c r="L352" i="7"/>
  <c r="K352" i="7"/>
  <c r="O352" i="7" s="1"/>
  <c r="J352" i="7"/>
  <c r="M352" i="7" s="1"/>
  <c r="L356" i="7"/>
  <c r="K356" i="7"/>
  <c r="O356" i="7" s="1"/>
  <c r="J356" i="7"/>
  <c r="M356" i="7" s="1"/>
  <c r="L500" i="7"/>
  <c r="K500" i="7"/>
  <c r="O500" i="7" s="1"/>
  <c r="J500" i="7"/>
  <c r="M500" i="7" s="1"/>
  <c r="G500" i="7"/>
  <c r="L368" i="7"/>
  <c r="K368" i="7"/>
  <c r="N368" i="7" s="1"/>
  <c r="J368" i="7"/>
  <c r="M368" i="7" s="1"/>
  <c r="L357" i="7"/>
  <c r="K357" i="7"/>
  <c r="O357" i="7" s="1"/>
  <c r="J357" i="7"/>
  <c r="M357" i="7" s="1"/>
  <c r="G352" i="7"/>
  <c r="G351" i="7"/>
  <c r="L353" i="7"/>
  <c r="K353" i="7"/>
  <c r="O353" i="7" s="1"/>
  <c r="J353" i="7"/>
  <c r="M353" i="7" s="1"/>
  <c r="L358" i="7"/>
  <c r="K358" i="7"/>
  <c r="O358" i="7" s="1"/>
  <c r="J358" i="7"/>
  <c r="M358" i="7" s="1"/>
  <c r="L501" i="7"/>
  <c r="K501" i="7"/>
  <c r="O501" i="7" s="1"/>
  <c r="J501" i="7"/>
  <c r="M501" i="7" s="1"/>
  <c r="G501" i="7"/>
  <c r="T13" i="14"/>
  <c r="R13" i="14"/>
  <c r="O13" i="14"/>
  <c r="K13" i="14"/>
  <c r="G13" i="14"/>
  <c r="E13" i="14"/>
  <c r="L366" i="7"/>
  <c r="K366" i="7"/>
  <c r="O366" i="7" s="1"/>
  <c r="J366" i="7"/>
  <c r="M366" i="7" s="1"/>
  <c r="L514" i="7"/>
  <c r="K514" i="7"/>
  <c r="N514" i="7" s="1"/>
  <c r="J514" i="7"/>
  <c r="M514" i="7" s="1"/>
  <c r="G516" i="7"/>
  <c r="G358" i="7"/>
  <c r="G357" i="7"/>
  <c r="G356" i="7"/>
  <c r="G355" i="7"/>
  <c r="G354" i="7"/>
  <c r="G353" i="7"/>
  <c r="L455" i="7"/>
  <c r="K455" i="7"/>
  <c r="N455" i="7" s="1"/>
  <c r="J455" i="7"/>
  <c r="M455" i="7" s="1"/>
  <c r="G455" i="7"/>
  <c r="L362" i="7"/>
  <c r="K362" i="7"/>
  <c r="O362" i="7" s="1"/>
  <c r="J362" i="7"/>
  <c r="M362" i="7" s="1"/>
  <c r="L361" i="7"/>
  <c r="K361" i="7"/>
  <c r="O361" i="7" s="1"/>
  <c r="J361" i="7"/>
  <c r="M361" i="7" s="1"/>
  <c r="L413" i="7"/>
  <c r="K413" i="7"/>
  <c r="N413" i="7" s="1"/>
  <c r="J413" i="7"/>
  <c r="M413" i="7" s="1"/>
  <c r="G413" i="7"/>
  <c r="L367" i="7"/>
  <c r="K367" i="7"/>
  <c r="O367" i="7" s="1"/>
  <c r="J367" i="7"/>
  <c r="M367" i="7" s="1"/>
  <c r="L422" i="7"/>
  <c r="K422" i="7"/>
  <c r="O422" i="7" s="1"/>
  <c r="J422" i="7"/>
  <c r="M422" i="7" s="1"/>
  <c r="L369" i="7"/>
  <c r="K369" i="7"/>
  <c r="N369" i="7" s="1"/>
  <c r="J369" i="7"/>
  <c r="M369" i="7" s="1"/>
  <c r="L363" i="7"/>
  <c r="K363" i="7"/>
  <c r="N363" i="7" s="1"/>
  <c r="J363" i="7"/>
  <c r="M363" i="7" s="1"/>
  <c r="G362" i="7"/>
  <c r="G361" i="7"/>
  <c r="G360" i="7"/>
  <c r="G359" i="7"/>
  <c r="L426" i="7"/>
  <c r="K426" i="7"/>
  <c r="O426" i="7" s="1"/>
  <c r="J426" i="7"/>
  <c r="M426" i="7" s="1"/>
  <c r="L427" i="7"/>
  <c r="K427" i="7"/>
  <c r="O427" i="7" s="1"/>
  <c r="J427" i="7"/>
  <c r="M427" i="7" s="1"/>
  <c r="G363" i="7"/>
  <c r="L502" i="7"/>
  <c r="K502" i="7"/>
  <c r="N502" i="7" s="1"/>
  <c r="J502" i="7"/>
  <c r="M502" i="7" s="1"/>
  <c r="G502" i="7"/>
  <c r="G365" i="7"/>
  <c r="G364" i="7"/>
  <c r="G370" i="7"/>
  <c r="G369" i="7"/>
  <c r="G368" i="7"/>
  <c r="G367" i="7"/>
  <c r="G366" i="7"/>
  <c r="L374" i="7"/>
  <c r="K374" i="7"/>
  <c r="O374" i="7" s="1"/>
  <c r="J374" i="7"/>
  <c r="M374" i="7" s="1"/>
  <c r="L380" i="7"/>
  <c r="K380" i="7"/>
  <c r="O380" i="7" s="1"/>
  <c r="J380" i="7"/>
  <c r="M380" i="7" s="1"/>
  <c r="L392" i="7"/>
  <c r="K392" i="7"/>
  <c r="O392" i="7" s="1"/>
  <c r="J392" i="7"/>
  <c r="M392" i="7" s="1"/>
  <c r="G392" i="7"/>
  <c r="L376" i="7"/>
  <c r="K376" i="7"/>
  <c r="O376" i="7" s="1"/>
  <c r="J376" i="7"/>
  <c r="M376" i="7" s="1"/>
  <c r="L381" i="7"/>
  <c r="K381" i="7"/>
  <c r="N381" i="7" s="1"/>
  <c r="J381" i="7"/>
  <c r="M381" i="7" s="1"/>
  <c r="L371" i="7"/>
  <c r="K371" i="7"/>
  <c r="N371" i="7" s="1"/>
  <c r="J371" i="7"/>
  <c r="M371" i="7" s="1"/>
  <c r="L373" i="7"/>
  <c r="K373" i="7"/>
  <c r="O373" i="7" s="1"/>
  <c r="J373" i="7"/>
  <c r="M373" i="7" s="1"/>
  <c r="L534" i="7"/>
  <c r="K534" i="7"/>
  <c r="O534" i="7" s="1"/>
  <c r="J534" i="7"/>
  <c r="M534" i="7" s="1"/>
  <c r="L533" i="7"/>
  <c r="K533" i="7"/>
  <c r="O533" i="7" s="1"/>
  <c r="J533" i="7"/>
  <c r="M533" i="7" s="1"/>
  <c r="G534" i="7"/>
  <c r="G533" i="7"/>
  <c r="G427" i="7"/>
  <c r="G373" i="7"/>
  <c r="G372" i="7"/>
  <c r="G371" i="7"/>
  <c r="L377" i="7"/>
  <c r="K377" i="7"/>
  <c r="N377" i="7" s="1"/>
  <c r="J377" i="7"/>
  <c r="M377" i="7" s="1"/>
  <c r="L375" i="7"/>
  <c r="K375" i="7"/>
  <c r="O375" i="7" s="1"/>
  <c r="J375" i="7"/>
  <c r="M375" i="7" s="1"/>
  <c r="G375" i="7"/>
  <c r="G374" i="7"/>
  <c r="L378" i="7"/>
  <c r="K378" i="7"/>
  <c r="O378" i="7" s="1"/>
  <c r="J378" i="7"/>
  <c r="M378" i="7" s="1"/>
  <c r="L382" i="7"/>
  <c r="K382" i="7"/>
  <c r="O382" i="7" s="1"/>
  <c r="J382" i="7"/>
  <c r="M382" i="7" s="1"/>
  <c r="G377" i="7"/>
  <c r="G376" i="7"/>
  <c r="G378" i="7"/>
  <c r="L396" i="7"/>
  <c r="K396" i="7"/>
  <c r="O396" i="7" s="1"/>
  <c r="J396" i="7"/>
  <c r="M396" i="7" s="1"/>
  <c r="L383" i="7"/>
  <c r="K383" i="7"/>
  <c r="N383" i="7" s="1"/>
  <c r="J383" i="7"/>
  <c r="M383" i="7" s="1"/>
  <c r="L400" i="7"/>
  <c r="K400" i="7"/>
  <c r="O400" i="7" s="1"/>
  <c r="J400" i="7"/>
  <c r="M400" i="7" s="1"/>
  <c r="L397" i="7"/>
  <c r="K397" i="7"/>
  <c r="O397" i="7" s="1"/>
  <c r="J397" i="7"/>
  <c r="M397" i="7" s="1"/>
  <c r="L384" i="7"/>
  <c r="K384" i="7"/>
  <c r="O384" i="7" s="1"/>
  <c r="J384" i="7"/>
  <c r="M384" i="7" s="1"/>
  <c r="G379" i="7"/>
  <c r="G381" i="7"/>
  <c r="G382" i="7"/>
  <c r="G380" i="7"/>
  <c r="L393" i="7"/>
  <c r="K393" i="7"/>
  <c r="N393" i="7" s="1"/>
  <c r="J393" i="7"/>
  <c r="M393" i="7" s="1"/>
  <c r="L394" i="7"/>
  <c r="K394" i="7"/>
  <c r="O394" i="7" s="1"/>
  <c r="J394" i="7"/>
  <c r="M394" i="7" s="1"/>
  <c r="G383" i="7"/>
  <c r="L385" i="7"/>
  <c r="K385" i="7"/>
  <c r="N385" i="7" s="1"/>
  <c r="J385" i="7"/>
  <c r="M385" i="7" s="1"/>
  <c r="L389" i="7"/>
  <c r="K389" i="7"/>
  <c r="O389" i="7" s="1"/>
  <c r="J389" i="7"/>
  <c r="M389" i="7" s="1"/>
  <c r="L388" i="7"/>
  <c r="K388" i="7"/>
  <c r="N388" i="7" s="1"/>
  <c r="J388" i="7"/>
  <c r="M388" i="7" s="1"/>
  <c r="L387" i="7"/>
  <c r="K387" i="7"/>
  <c r="O387" i="7" s="1"/>
  <c r="J387" i="7"/>
  <c r="M387" i="7" s="1"/>
  <c r="G384" i="7"/>
  <c r="L466" i="7"/>
  <c r="K466" i="7"/>
  <c r="O466" i="7" s="1"/>
  <c r="J466" i="7"/>
  <c r="M466" i="7" s="1"/>
  <c r="G465" i="7"/>
  <c r="G387" i="7"/>
  <c r="G386" i="7"/>
  <c r="G385" i="7"/>
  <c r="G389" i="7"/>
  <c r="G388" i="7"/>
  <c r="G36" i="2"/>
  <c r="G35" i="2"/>
  <c r="G34" i="2"/>
  <c r="G33" i="2"/>
  <c r="F36" i="2"/>
  <c r="F35" i="2"/>
  <c r="F34" i="2"/>
  <c r="F33" i="2"/>
  <c r="L467" i="7"/>
  <c r="K467" i="7"/>
  <c r="O467" i="7" s="1"/>
  <c r="J467" i="7"/>
  <c r="M467" i="7" s="1"/>
  <c r="G466" i="7"/>
  <c r="G393" i="7"/>
  <c r="G390" i="7"/>
  <c r="T12" i="14"/>
  <c r="R12" i="14"/>
  <c r="O12" i="14"/>
  <c r="K12" i="14"/>
  <c r="G12" i="14"/>
  <c r="E12" i="14"/>
  <c r="J420" i="7"/>
  <c r="M420" i="7" s="1"/>
  <c r="K420" i="7"/>
  <c r="N420" i="7" s="1"/>
  <c r="L420" i="7"/>
  <c r="J419" i="7"/>
  <c r="M419" i="7" s="1"/>
  <c r="K419" i="7"/>
  <c r="O419" i="7" s="1"/>
  <c r="L419" i="7"/>
  <c r="L395" i="7"/>
  <c r="K395" i="7"/>
  <c r="N395" i="7" s="1"/>
  <c r="J395" i="7"/>
  <c r="M395" i="7" s="1"/>
  <c r="G395" i="7"/>
  <c r="G394" i="7"/>
  <c r="L399" i="7"/>
  <c r="K399" i="7"/>
  <c r="N399" i="7" s="1"/>
  <c r="J399" i="7"/>
  <c r="M399" i="7" s="1"/>
  <c r="G396" i="7"/>
  <c r="L398" i="7"/>
  <c r="K398" i="7"/>
  <c r="N398" i="7" s="1"/>
  <c r="J398" i="7"/>
  <c r="M398" i="7" s="1"/>
  <c r="G398" i="7"/>
  <c r="G397" i="7"/>
  <c r="L401" i="7"/>
  <c r="K401" i="7"/>
  <c r="O401" i="7" s="1"/>
  <c r="J401" i="7"/>
  <c r="M401" i="7" s="1"/>
  <c r="G399" i="7"/>
  <c r="L405" i="7"/>
  <c r="K405" i="7"/>
  <c r="O405" i="7" s="1"/>
  <c r="J405" i="7"/>
  <c r="M405" i="7" s="1"/>
  <c r="L417" i="7"/>
  <c r="K417" i="7"/>
  <c r="O417" i="7" s="1"/>
  <c r="J417" i="7"/>
  <c r="M417" i="7" s="1"/>
  <c r="G400" i="7"/>
  <c r="L408" i="7"/>
  <c r="K408" i="7"/>
  <c r="O408" i="7" s="1"/>
  <c r="J408" i="7"/>
  <c r="M408" i="7" s="1"/>
  <c r="L404" i="7"/>
  <c r="K404" i="7"/>
  <c r="O404" i="7" s="1"/>
  <c r="J404" i="7"/>
  <c r="M404" i="7" s="1"/>
  <c r="G402" i="7"/>
  <c r="G401" i="7"/>
  <c r="L416" i="7"/>
  <c r="K416" i="7"/>
  <c r="O416" i="7" s="1"/>
  <c r="J416" i="7"/>
  <c r="M416" i="7" s="1"/>
  <c r="L418" i="7"/>
  <c r="K418" i="7"/>
  <c r="O418" i="7" s="1"/>
  <c r="J418" i="7"/>
  <c r="M418" i="7" s="1"/>
  <c r="J493" i="7"/>
  <c r="M493" i="7" s="1"/>
  <c r="K493" i="7"/>
  <c r="N493" i="7" s="1"/>
  <c r="L493" i="7"/>
  <c r="L403" i="7"/>
  <c r="K403" i="7"/>
  <c r="N403" i="7" s="1"/>
  <c r="J403" i="7"/>
  <c r="M403" i="7" s="1"/>
  <c r="G403" i="7"/>
  <c r="L406" i="7"/>
  <c r="K406" i="7"/>
  <c r="O406" i="7" s="1"/>
  <c r="J406" i="7"/>
  <c r="M406" i="7" s="1"/>
  <c r="G404" i="7"/>
  <c r="L421" i="7"/>
  <c r="K421" i="7"/>
  <c r="O421" i="7" s="1"/>
  <c r="J421" i="7"/>
  <c r="M421" i="7" s="1"/>
  <c r="G406" i="7"/>
  <c r="G405" i="7"/>
  <c r="L407" i="7"/>
  <c r="K407" i="7"/>
  <c r="N407" i="7" s="1"/>
  <c r="J407" i="7"/>
  <c r="M407" i="7" s="1"/>
  <c r="G408" i="7"/>
  <c r="G407" i="7"/>
  <c r="L415" i="7"/>
  <c r="K415" i="7"/>
  <c r="O415" i="7" s="1"/>
  <c r="J415" i="7"/>
  <c r="M415" i="7" s="1"/>
  <c r="I35" i="2" l="1"/>
  <c r="I36" i="2"/>
  <c r="I33" i="2"/>
  <c r="I34" i="2"/>
  <c r="U13" i="14"/>
  <c r="U14" i="14"/>
  <c r="H36" i="2"/>
  <c r="N343" i="7"/>
  <c r="N339" i="7"/>
  <c r="N454" i="7"/>
  <c r="N391" i="7"/>
  <c r="O355" i="7"/>
  <c r="N360" i="7"/>
  <c r="N412" i="7"/>
  <c r="N347" i="7"/>
  <c r="O535" i="7"/>
  <c r="N526" i="7"/>
  <c r="N372" i="7"/>
  <c r="N532" i="7"/>
  <c r="N352" i="7"/>
  <c r="N356" i="7"/>
  <c r="N500" i="7"/>
  <c r="O368" i="7"/>
  <c r="N357" i="7"/>
  <c r="N353" i="7"/>
  <c r="N358" i="7"/>
  <c r="N501" i="7"/>
  <c r="N366" i="7"/>
  <c r="O514" i="7"/>
  <c r="O455" i="7"/>
  <c r="N362" i="7"/>
  <c r="N361" i="7"/>
  <c r="O413" i="7"/>
  <c r="O369" i="7"/>
  <c r="N422" i="7"/>
  <c r="N367" i="7"/>
  <c r="O363" i="7"/>
  <c r="N427" i="7"/>
  <c r="N426" i="7"/>
  <c r="O502" i="7"/>
  <c r="N374" i="7"/>
  <c r="N380" i="7"/>
  <c r="N392" i="7"/>
  <c r="O381" i="7"/>
  <c r="N376" i="7"/>
  <c r="O371" i="7"/>
  <c r="N373" i="7"/>
  <c r="N533" i="7"/>
  <c r="N534" i="7"/>
  <c r="O377" i="7"/>
  <c r="N375" i="7"/>
  <c r="N378" i="7"/>
  <c r="N382" i="7"/>
  <c r="N396" i="7"/>
  <c r="O383" i="7"/>
  <c r="N400" i="7"/>
  <c r="N397" i="7"/>
  <c r="N384" i="7"/>
  <c r="O393" i="7"/>
  <c r="O385" i="7"/>
  <c r="N387" i="7"/>
  <c r="N394" i="7"/>
  <c r="N389" i="7"/>
  <c r="O388" i="7"/>
  <c r="N466" i="7"/>
  <c r="O420" i="7"/>
  <c r="H33" i="2"/>
  <c r="H35" i="2"/>
  <c r="H34" i="2"/>
  <c r="N467" i="7"/>
  <c r="O399" i="7"/>
  <c r="O398" i="7"/>
  <c r="N419" i="7"/>
  <c r="O395" i="7"/>
  <c r="N401" i="7"/>
  <c r="N405" i="7"/>
  <c r="N417" i="7"/>
  <c r="N404" i="7"/>
  <c r="N408" i="7"/>
  <c r="N416" i="7"/>
  <c r="N418" i="7"/>
  <c r="O493" i="7"/>
  <c r="O403" i="7"/>
  <c r="N406" i="7"/>
  <c r="N421" i="7"/>
  <c r="O407" i="7"/>
  <c r="N415" i="7"/>
  <c r="L409" i="7"/>
  <c r="K409" i="7"/>
  <c r="O409" i="7" s="1"/>
  <c r="J409" i="7"/>
  <c r="M409" i="7" s="1"/>
  <c r="L414" i="7"/>
  <c r="K414" i="7"/>
  <c r="N414" i="7" s="1"/>
  <c r="J414" i="7"/>
  <c r="M414" i="7" s="1"/>
  <c r="G414" i="7"/>
  <c r="G411" i="7"/>
  <c r="G410" i="7"/>
  <c r="G409" i="7"/>
  <c r="L484" i="7"/>
  <c r="K484" i="7"/>
  <c r="O484" i="7" s="1"/>
  <c r="J484" i="7"/>
  <c r="M484" i="7" s="1"/>
  <c r="L505" i="7"/>
  <c r="K505" i="7"/>
  <c r="O505" i="7" s="1"/>
  <c r="J505" i="7"/>
  <c r="M505" i="7" s="1"/>
  <c r="G415" i="7"/>
  <c r="G420" i="7"/>
  <c r="G419" i="7"/>
  <c r="G418" i="7"/>
  <c r="G417" i="7"/>
  <c r="G416" i="7"/>
  <c r="L423" i="7"/>
  <c r="K423" i="7"/>
  <c r="N423" i="7" s="1"/>
  <c r="J423" i="7"/>
  <c r="M423" i="7" s="1"/>
  <c r="L456" i="7"/>
  <c r="K456" i="7"/>
  <c r="O456" i="7" s="1"/>
  <c r="J456" i="7"/>
  <c r="M456" i="7" s="1"/>
  <c r="J435" i="7"/>
  <c r="M435" i="7" s="1"/>
  <c r="K435" i="7"/>
  <c r="N435" i="7" s="1"/>
  <c r="L435" i="7"/>
  <c r="L425" i="7"/>
  <c r="K425" i="7"/>
  <c r="N425" i="7" s="1"/>
  <c r="J425" i="7"/>
  <c r="M425" i="7" s="1"/>
  <c r="L429" i="7"/>
  <c r="K429" i="7"/>
  <c r="O429" i="7" s="1"/>
  <c r="J429" i="7"/>
  <c r="M429" i="7" s="1"/>
  <c r="L517" i="7"/>
  <c r="K517" i="7"/>
  <c r="O517" i="7" s="1"/>
  <c r="J517" i="7"/>
  <c r="M517" i="7" s="1"/>
  <c r="L428" i="7"/>
  <c r="K428" i="7"/>
  <c r="N428" i="7" s="1"/>
  <c r="J428" i="7"/>
  <c r="M428" i="7" s="1"/>
  <c r="T11" i="14"/>
  <c r="U12" i="14" s="1"/>
  <c r="R11" i="14"/>
  <c r="O11" i="14"/>
  <c r="K11" i="14"/>
  <c r="G11" i="14"/>
  <c r="E11" i="14"/>
  <c r="G422" i="7"/>
  <c r="G421" i="7"/>
  <c r="L424" i="7"/>
  <c r="K424" i="7"/>
  <c r="N424" i="7" s="1"/>
  <c r="J424" i="7"/>
  <c r="M424" i="7" s="1"/>
  <c r="L459" i="7"/>
  <c r="K459" i="7"/>
  <c r="N459" i="7" s="1"/>
  <c r="J459" i="7"/>
  <c r="M459" i="7" s="1"/>
  <c r="G424" i="7"/>
  <c r="G423" i="7"/>
  <c r="L430" i="7"/>
  <c r="K430" i="7"/>
  <c r="N430" i="7" s="1"/>
  <c r="J430" i="7"/>
  <c r="M430" i="7" s="1"/>
  <c r="J438" i="7"/>
  <c r="M438" i="7" s="1"/>
  <c r="K438" i="7"/>
  <c r="N438" i="7" s="1"/>
  <c r="L438" i="7"/>
  <c r="G428" i="7"/>
  <c r="G426" i="7"/>
  <c r="G425" i="7"/>
  <c r="L431" i="7"/>
  <c r="K431" i="7"/>
  <c r="N431" i="7" s="1"/>
  <c r="J431" i="7"/>
  <c r="M431" i="7" s="1"/>
  <c r="J446" i="7"/>
  <c r="M446" i="7" s="1"/>
  <c r="K446" i="7"/>
  <c r="N446" i="7" s="1"/>
  <c r="L446" i="7"/>
  <c r="G430" i="7"/>
  <c r="G429" i="7"/>
  <c r="L433" i="7"/>
  <c r="K433" i="7"/>
  <c r="N433" i="7" s="1"/>
  <c r="J433" i="7"/>
  <c r="M433" i="7" s="1"/>
  <c r="L434" i="7"/>
  <c r="K434" i="7"/>
  <c r="O434" i="7" s="1"/>
  <c r="J434" i="7"/>
  <c r="M434" i="7" s="1"/>
  <c r="L432" i="7"/>
  <c r="K432" i="7"/>
  <c r="O432" i="7" s="1"/>
  <c r="J432" i="7"/>
  <c r="M432" i="7" s="1"/>
  <c r="G432" i="7"/>
  <c r="G431" i="7"/>
  <c r="L450" i="7"/>
  <c r="K450" i="7"/>
  <c r="N450" i="7" s="1"/>
  <c r="J450" i="7"/>
  <c r="M450" i="7" s="1"/>
  <c r="G433" i="7"/>
  <c r="G435" i="7"/>
  <c r="G434" i="7"/>
  <c r="L437" i="7"/>
  <c r="K437" i="7"/>
  <c r="O437" i="7" s="1"/>
  <c r="J437" i="7"/>
  <c r="M437" i="7" s="1"/>
  <c r="J462" i="7"/>
  <c r="M462" i="7" s="1"/>
  <c r="K462" i="7"/>
  <c r="N462" i="7" s="1"/>
  <c r="L462" i="7"/>
  <c r="L439" i="7"/>
  <c r="K439" i="7"/>
  <c r="O439" i="7" s="1"/>
  <c r="J439" i="7"/>
  <c r="M439" i="7" s="1"/>
  <c r="L436" i="7"/>
  <c r="K436" i="7"/>
  <c r="N436" i="7" s="1"/>
  <c r="J436" i="7"/>
  <c r="M436" i="7" s="1"/>
  <c r="G437" i="7"/>
  <c r="G436" i="7"/>
  <c r="G439" i="7"/>
  <c r="G438" i="7"/>
  <c r="L440" i="7"/>
  <c r="K440" i="7"/>
  <c r="O440" i="7" s="1"/>
  <c r="J440" i="7"/>
  <c r="M440" i="7" s="1"/>
  <c r="L441" i="7"/>
  <c r="K441" i="7"/>
  <c r="N441" i="7" s="1"/>
  <c r="J441" i="7"/>
  <c r="M441" i="7" s="1"/>
  <c r="O414" i="7" l="1"/>
  <c r="N409" i="7"/>
  <c r="O423" i="7"/>
  <c r="N505" i="7"/>
  <c r="N484" i="7"/>
  <c r="N456" i="7"/>
  <c r="N517" i="7"/>
  <c r="O424" i="7"/>
  <c r="N429" i="7"/>
  <c r="O459" i="7"/>
  <c r="O430" i="7"/>
  <c r="O431" i="7"/>
  <c r="O425" i="7"/>
  <c r="O435" i="7"/>
  <c r="O428" i="7"/>
  <c r="O438" i="7"/>
  <c r="O446" i="7"/>
  <c r="O462" i="7"/>
  <c r="O433" i="7"/>
  <c r="N432" i="7"/>
  <c r="N434" i="7"/>
  <c r="O450" i="7"/>
  <c r="N437" i="7"/>
  <c r="O436" i="7"/>
  <c r="N439" i="7"/>
  <c r="N440" i="7"/>
  <c r="O441" i="7"/>
  <c r="G440" i="7"/>
  <c r="L442" i="7"/>
  <c r="K442" i="7"/>
  <c r="O442" i="7" s="1"/>
  <c r="J442" i="7"/>
  <c r="M442" i="7" s="1"/>
  <c r="L443" i="7"/>
  <c r="K443" i="7"/>
  <c r="N443" i="7" s="1"/>
  <c r="J443" i="7"/>
  <c r="M443" i="7" s="1"/>
  <c r="G443" i="7"/>
  <c r="G442" i="7"/>
  <c r="G441" i="7"/>
  <c r="L448" i="7"/>
  <c r="K448" i="7"/>
  <c r="O448" i="7" s="1"/>
  <c r="J448" i="7"/>
  <c r="M448" i="7" s="1"/>
  <c r="L457" i="7"/>
  <c r="K457" i="7"/>
  <c r="O457" i="7" s="1"/>
  <c r="J457" i="7"/>
  <c r="M457" i="7" s="1"/>
  <c r="L445" i="7"/>
  <c r="K445" i="7"/>
  <c r="O445" i="7" s="1"/>
  <c r="J445" i="7"/>
  <c r="M445" i="7" s="1"/>
  <c r="L444" i="7"/>
  <c r="K444" i="7"/>
  <c r="O444" i="7" s="1"/>
  <c r="J444" i="7"/>
  <c r="M444" i="7" s="1"/>
  <c r="L481" i="7"/>
  <c r="K481" i="7"/>
  <c r="N481" i="7" s="1"/>
  <c r="J481" i="7"/>
  <c r="M481" i="7" s="1"/>
  <c r="G445" i="7"/>
  <c r="G444" i="7"/>
  <c r="L458" i="7"/>
  <c r="K458" i="7"/>
  <c r="N458" i="7" s="1"/>
  <c r="J458" i="7"/>
  <c r="M458" i="7" s="1"/>
  <c r="L480" i="7"/>
  <c r="K480" i="7"/>
  <c r="O480" i="7" s="1"/>
  <c r="J480" i="7"/>
  <c r="M480" i="7" s="1"/>
  <c r="N442" i="7" l="1"/>
  <c r="O443" i="7"/>
  <c r="N448" i="7"/>
  <c r="N445" i="7"/>
  <c r="O481" i="7"/>
  <c r="N457" i="7"/>
  <c r="N444" i="7"/>
  <c r="O458" i="7"/>
  <c r="N480" i="7"/>
  <c r="G447" i="7"/>
  <c r="G446" i="7"/>
  <c r="J474" i="7"/>
  <c r="M474" i="7" s="1"/>
  <c r="K474" i="7"/>
  <c r="N474" i="7" s="1"/>
  <c r="L474" i="7"/>
  <c r="L469" i="7"/>
  <c r="K469" i="7"/>
  <c r="N469" i="7" s="1"/>
  <c r="J469" i="7"/>
  <c r="M469" i="7" s="1"/>
  <c r="G448" i="7"/>
  <c r="J476" i="7"/>
  <c r="M476" i="7" s="1"/>
  <c r="K476" i="7"/>
  <c r="N476" i="7" s="1"/>
  <c r="L476" i="7"/>
  <c r="L464" i="7"/>
  <c r="K464" i="7"/>
  <c r="N464" i="7" s="1"/>
  <c r="J464" i="7"/>
  <c r="M464" i="7" s="1"/>
  <c r="J531" i="7"/>
  <c r="M531" i="7" s="1"/>
  <c r="K531" i="7"/>
  <c r="N531" i="7" s="1"/>
  <c r="L531" i="7"/>
  <c r="G531" i="7"/>
  <c r="L507" i="7"/>
  <c r="K507" i="7"/>
  <c r="O507" i="7" s="1"/>
  <c r="J507" i="7"/>
  <c r="M507" i="7" s="1"/>
  <c r="L449" i="7"/>
  <c r="K449" i="7"/>
  <c r="N449" i="7" s="1"/>
  <c r="J449" i="7"/>
  <c r="M449" i="7" s="1"/>
  <c r="J473" i="7"/>
  <c r="M473" i="7" s="1"/>
  <c r="K473" i="7"/>
  <c r="N473" i="7" s="1"/>
  <c r="L473" i="7"/>
  <c r="G449" i="7"/>
  <c r="G450" i="7"/>
  <c r="G453" i="7"/>
  <c r="L478" i="7"/>
  <c r="K478" i="7"/>
  <c r="O478" i="7" s="1"/>
  <c r="J478" i="7"/>
  <c r="M478" i="7" s="1"/>
  <c r="O476" i="7" l="1"/>
  <c r="O469" i="7"/>
  <c r="O474" i="7"/>
  <c r="N507" i="7"/>
  <c r="O464" i="7"/>
  <c r="O531" i="7"/>
  <c r="O449" i="7"/>
  <c r="O473" i="7"/>
  <c r="N478" i="7"/>
  <c r="L472" i="7"/>
  <c r="K472" i="7"/>
  <c r="N472" i="7" s="1"/>
  <c r="J472" i="7"/>
  <c r="M472" i="7" s="1"/>
  <c r="L463" i="7"/>
  <c r="K463" i="7"/>
  <c r="N463" i="7" s="1"/>
  <c r="J463" i="7"/>
  <c r="M463" i="7" s="1"/>
  <c r="L460" i="7"/>
  <c r="K460" i="7"/>
  <c r="O460" i="7" s="1"/>
  <c r="J460" i="7"/>
  <c r="M460" i="7" s="1"/>
  <c r="L461" i="7"/>
  <c r="K461" i="7"/>
  <c r="O461" i="7" s="1"/>
  <c r="J461" i="7"/>
  <c r="M461" i="7" s="1"/>
  <c r="G458" i="7"/>
  <c r="G457" i="7"/>
  <c r="G456" i="7"/>
  <c r="G460" i="7"/>
  <c r="G459" i="7"/>
  <c r="L471" i="7"/>
  <c r="K471" i="7"/>
  <c r="O471" i="7" s="1"/>
  <c r="J471" i="7"/>
  <c r="M471" i="7" s="1"/>
  <c r="L475" i="7"/>
  <c r="K475" i="7"/>
  <c r="N475" i="7" s="1"/>
  <c r="J475" i="7"/>
  <c r="M475" i="7" s="1"/>
  <c r="J22" i="14"/>
  <c r="G463" i="7"/>
  <c r="G462" i="7"/>
  <c r="G461" i="7"/>
  <c r="L468" i="7"/>
  <c r="K468" i="7"/>
  <c r="N468" i="7" s="1"/>
  <c r="J468" i="7"/>
  <c r="M468" i="7" s="1"/>
  <c r="T10" i="14"/>
  <c r="R10" i="14"/>
  <c r="O10" i="14"/>
  <c r="K10" i="14"/>
  <c r="G10" i="14"/>
  <c r="E10" i="14"/>
  <c r="G467" i="7"/>
  <c r="G464" i="7"/>
  <c r="G468" i="7"/>
  <c r="L521" i="7"/>
  <c r="K521" i="7"/>
  <c r="O521" i="7" s="1"/>
  <c r="J521" i="7"/>
  <c r="M521" i="7" s="1"/>
  <c r="L470" i="7"/>
  <c r="K470" i="7"/>
  <c r="O470" i="7" s="1"/>
  <c r="J470" i="7"/>
  <c r="M470" i="7" s="1"/>
  <c r="L483" i="7"/>
  <c r="K483" i="7"/>
  <c r="O483" i="7" s="1"/>
  <c r="J483" i="7"/>
  <c r="M483" i="7" s="1"/>
  <c r="I22" i="14" l="1"/>
  <c r="K22" i="14"/>
  <c r="U11" i="14"/>
  <c r="N460" i="7"/>
  <c r="N461" i="7"/>
  <c r="O472" i="7"/>
  <c r="O463" i="7"/>
  <c r="O468" i="7"/>
  <c r="N471" i="7"/>
  <c r="O475" i="7"/>
  <c r="N521" i="7"/>
  <c r="N483" i="7"/>
  <c r="N470" i="7"/>
  <c r="G471" i="7"/>
  <c r="G470" i="7"/>
  <c r="G469" i="7"/>
  <c r="L488" i="7"/>
  <c r="K488" i="7"/>
  <c r="O488" i="7" s="1"/>
  <c r="J488" i="7"/>
  <c r="M488" i="7" s="1"/>
  <c r="L482" i="7"/>
  <c r="K482" i="7"/>
  <c r="O482" i="7" s="1"/>
  <c r="J482" i="7"/>
  <c r="M482" i="7" s="1"/>
  <c r="G482" i="7"/>
  <c r="L477" i="7"/>
  <c r="K477" i="7"/>
  <c r="O477" i="7" s="1"/>
  <c r="J477" i="7"/>
  <c r="M477" i="7" s="1"/>
  <c r="G474" i="7"/>
  <c r="G473" i="7"/>
  <c r="G472" i="7"/>
  <c r="L490" i="7"/>
  <c r="K490" i="7"/>
  <c r="O490" i="7" s="1"/>
  <c r="J490" i="7"/>
  <c r="M490" i="7" s="1"/>
  <c r="L512" i="7"/>
  <c r="K512" i="7"/>
  <c r="O512" i="7" s="1"/>
  <c r="J512" i="7"/>
  <c r="M512" i="7" s="1"/>
  <c r="G532" i="7"/>
  <c r="G480" i="7"/>
  <c r="G479" i="7"/>
  <c r="G478" i="7"/>
  <c r="G477" i="7"/>
  <c r="G476" i="7"/>
  <c r="G475" i="7"/>
  <c r="J558" i="7"/>
  <c r="M558" i="7" s="1"/>
  <c r="K558" i="7"/>
  <c r="O558" i="7" s="1"/>
  <c r="L558" i="7"/>
  <c r="J585" i="7"/>
  <c r="M585" i="7" s="1"/>
  <c r="K585" i="7"/>
  <c r="O585" i="7" s="1"/>
  <c r="L585" i="7"/>
  <c r="L504" i="7"/>
  <c r="K504" i="7"/>
  <c r="N504" i="7" s="1"/>
  <c r="J504" i="7"/>
  <c r="M504" i="7" s="1"/>
  <c r="L491" i="7"/>
  <c r="K491" i="7"/>
  <c r="N491" i="7" s="1"/>
  <c r="J491" i="7"/>
  <c r="M491" i="7" s="1"/>
  <c r="G54" i="2"/>
  <c r="F54" i="2"/>
  <c r="G481" i="7"/>
  <c r="L572" i="7"/>
  <c r="K572" i="7"/>
  <c r="N572" i="7" s="1"/>
  <c r="J572" i="7"/>
  <c r="M572" i="7" s="1"/>
  <c r="L589" i="7"/>
  <c r="K589" i="7"/>
  <c r="O589" i="7" s="1"/>
  <c r="J589" i="7"/>
  <c r="M589" i="7" s="1"/>
  <c r="L583" i="7"/>
  <c r="K583" i="7"/>
  <c r="O583" i="7" s="1"/>
  <c r="J583" i="7"/>
  <c r="M583" i="7" s="1"/>
  <c r="L570" i="7"/>
  <c r="K570" i="7"/>
  <c r="O570" i="7" s="1"/>
  <c r="J570" i="7"/>
  <c r="M570" i="7" s="1"/>
  <c r="L506" i="7"/>
  <c r="K506" i="7"/>
  <c r="O506" i="7" s="1"/>
  <c r="J506" i="7"/>
  <c r="M506" i="7" s="1"/>
  <c r="L544" i="7"/>
  <c r="K544" i="7"/>
  <c r="N544" i="7" s="1"/>
  <c r="J544" i="7"/>
  <c r="M544" i="7" s="1"/>
  <c r="L571" i="7"/>
  <c r="K571" i="7"/>
  <c r="N571" i="7" s="1"/>
  <c r="J571" i="7"/>
  <c r="M571" i="7" s="1"/>
  <c r="L485" i="7"/>
  <c r="K485" i="7"/>
  <c r="O485" i="7" s="1"/>
  <c r="J485" i="7"/>
  <c r="M485" i="7" s="1"/>
  <c r="G485" i="7"/>
  <c r="G484" i="7"/>
  <c r="G483" i="7"/>
  <c r="L489" i="7"/>
  <c r="K489" i="7"/>
  <c r="O489" i="7" s="1"/>
  <c r="J489" i="7"/>
  <c r="M489" i="7" s="1"/>
  <c r="L492" i="7"/>
  <c r="K492" i="7"/>
  <c r="N492" i="7" s="1"/>
  <c r="J492" i="7"/>
  <c r="M492" i="7" s="1"/>
  <c r="G490" i="7"/>
  <c r="G489" i="7"/>
  <c r="G488" i="7"/>
  <c r="G487" i="7"/>
  <c r="J530" i="7"/>
  <c r="M530" i="7" s="1"/>
  <c r="K530" i="7"/>
  <c r="O530" i="7" s="1"/>
  <c r="L530" i="7"/>
  <c r="G494" i="7"/>
  <c r="G493" i="7"/>
  <c r="G492" i="7"/>
  <c r="G491" i="7"/>
  <c r="L509" i="7"/>
  <c r="K509" i="7"/>
  <c r="N509" i="7" s="1"/>
  <c r="J509" i="7"/>
  <c r="M509" i="7" s="1"/>
  <c r="J524" i="7"/>
  <c r="M524" i="7" s="1"/>
  <c r="K524" i="7"/>
  <c r="O524" i="7" s="1"/>
  <c r="L524" i="7"/>
  <c r="L522" i="7"/>
  <c r="K522" i="7"/>
  <c r="O522" i="7" s="1"/>
  <c r="J522" i="7"/>
  <c r="M522" i="7" s="1"/>
  <c r="L518" i="7"/>
  <c r="K518" i="7"/>
  <c r="O518" i="7" s="1"/>
  <c r="J518" i="7"/>
  <c r="M518" i="7" s="1"/>
  <c r="L503" i="7"/>
  <c r="K503" i="7"/>
  <c r="O503" i="7" s="1"/>
  <c r="J503" i="7"/>
  <c r="M503" i="7" s="1"/>
  <c r="L519" i="7"/>
  <c r="K519" i="7"/>
  <c r="N519" i="7" s="1"/>
  <c r="J519" i="7"/>
  <c r="M519" i="7" s="1"/>
  <c r="G505" i="7"/>
  <c r="G504" i="7"/>
  <c r="G503" i="7"/>
  <c r="G497" i="7"/>
  <c r="I27" i="3"/>
  <c r="J27" i="3"/>
  <c r="L520" i="7"/>
  <c r="K520" i="7"/>
  <c r="N520" i="7" s="1"/>
  <c r="J520" i="7"/>
  <c r="M520" i="7" s="1"/>
  <c r="H27" i="3"/>
  <c r="L510" i="7"/>
  <c r="K510" i="7"/>
  <c r="N510" i="7" s="1"/>
  <c r="J510" i="7"/>
  <c r="M510" i="7" s="1"/>
  <c r="G507" i="7"/>
  <c r="G506" i="7"/>
  <c r="L539" i="7"/>
  <c r="K539" i="7"/>
  <c r="N539" i="7" s="1"/>
  <c r="J539" i="7"/>
  <c r="M539" i="7" s="1"/>
  <c r="L508" i="7"/>
  <c r="K508" i="7"/>
  <c r="O508" i="7" s="1"/>
  <c r="J508" i="7"/>
  <c r="M508" i="7" s="1"/>
  <c r="G508" i="7"/>
  <c r="L528" i="7"/>
  <c r="K528" i="7"/>
  <c r="N528" i="7" s="1"/>
  <c r="J528" i="7"/>
  <c r="M528" i="7" s="1"/>
  <c r="L523" i="7"/>
  <c r="K523" i="7"/>
  <c r="N523" i="7" s="1"/>
  <c r="J523" i="7"/>
  <c r="M523" i="7" s="1"/>
  <c r="L513" i="7"/>
  <c r="K513" i="7"/>
  <c r="O513" i="7" s="1"/>
  <c r="J513" i="7"/>
  <c r="M513" i="7" s="1"/>
  <c r="G511" i="7"/>
  <c r="G510" i="7"/>
  <c r="G509" i="7"/>
  <c r="L553" i="7"/>
  <c r="K553" i="7"/>
  <c r="O553" i="7" s="1"/>
  <c r="J553" i="7"/>
  <c r="M553" i="7" s="1"/>
  <c r="L537" i="7"/>
  <c r="K537" i="7"/>
  <c r="N537" i="7" s="1"/>
  <c r="J537" i="7"/>
  <c r="M537" i="7" s="1"/>
  <c r="G518" i="7"/>
  <c r="G517" i="7"/>
  <c r="G514" i="7"/>
  <c r="G513" i="7"/>
  <c r="G512" i="7"/>
  <c r="L538" i="7"/>
  <c r="K538" i="7"/>
  <c r="N538" i="7" s="1"/>
  <c r="J538" i="7"/>
  <c r="M538" i="7" s="1"/>
  <c r="L527" i="7"/>
  <c r="K527" i="7"/>
  <c r="N527" i="7" s="1"/>
  <c r="J527" i="7"/>
  <c r="M527" i="7" s="1"/>
  <c r="L541" i="7"/>
  <c r="K541" i="7"/>
  <c r="N541" i="7" s="1"/>
  <c r="J541" i="7"/>
  <c r="M541" i="7" s="1"/>
  <c r="L529" i="7"/>
  <c r="K529" i="7"/>
  <c r="O529" i="7" s="1"/>
  <c r="J529" i="7"/>
  <c r="M529" i="7" s="1"/>
  <c r="G520" i="7"/>
  <c r="G519" i="7"/>
  <c r="F22" i="14"/>
  <c r="G22" i="14" s="1"/>
  <c r="D22" i="14"/>
  <c r="E22" i="14" s="1"/>
  <c r="G44" i="2"/>
  <c r="F44" i="2"/>
  <c r="T9" i="14"/>
  <c r="R9" i="14"/>
  <c r="O9" i="14"/>
  <c r="K9" i="14"/>
  <c r="G9" i="14"/>
  <c r="E9" i="14"/>
  <c r="G523" i="7"/>
  <c r="G522" i="7"/>
  <c r="G521" i="7"/>
  <c r="J607" i="7"/>
  <c r="M607" i="7" s="1"/>
  <c r="K607" i="7"/>
  <c r="O607" i="7" s="1"/>
  <c r="L607" i="7"/>
  <c r="G530" i="7"/>
  <c r="G529" i="7"/>
  <c r="G528" i="7"/>
  <c r="G527" i="7"/>
  <c r="G525" i="7"/>
  <c r="G524" i="7"/>
  <c r="L536" i="7"/>
  <c r="K536" i="7"/>
  <c r="O536" i="7" s="1"/>
  <c r="J536" i="7"/>
  <c r="M536" i="7" s="1"/>
  <c r="J614" i="7"/>
  <c r="M614" i="7" s="1"/>
  <c r="K614" i="7"/>
  <c r="N614" i="7" s="1"/>
  <c r="L614" i="7"/>
  <c r="L540" i="7"/>
  <c r="K540" i="7"/>
  <c r="O540" i="7" s="1"/>
  <c r="J540" i="7"/>
  <c r="M540" i="7" s="1"/>
  <c r="I54" i="2" l="1"/>
  <c r="I44" i="2"/>
  <c r="U10" i="14"/>
  <c r="H44" i="2"/>
  <c r="N477" i="7"/>
  <c r="N482" i="7"/>
  <c r="N488" i="7"/>
  <c r="N585" i="7"/>
  <c r="N490" i="7"/>
  <c r="N512" i="7"/>
  <c r="N558" i="7"/>
  <c r="O491" i="7"/>
  <c r="O544" i="7"/>
  <c r="O572" i="7"/>
  <c r="N583" i="7"/>
  <c r="O504" i="7"/>
  <c r="H54" i="2"/>
  <c r="N589" i="7"/>
  <c r="N570" i="7"/>
  <c r="N506" i="7"/>
  <c r="O571" i="7"/>
  <c r="N485" i="7"/>
  <c r="N489" i="7"/>
  <c r="O492" i="7"/>
  <c r="N530" i="7"/>
  <c r="O509" i="7"/>
  <c r="O519" i="7"/>
  <c r="N503" i="7"/>
  <c r="N522" i="7"/>
  <c r="N518" i="7"/>
  <c r="N524" i="7"/>
  <c r="O528" i="7"/>
  <c r="O520" i="7"/>
  <c r="O510" i="7"/>
  <c r="O523" i="7"/>
  <c r="O539" i="7"/>
  <c r="N508" i="7"/>
  <c r="N513" i="7"/>
  <c r="N553" i="7"/>
  <c r="O537" i="7"/>
  <c r="O538" i="7"/>
  <c r="O527" i="7"/>
  <c r="N529" i="7"/>
  <c r="O541" i="7"/>
  <c r="N607" i="7"/>
  <c r="O614" i="7"/>
  <c r="N536" i="7"/>
  <c r="N540" i="7"/>
  <c r="G540" i="7" l="1"/>
  <c r="G539" i="7"/>
  <c r="G538" i="7"/>
  <c r="G537" i="7"/>
  <c r="G536" i="7"/>
  <c r="G535" i="7"/>
  <c r="L564" i="7"/>
  <c r="K564" i="7"/>
  <c r="O564" i="7" s="1"/>
  <c r="J564" i="7"/>
  <c r="M564" i="7" s="1"/>
  <c r="L545" i="7"/>
  <c r="K545" i="7"/>
  <c r="O545" i="7" s="1"/>
  <c r="J545" i="7"/>
  <c r="M545" i="7" s="1"/>
  <c r="L551" i="7"/>
  <c r="K551" i="7"/>
  <c r="O551" i="7" s="1"/>
  <c r="J551" i="7"/>
  <c r="M551" i="7" s="1"/>
  <c r="L566" i="7"/>
  <c r="K566" i="7"/>
  <c r="O566" i="7" s="1"/>
  <c r="J566" i="7"/>
  <c r="M566" i="7" s="1"/>
  <c r="L548" i="7"/>
  <c r="K548" i="7"/>
  <c r="O548" i="7" s="1"/>
  <c r="J548" i="7"/>
  <c r="M548" i="7" s="1"/>
  <c r="L557" i="7"/>
  <c r="K557" i="7"/>
  <c r="O557" i="7" s="1"/>
  <c r="J557" i="7"/>
  <c r="M557" i="7" s="1"/>
  <c r="L546" i="7"/>
  <c r="K546" i="7"/>
  <c r="O546" i="7" s="1"/>
  <c r="J546" i="7"/>
  <c r="M546" i="7" s="1"/>
  <c r="L547" i="7"/>
  <c r="K547" i="7"/>
  <c r="O547" i="7" s="1"/>
  <c r="J547" i="7"/>
  <c r="M547" i="7" s="1"/>
  <c r="L543" i="7"/>
  <c r="K543" i="7"/>
  <c r="N543" i="7" s="1"/>
  <c r="J543" i="7"/>
  <c r="M543" i="7" s="1"/>
  <c r="J622" i="7"/>
  <c r="M622" i="7" s="1"/>
  <c r="K622" i="7"/>
  <c r="N622" i="7" s="1"/>
  <c r="L622" i="7"/>
  <c r="G543" i="7"/>
  <c r="G542" i="7"/>
  <c r="G541" i="7"/>
  <c r="L567" i="7"/>
  <c r="K567" i="7"/>
  <c r="N567" i="7" s="1"/>
  <c r="J567" i="7"/>
  <c r="M567" i="7" s="1"/>
  <c r="L549" i="7"/>
  <c r="K549" i="7"/>
  <c r="N549" i="7" s="1"/>
  <c r="J549" i="7"/>
  <c r="M549" i="7" s="1"/>
  <c r="G547" i="7"/>
  <c r="G546" i="7"/>
  <c r="G545" i="7"/>
  <c r="G544" i="7"/>
  <c r="J578" i="7"/>
  <c r="M578" i="7" s="1"/>
  <c r="K578" i="7"/>
  <c r="N578" i="7" s="1"/>
  <c r="L552" i="7"/>
  <c r="K552" i="7"/>
  <c r="O552" i="7" s="1"/>
  <c r="J552" i="7"/>
  <c r="M552" i="7" s="1"/>
  <c r="G550" i="7"/>
  <c r="G549" i="7"/>
  <c r="G548" i="7"/>
  <c r="L554" i="7"/>
  <c r="K554" i="7"/>
  <c r="O554" i="7" s="1"/>
  <c r="J554" i="7"/>
  <c r="M554" i="7" s="1"/>
  <c r="L559" i="7"/>
  <c r="K559" i="7"/>
  <c r="O559" i="7" s="1"/>
  <c r="J559" i="7"/>
  <c r="M559" i="7" s="1"/>
  <c r="L575" i="7"/>
  <c r="K575" i="7"/>
  <c r="O575" i="7" s="1"/>
  <c r="J575" i="7"/>
  <c r="M575" i="7" s="1"/>
  <c r="J591" i="7"/>
  <c r="M591" i="7" s="1"/>
  <c r="K591" i="7"/>
  <c r="N591" i="7" s="1"/>
  <c r="L591" i="7"/>
  <c r="J611" i="7"/>
  <c r="M611" i="7" s="1"/>
  <c r="K611" i="7"/>
  <c r="N611" i="7" s="1"/>
  <c r="L611" i="7"/>
  <c r="J619" i="7"/>
  <c r="M619" i="7" s="1"/>
  <c r="K619" i="7"/>
  <c r="N619" i="7" s="1"/>
  <c r="L619" i="7"/>
  <c r="G554" i="7"/>
  <c r="G553" i="7"/>
  <c r="G552" i="7"/>
  <c r="G551" i="7"/>
  <c r="L579" i="7"/>
  <c r="K579" i="7"/>
  <c r="N579" i="7" s="1"/>
  <c r="J579" i="7"/>
  <c r="M579" i="7" s="1"/>
  <c r="L577" i="7"/>
  <c r="K577" i="7"/>
  <c r="N577" i="7" s="1"/>
  <c r="J577" i="7"/>
  <c r="M577" i="7" s="1"/>
  <c r="L565" i="7"/>
  <c r="K565" i="7"/>
  <c r="N565" i="7" s="1"/>
  <c r="J565" i="7"/>
  <c r="M565" i="7" s="1"/>
  <c r="L555" i="7"/>
  <c r="K555" i="7"/>
  <c r="O555" i="7" s="1"/>
  <c r="J555" i="7"/>
  <c r="M555" i="7" s="1"/>
  <c r="J609" i="7"/>
  <c r="M609" i="7" s="1"/>
  <c r="K609" i="7"/>
  <c r="N609" i="7" s="1"/>
  <c r="L609" i="7"/>
  <c r="J629" i="7"/>
  <c r="M629" i="7" s="1"/>
  <c r="K629" i="7"/>
  <c r="N629" i="7" s="1"/>
  <c r="L629" i="7"/>
  <c r="L560" i="7"/>
  <c r="K560" i="7"/>
  <c r="O560" i="7" s="1"/>
  <c r="J560" i="7"/>
  <c r="M560" i="7" s="1"/>
  <c r="G560" i="7"/>
  <c r="G559" i="7"/>
  <c r="G558" i="7"/>
  <c r="G557" i="7"/>
  <c r="G556" i="7"/>
  <c r="G555" i="7"/>
  <c r="L581" i="7"/>
  <c r="K581" i="7"/>
  <c r="O581" i="7" s="1"/>
  <c r="J581" i="7"/>
  <c r="M581" i="7" s="1"/>
  <c r="L569" i="7"/>
  <c r="K569" i="7"/>
  <c r="O569" i="7" s="1"/>
  <c r="J569" i="7"/>
  <c r="M569" i="7" s="1"/>
  <c r="L563" i="7"/>
  <c r="K563" i="7"/>
  <c r="O563" i="7" s="1"/>
  <c r="J563" i="7"/>
  <c r="M563" i="7" s="1"/>
  <c r="L590" i="7"/>
  <c r="K590" i="7"/>
  <c r="N590" i="7" s="1"/>
  <c r="J590" i="7"/>
  <c r="M590" i="7" s="1"/>
  <c r="G563" i="7"/>
  <c r="G562" i="7"/>
  <c r="G561" i="7"/>
  <c r="L586" i="7"/>
  <c r="K586" i="7"/>
  <c r="O586" i="7" s="1"/>
  <c r="J586" i="7"/>
  <c r="M586" i="7" s="1"/>
  <c r="L576" i="7"/>
  <c r="K576" i="7"/>
  <c r="O576" i="7" s="1"/>
  <c r="J576" i="7"/>
  <c r="M576" i="7" s="1"/>
  <c r="T8" i="14"/>
  <c r="U9" i="14" s="1"/>
  <c r="O8" i="14"/>
  <c r="O27" i="14" s="1"/>
  <c r="K8" i="14"/>
  <c r="K13" i="1"/>
  <c r="L573" i="7"/>
  <c r="K573" i="7"/>
  <c r="N573" i="7" s="1"/>
  <c r="J573" i="7"/>
  <c r="M573" i="7" s="1"/>
  <c r="G565" i="7"/>
  <c r="G564" i="7"/>
  <c r="L592" i="7"/>
  <c r="K592" i="7"/>
  <c r="N592" i="7" s="1"/>
  <c r="J592" i="7"/>
  <c r="M592" i="7" s="1"/>
  <c r="J598" i="7"/>
  <c r="M598" i="7" s="1"/>
  <c r="K598" i="7"/>
  <c r="N598" i="7" s="1"/>
  <c r="L598" i="7"/>
  <c r="L568" i="7"/>
  <c r="K568" i="7"/>
  <c r="N568" i="7" s="1"/>
  <c r="J568" i="7"/>
  <c r="M568" i="7" s="1"/>
  <c r="L574" i="7"/>
  <c r="K574" i="7"/>
  <c r="O574" i="7" s="1"/>
  <c r="J574" i="7"/>
  <c r="M574" i="7" s="1"/>
  <c r="G569" i="7"/>
  <c r="G568" i="7"/>
  <c r="G567" i="7"/>
  <c r="G566" i="7"/>
  <c r="L616" i="7"/>
  <c r="K616" i="7"/>
  <c r="N616" i="7" s="1"/>
  <c r="J616" i="7"/>
  <c r="M616" i="7" s="1"/>
  <c r="L613" i="7"/>
  <c r="K613" i="7"/>
  <c r="O613" i="7" s="1"/>
  <c r="J613" i="7"/>
  <c r="M613" i="7" s="1"/>
  <c r="L632" i="7"/>
  <c r="K632" i="7"/>
  <c r="N632" i="7" s="1"/>
  <c r="J632" i="7"/>
  <c r="M632" i="7" s="1"/>
  <c r="G570" i="7"/>
  <c r="G574" i="7"/>
  <c r="G573" i="7"/>
  <c r="G572" i="7"/>
  <c r="G571" i="7"/>
  <c r="L582" i="7"/>
  <c r="K582" i="7"/>
  <c r="O582" i="7" s="1"/>
  <c r="J582" i="7"/>
  <c r="M582" i="7" s="1"/>
  <c r="L624" i="7"/>
  <c r="K624" i="7"/>
  <c r="O624" i="7" s="1"/>
  <c r="J624" i="7"/>
  <c r="M624" i="7" s="1"/>
  <c r="L584" i="7"/>
  <c r="K584" i="7"/>
  <c r="O584" i="7" s="1"/>
  <c r="J584" i="7"/>
  <c r="M584" i="7" s="1"/>
  <c r="G579" i="7"/>
  <c r="G578" i="7"/>
  <c r="G577" i="7"/>
  <c r="G576" i="7"/>
  <c r="G575" i="7"/>
  <c r="L587" i="7"/>
  <c r="K587" i="7"/>
  <c r="O587" i="7" s="1"/>
  <c r="J587" i="7"/>
  <c r="M587" i="7" s="1"/>
  <c r="L596" i="7"/>
  <c r="K596" i="7"/>
  <c r="O596" i="7" s="1"/>
  <c r="J596" i="7"/>
  <c r="M596" i="7" s="1"/>
  <c r="L630" i="7"/>
  <c r="K630" i="7"/>
  <c r="O630" i="7" s="1"/>
  <c r="J630" i="7"/>
  <c r="M630" i="7" s="1"/>
  <c r="L580" i="7"/>
  <c r="K580" i="7"/>
  <c r="N580" i="7" s="1"/>
  <c r="J580" i="7"/>
  <c r="M580" i="7" s="1"/>
  <c r="J605" i="7"/>
  <c r="M605" i="7" s="1"/>
  <c r="K605" i="7"/>
  <c r="N605" i="7" s="1"/>
  <c r="L605" i="7"/>
  <c r="G583" i="7"/>
  <c r="G582" i="7"/>
  <c r="G581" i="7"/>
  <c r="G580" i="7"/>
  <c r="L626" i="7"/>
  <c r="K626" i="7"/>
  <c r="O626" i="7" s="1"/>
  <c r="J626" i="7"/>
  <c r="M626" i="7" s="1"/>
  <c r="L588" i="7"/>
  <c r="K588" i="7"/>
  <c r="O588" i="7" s="1"/>
  <c r="J588" i="7"/>
  <c r="M588" i="7" s="1"/>
  <c r="L593" i="7"/>
  <c r="K593" i="7"/>
  <c r="N593" i="7" s="1"/>
  <c r="J593" i="7"/>
  <c r="M593" i="7" s="1"/>
  <c r="L595" i="7"/>
  <c r="K595" i="7"/>
  <c r="N595" i="7" s="1"/>
  <c r="J595" i="7"/>
  <c r="M595" i="7" s="1"/>
  <c r="G591" i="7"/>
  <c r="G590" i="7"/>
  <c r="G589" i="7"/>
  <c r="G588" i="7"/>
  <c r="G587" i="7"/>
  <c r="G586" i="7"/>
  <c r="G585" i="7"/>
  <c r="G584" i="7"/>
  <c r="L608" i="7"/>
  <c r="K608" i="7"/>
  <c r="O608" i="7" s="1"/>
  <c r="J608" i="7"/>
  <c r="M608" i="7" s="1"/>
  <c r="L594" i="7"/>
  <c r="K594" i="7"/>
  <c r="N594" i="7" s="1"/>
  <c r="J594" i="7"/>
  <c r="M594" i="7" s="1"/>
  <c r="L617" i="7"/>
  <c r="K617" i="7"/>
  <c r="N617" i="7" s="1"/>
  <c r="J617" i="7"/>
  <c r="M617" i="7" s="1"/>
  <c r="L612" i="7"/>
  <c r="K612" i="7"/>
  <c r="O612" i="7" s="1"/>
  <c r="J612" i="7"/>
  <c r="M612" i="7" s="1"/>
  <c r="G596" i="7"/>
  <c r="G595" i="7"/>
  <c r="G594" i="7"/>
  <c r="G593" i="7"/>
  <c r="G592" i="7"/>
  <c r="L603" i="7"/>
  <c r="K603" i="7"/>
  <c r="O603" i="7" s="1"/>
  <c r="J603" i="7"/>
  <c r="M603" i="7" s="1"/>
  <c r="L620" i="7"/>
  <c r="K620" i="7"/>
  <c r="N620" i="7" s="1"/>
  <c r="J620" i="7"/>
  <c r="M620" i="7" s="1"/>
  <c r="L621" i="7"/>
  <c r="K621" i="7"/>
  <c r="O621" i="7" s="1"/>
  <c r="J621" i="7"/>
  <c r="M621" i="7" s="1"/>
  <c r="L600" i="7"/>
  <c r="K600" i="7"/>
  <c r="O600" i="7" s="1"/>
  <c r="J600" i="7"/>
  <c r="M600" i="7" s="1"/>
  <c r="L601" i="7"/>
  <c r="K601" i="7"/>
  <c r="O601" i="7" s="1"/>
  <c r="J601" i="7"/>
  <c r="M601" i="7" s="1"/>
  <c r="L597" i="7"/>
  <c r="K597" i="7"/>
  <c r="N597" i="7" s="1"/>
  <c r="J597" i="7"/>
  <c r="M597" i="7" s="1"/>
  <c r="G601" i="7"/>
  <c r="G600" i="7"/>
  <c r="G599" i="7"/>
  <c r="G598" i="7"/>
  <c r="G597" i="7"/>
  <c r="L602" i="7"/>
  <c r="K602" i="7"/>
  <c r="O602" i="7" s="1"/>
  <c r="J602" i="7"/>
  <c r="M602" i="7" s="1"/>
  <c r="L606" i="7"/>
  <c r="K606" i="7"/>
  <c r="N606" i="7" s="1"/>
  <c r="J606" i="7"/>
  <c r="M606" i="7" s="1"/>
  <c r="G603" i="7"/>
  <c r="G602" i="7"/>
  <c r="G8" i="14"/>
  <c r="G27" i="14" s="1"/>
  <c r="L604" i="7"/>
  <c r="K604" i="7"/>
  <c r="O604" i="7" s="1"/>
  <c r="J604" i="7"/>
  <c r="M604" i="7" s="1"/>
  <c r="L618" i="7"/>
  <c r="K618" i="7"/>
  <c r="O618" i="7" s="1"/>
  <c r="J618" i="7"/>
  <c r="M618" i="7" s="1"/>
  <c r="L625" i="7"/>
  <c r="K625" i="7"/>
  <c r="O625" i="7" s="1"/>
  <c r="J625" i="7"/>
  <c r="M625" i="7" s="1"/>
  <c r="L610" i="7"/>
  <c r="K610" i="7"/>
  <c r="N610" i="7" s="1"/>
  <c r="J610" i="7"/>
  <c r="M610" i="7" s="1"/>
  <c r="L631" i="7"/>
  <c r="K631" i="7"/>
  <c r="O631" i="7" s="1"/>
  <c r="J631" i="7"/>
  <c r="M631" i="7" s="1"/>
  <c r="G607" i="7"/>
  <c r="G606" i="7"/>
  <c r="G605" i="7"/>
  <c r="G604" i="7"/>
  <c r="F24" i="14"/>
  <c r="G24" i="14" s="1"/>
  <c r="L615" i="7"/>
  <c r="K615" i="7"/>
  <c r="O615" i="7" s="1"/>
  <c r="J615" i="7"/>
  <c r="M615" i="7" s="1"/>
  <c r="L623" i="7"/>
  <c r="K623" i="7"/>
  <c r="O623" i="7" s="1"/>
  <c r="J623" i="7"/>
  <c r="M623" i="7" s="1"/>
  <c r="L628" i="7"/>
  <c r="K628" i="7"/>
  <c r="O628" i="7" s="1"/>
  <c r="J628" i="7"/>
  <c r="M628" i="7" s="1"/>
  <c r="L627" i="7"/>
  <c r="K627" i="7"/>
  <c r="O627" i="7" s="1"/>
  <c r="J627" i="7"/>
  <c r="M627" i="7" s="1"/>
  <c r="T7" i="14"/>
  <c r="R8" i="14"/>
  <c r="R7" i="14"/>
  <c r="N22" i="14"/>
  <c r="K7" i="14"/>
  <c r="O7" i="14"/>
  <c r="L432" i="15"/>
  <c r="K432" i="15"/>
  <c r="O432" i="15" s="1"/>
  <c r="J432" i="15"/>
  <c r="M432" i="15" s="1"/>
  <c r="G432" i="15"/>
  <c r="L431" i="15"/>
  <c r="K431" i="15"/>
  <c r="J431" i="15"/>
  <c r="M431" i="15" s="1"/>
  <c r="G431" i="15"/>
  <c r="L430" i="15"/>
  <c r="K430" i="15"/>
  <c r="O430" i="15" s="1"/>
  <c r="J430" i="15"/>
  <c r="M430" i="15" s="1"/>
  <c r="G430" i="15"/>
  <c r="L429" i="15"/>
  <c r="K429" i="15"/>
  <c r="O429" i="15" s="1"/>
  <c r="J429" i="15"/>
  <c r="M429" i="15" s="1"/>
  <c r="G429" i="15"/>
  <c r="L428" i="15"/>
  <c r="K428" i="15"/>
  <c r="O428" i="15" s="1"/>
  <c r="J428" i="15"/>
  <c r="M428" i="15" s="1"/>
  <c r="G428" i="15"/>
  <c r="L427" i="15"/>
  <c r="K427" i="15"/>
  <c r="N427" i="15" s="1"/>
  <c r="J427" i="15"/>
  <c r="M427" i="15" s="1"/>
  <c r="G427" i="15"/>
  <c r="L426" i="15"/>
  <c r="K426" i="15"/>
  <c r="O426" i="15" s="1"/>
  <c r="J426" i="15"/>
  <c r="M426" i="15" s="1"/>
  <c r="G426" i="15"/>
  <c r="L425" i="15"/>
  <c r="K425" i="15"/>
  <c r="O425" i="15" s="1"/>
  <c r="J425" i="15"/>
  <c r="M425" i="15" s="1"/>
  <c r="L424" i="15"/>
  <c r="K424" i="15"/>
  <c r="J424" i="15"/>
  <c r="M424" i="15" s="1"/>
  <c r="L423" i="15"/>
  <c r="K423" i="15"/>
  <c r="O423" i="15" s="1"/>
  <c r="J423" i="15"/>
  <c r="M423" i="15" s="1"/>
  <c r="L422" i="15"/>
  <c r="K422" i="15"/>
  <c r="J422" i="15"/>
  <c r="M422" i="15" s="1"/>
  <c r="G422" i="15"/>
  <c r="L421" i="15"/>
  <c r="K421" i="15"/>
  <c r="O421" i="15" s="1"/>
  <c r="J421" i="15"/>
  <c r="M421" i="15" s="1"/>
  <c r="G421" i="15"/>
  <c r="L420" i="15"/>
  <c r="K420" i="15"/>
  <c r="O420" i="15" s="1"/>
  <c r="J420" i="15"/>
  <c r="M420" i="15" s="1"/>
  <c r="L419" i="15"/>
  <c r="K419" i="15"/>
  <c r="O419" i="15" s="1"/>
  <c r="J419" i="15"/>
  <c r="M419" i="15" s="1"/>
  <c r="G419" i="15"/>
  <c r="L418" i="15"/>
  <c r="K418" i="15"/>
  <c r="O418" i="15" s="1"/>
  <c r="J418" i="15"/>
  <c r="M418" i="15" s="1"/>
  <c r="G418" i="15"/>
  <c r="L417" i="15"/>
  <c r="K417" i="15"/>
  <c r="O417" i="15" s="1"/>
  <c r="J417" i="15"/>
  <c r="M417" i="15" s="1"/>
  <c r="L416" i="15"/>
  <c r="K416" i="15"/>
  <c r="N416" i="15" s="1"/>
  <c r="J416" i="15"/>
  <c r="M416" i="15" s="1"/>
  <c r="L415" i="15"/>
  <c r="K415" i="15"/>
  <c r="O415" i="15" s="1"/>
  <c r="J415" i="15"/>
  <c r="M415" i="15" s="1"/>
  <c r="G415" i="15"/>
  <c r="L414" i="15"/>
  <c r="K414" i="15"/>
  <c r="O414" i="15" s="1"/>
  <c r="J414" i="15"/>
  <c r="M414" i="15" s="1"/>
  <c r="L413" i="15"/>
  <c r="K413" i="15"/>
  <c r="O413" i="15" s="1"/>
  <c r="J413" i="15"/>
  <c r="M413" i="15" s="1"/>
  <c r="L412" i="15"/>
  <c r="K412" i="15"/>
  <c r="O412" i="15" s="1"/>
  <c r="J412" i="15"/>
  <c r="M412" i="15" s="1"/>
  <c r="L411" i="15"/>
  <c r="K411" i="15"/>
  <c r="O411" i="15" s="1"/>
  <c r="J411" i="15"/>
  <c r="M411" i="15" s="1"/>
  <c r="L410" i="15"/>
  <c r="K410" i="15"/>
  <c r="O410" i="15" s="1"/>
  <c r="J410" i="15"/>
  <c r="M410" i="15" s="1"/>
  <c r="L409" i="15"/>
  <c r="K409" i="15"/>
  <c r="O409" i="15" s="1"/>
  <c r="J409" i="15"/>
  <c r="M409" i="15" s="1"/>
  <c r="L408" i="15"/>
  <c r="K408" i="15"/>
  <c r="O408" i="15" s="1"/>
  <c r="J408" i="15"/>
  <c r="M408" i="15" s="1"/>
  <c r="L407" i="15"/>
  <c r="K407" i="15"/>
  <c r="O407" i="15" s="1"/>
  <c r="J407" i="15"/>
  <c r="M407" i="15" s="1"/>
  <c r="L406" i="15"/>
  <c r="K406" i="15"/>
  <c r="O406" i="15" s="1"/>
  <c r="J406" i="15"/>
  <c r="M406" i="15" s="1"/>
  <c r="L405" i="15"/>
  <c r="K405" i="15"/>
  <c r="O405" i="15" s="1"/>
  <c r="J405" i="15"/>
  <c r="M405" i="15" s="1"/>
  <c r="L404" i="15"/>
  <c r="K404" i="15"/>
  <c r="O404" i="15" s="1"/>
  <c r="J404" i="15"/>
  <c r="M404" i="15" s="1"/>
  <c r="L403" i="15"/>
  <c r="K403" i="15"/>
  <c r="O403" i="15" s="1"/>
  <c r="J403" i="15"/>
  <c r="M403" i="15" s="1"/>
  <c r="L402" i="15"/>
  <c r="K402" i="15"/>
  <c r="O402" i="15" s="1"/>
  <c r="J402" i="15"/>
  <c r="M402" i="15" s="1"/>
  <c r="L401" i="15"/>
  <c r="K401" i="15"/>
  <c r="O401" i="15" s="1"/>
  <c r="J401" i="15"/>
  <c r="M401" i="15" s="1"/>
  <c r="G401" i="15"/>
  <c r="L400" i="15"/>
  <c r="K400" i="15"/>
  <c r="O400" i="15" s="1"/>
  <c r="J400" i="15"/>
  <c r="M400" i="15" s="1"/>
  <c r="L399" i="15"/>
  <c r="K399" i="15"/>
  <c r="J399" i="15"/>
  <c r="M399" i="15" s="1"/>
  <c r="G399" i="15"/>
  <c r="L398" i="15"/>
  <c r="K398" i="15"/>
  <c r="O398" i="15" s="1"/>
  <c r="J398" i="15"/>
  <c r="M398" i="15" s="1"/>
  <c r="L397" i="15"/>
  <c r="K397" i="15"/>
  <c r="N397" i="15" s="1"/>
  <c r="J397" i="15"/>
  <c r="M397" i="15" s="1"/>
  <c r="G397" i="15"/>
  <c r="L396" i="15"/>
  <c r="K396" i="15"/>
  <c r="O396" i="15" s="1"/>
  <c r="J396" i="15"/>
  <c r="M396" i="15" s="1"/>
  <c r="G396" i="15"/>
  <c r="L395" i="15"/>
  <c r="K395" i="15"/>
  <c r="O395" i="15" s="1"/>
  <c r="J395" i="15"/>
  <c r="M395" i="15" s="1"/>
  <c r="G395" i="15"/>
  <c r="L394" i="15"/>
  <c r="K394" i="15"/>
  <c r="O394" i="15" s="1"/>
  <c r="J394" i="15"/>
  <c r="M394" i="15" s="1"/>
  <c r="G394" i="15"/>
  <c r="L393" i="15"/>
  <c r="K393" i="15"/>
  <c r="O393" i="15" s="1"/>
  <c r="J393" i="15"/>
  <c r="M393" i="15" s="1"/>
  <c r="G393" i="15"/>
  <c r="L392" i="15"/>
  <c r="K392" i="15"/>
  <c r="J392" i="15"/>
  <c r="M392" i="15" s="1"/>
  <c r="G392" i="15"/>
  <c r="L391" i="15"/>
  <c r="K391" i="15"/>
  <c r="O391" i="15" s="1"/>
  <c r="J391" i="15"/>
  <c r="M391" i="15" s="1"/>
  <c r="L390" i="15"/>
  <c r="K390" i="15"/>
  <c r="O390" i="15" s="1"/>
  <c r="J390" i="15"/>
  <c r="M390" i="15" s="1"/>
  <c r="L389" i="15"/>
  <c r="K389" i="15"/>
  <c r="O389" i="15" s="1"/>
  <c r="J389" i="15"/>
  <c r="M389" i="15" s="1"/>
  <c r="L388" i="15"/>
  <c r="K388" i="15"/>
  <c r="O388" i="15" s="1"/>
  <c r="J388" i="15"/>
  <c r="M388" i="15" s="1"/>
  <c r="L387" i="15"/>
  <c r="K387" i="15"/>
  <c r="O387" i="15" s="1"/>
  <c r="J387" i="15"/>
  <c r="M387" i="15" s="1"/>
  <c r="G387" i="15"/>
  <c r="L386" i="15"/>
  <c r="K386" i="15"/>
  <c r="O386" i="15" s="1"/>
  <c r="J386" i="15"/>
  <c r="M386" i="15" s="1"/>
  <c r="G386" i="15"/>
  <c r="L385" i="15"/>
  <c r="K385" i="15"/>
  <c r="J385" i="15"/>
  <c r="M385" i="15" s="1"/>
  <c r="G385" i="15"/>
  <c r="L384" i="15"/>
  <c r="K384" i="15"/>
  <c r="N384" i="15" s="1"/>
  <c r="J384" i="15"/>
  <c r="M384" i="15" s="1"/>
  <c r="G384" i="15"/>
  <c r="L383" i="15"/>
  <c r="K383" i="15"/>
  <c r="O383" i="15" s="1"/>
  <c r="J383" i="15"/>
  <c r="M383" i="15" s="1"/>
  <c r="G383" i="15"/>
  <c r="L382" i="15"/>
  <c r="K382" i="15"/>
  <c r="O382" i="15" s="1"/>
  <c r="J382" i="15"/>
  <c r="M382" i="15" s="1"/>
  <c r="G382" i="15"/>
  <c r="L381" i="15"/>
  <c r="K381" i="15"/>
  <c r="N381" i="15" s="1"/>
  <c r="J381" i="15"/>
  <c r="M381" i="15" s="1"/>
  <c r="G381" i="15"/>
  <c r="L380" i="15"/>
  <c r="K380" i="15"/>
  <c r="O380" i="15" s="1"/>
  <c r="J380" i="15"/>
  <c r="M380" i="15" s="1"/>
  <c r="G380" i="15"/>
  <c r="L379" i="15"/>
  <c r="K379" i="15"/>
  <c r="O379" i="15" s="1"/>
  <c r="J379" i="15"/>
  <c r="M379" i="15" s="1"/>
  <c r="G379" i="15"/>
  <c r="L378" i="15"/>
  <c r="K378" i="15"/>
  <c r="O378" i="15" s="1"/>
  <c r="J378" i="15"/>
  <c r="M378" i="15" s="1"/>
  <c r="G378" i="15"/>
  <c r="L377" i="15"/>
  <c r="K377" i="15"/>
  <c r="O377" i="15" s="1"/>
  <c r="J377" i="15"/>
  <c r="M377" i="15" s="1"/>
  <c r="G377" i="15"/>
  <c r="L376" i="15"/>
  <c r="K376" i="15"/>
  <c r="O376" i="15" s="1"/>
  <c r="J376" i="15"/>
  <c r="M376" i="15" s="1"/>
  <c r="G376" i="15"/>
  <c r="L375" i="15"/>
  <c r="K375" i="15"/>
  <c r="O375" i="15" s="1"/>
  <c r="J375" i="15"/>
  <c r="M375" i="15" s="1"/>
  <c r="G375" i="15"/>
  <c r="L374" i="15"/>
  <c r="K374" i="15"/>
  <c r="O374" i="15" s="1"/>
  <c r="J374" i="15"/>
  <c r="M374" i="15" s="1"/>
  <c r="G374" i="15"/>
  <c r="L373" i="15"/>
  <c r="K373" i="15"/>
  <c r="J373" i="15"/>
  <c r="M373" i="15" s="1"/>
  <c r="G373" i="15"/>
  <c r="L372" i="15"/>
  <c r="K372" i="15"/>
  <c r="N372" i="15" s="1"/>
  <c r="J372" i="15"/>
  <c r="M372" i="15" s="1"/>
  <c r="G372" i="15"/>
  <c r="L371" i="15"/>
  <c r="K371" i="15"/>
  <c r="O371" i="15" s="1"/>
  <c r="J371" i="15"/>
  <c r="M371" i="15" s="1"/>
  <c r="G371" i="15"/>
  <c r="L370" i="15"/>
  <c r="K370" i="15"/>
  <c r="O370" i="15" s="1"/>
  <c r="J370" i="15"/>
  <c r="M370" i="15" s="1"/>
  <c r="G370" i="15"/>
  <c r="L369" i="15"/>
  <c r="K369" i="15"/>
  <c r="O369" i="15" s="1"/>
  <c r="J369" i="15"/>
  <c r="M369" i="15" s="1"/>
  <c r="G369" i="15"/>
  <c r="L368" i="15"/>
  <c r="K368" i="15"/>
  <c r="O368" i="15" s="1"/>
  <c r="J368" i="15"/>
  <c r="M368" i="15" s="1"/>
  <c r="G368" i="15"/>
  <c r="L367" i="15"/>
  <c r="K367" i="15"/>
  <c r="N367" i="15" s="1"/>
  <c r="J367" i="15"/>
  <c r="M367" i="15" s="1"/>
  <c r="G367" i="15"/>
  <c r="L366" i="15"/>
  <c r="K366" i="15"/>
  <c r="O366" i="15" s="1"/>
  <c r="J366" i="15"/>
  <c r="M366" i="15" s="1"/>
  <c r="G366" i="15"/>
  <c r="L365" i="15"/>
  <c r="K365" i="15"/>
  <c r="N365" i="15" s="1"/>
  <c r="J365" i="15"/>
  <c r="M365" i="15" s="1"/>
  <c r="G365" i="15"/>
  <c r="L364" i="15"/>
  <c r="K364" i="15"/>
  <c r="O364" i="15" s="1"/>
  <c r="J364" i="15"/>
  <c r="M364" i="15" s="1"/>
  <c r="G364" i="15"/>
  <c r="L363" i="15"/>
  <c r="K363" i="15"/>
  <c r="O363" i="15" s="1"/>
  <c r="J363" i="15"/>
  <c r="M363" i="15" s="1"/>
  <c r="G363" i="15"/>
  <c r="L362" i="15"/>
  <c r="K362" i="15"/>
  <c r="O362" i="15" s="1"/>
  <c r="J362" i="15"/>
  <c r="M362" i="15" s="1"/>
  <c r="G362" i="15"/>
  <c r="L361" i="15"/>
  <c r="K361" i="15"/>
  <c r="J361" i="15"/>
  <c r="M361" i="15" s="1"/>
  <c r="G361" i="15"/>
  <c r="L360" i="15"/>
  <c r="K360" i="15"/>
  <c r="O360" i="15" s="1"/>
  <c r="J360" i="15"/>
  <c r="M360" i="15" s="1"/>
  <c r="G360" i="15"/>
  <c r="L359" i="15"/>
  <c r="K359" i="15"/>
  <c r="O359" i="15" s="1"/>
  <c r="J359" i="15"/>
  <c r="M359" i="15" s="1"/>
  <c r="G359" i="15"/>
  <c r="L358" i="15"/>
  <c r="K358" i="15"/>
  <c r="O358" i="15" s="1"/>
  <c r="J358" i="15"/>
  <c r="M358" i="15" s="1"/>
  <c r="G358" i="15"/>
  <c r="L357" i="15"/>
  <c r="K357" i="15"/>
  <c r="O357" i="15" s="1"/>
  <c r="J357" i="15"/>
  <c r="M357" i="15" s="1"/>
  <c r="G357" i="15"/>
  <c r="L356" i="15"/>
  <c r="K356" i="15"/>
  <c r="O356" i="15" s="1"/>
  <c r="J356" i="15"/>
  <c r="M356" i="15" s="1"/>
  <c r="G356" i="15"/>
  <c r="L355" i="15"/>
  <c r="K355" i="15"/>
  <c r="N355" i="15" s="1"/>
  <c r="J355" i="15"/>
  <c r="M355" i="15" s="1"/>
  <c r="G355" i="15"/>
  <c r="L354" i="15"/>
  <c r="K354" i="15"/>
  <c r="O354" i="15" s="1"/>
  <c r="J354" i="15"/>
  <c r="M354" i="15" s="1"/>
  <c r="G354" i="15"/>
  <c r="L353" i="15"/>
  <c r="K353" i="15"/>
  <c r="N353" i="15" s="1"/>
  <c r="J353" i="15"/>
  <c r="M353" i="15" s="1"/>
  <c r="G353" i="15"/>
  <c r="L352" i="15"/>
  <c r="K352" i="15"/>
  <c r="O352" i="15" s="1"/>
  <c r="J352" i="15"/>
  <c r="M352" i="15" s="1"/>
  <c r="G352" i="15"/>
  <c r="L351" i="15"/>
  <c r="K351" i="15"/>
  <c r="O351" i="15" s="1"/>
  <c r="J351" i="15"/>
  <c r="M351" i="15" s="1"/>
  <c r="G351" i="15"/>
  <c r="L350" i="15"/>
  <c r="K350" i="15"/>
  <c r="O350" i="15" s="1"/>
  <c r="J350" i="15"/>
  <c r="M350" i="15" s="1"/>
  <c r="G350" i="15"/>
  <c r="L349" i="15"/>
  <c r="K349" i="15"/>
  <c r="J349" i="15"/>
  <c r="M349" i="15" s="1"/>
  <c r="G349" i="15"/>
  <c r="L348" i="15"/>
  <c r="K348" i="15"/>
  <c r="O348" i="15" s="1"/>
  <c r="J348" i="15"/>
  <c r="M348" i="15" s="1"/>
  <c r="G348" i="15"/>
  <c r="L347" i="15"/>
  <c r="K347" i="15"/>
  <c r="O347" i="15" s="1"/>
  <c r="J347" i="15"/>
  <c r="M347" i="15" s="1"/>
  <c r="G347" i="15"/>
  <c r="L346" i="15"/>
  <c r="K346" i="15"/>
  <c r="N346" i="15" s="1"/>
  <c r="J346" i="15"/>
  <c r="M346" i="15" s="1"/>
  <c r="G346" i="15"/>
  <c r="L345" i="15"/>
  <c r="K345" i="15"/>
  <c r="O345" i="15" s="1"/>
  <c r="J345" i="15"/>
  <c r="M345" i="15" s="1"/>
  <c r="G345" i="15"/>
  <c r="L344" i="15"/>
  <c r="K344" i="15"/>
  <c r="O344" i="15" s="1"/>
  <c r="J344" i="15"/>
  <c r="M344" i="15" s="1"/>
  <c r="G344" i="15"/>
  <c r="L343" i="15"/>
  <c r="K343" i="15"/>
  <c r="O343" i="15" s="1"/>
  <c r="J343" i="15"/>
  <c r="M343" i="15" s="1"/>
  <c r="G343" i="15"/>
  <c r="L342" i="15"/>
  <c r="K342" i="15"/>
  <c r="O342" i="15" s="1"/>
  <c r="J342" i="15"/>
  <c r="M342" i="15" s="1"/>
  <c r="G342" i="15"/>
  <c r="L341" i="15"/>
  <c r="K341" i="15"/>
  <c r="O341" i="15" s="1"/>
  <c r="J341" i="15"/>
  <c r="M341" i="15" s="1"/>
  <c r="G341" i="15"/>
  <c r="L340" i="15"/>
  <c r="K340" i="15"/>
  <c r="O340" i="15" s="1"/>
  <c r="J340" i="15"/>
  <c r="M340" i="15" s="1"/>
  <c r="G340" i="15"/>
  <c r="L339" i="15"/>
  <c r="K339" i="15"/>
  <c r="O339" i="15" s="1"/>
  <c r="J339" i="15"/>
  <c r="M339" i="15" s="1"/>
  <c r="G339" i="15"/>
  <c r="L338" i="15"/>
  <c r="K338" i="15"/>
  <c r="O338" i="15" s="1"/>
  <c r="J338" i="15"/>
  <c r="M338" i="15" s="1"/>
  <c r="G338" i="15"/>
  <c r="L337" i="15"/>
  <c r="K337" i="15"/>
  <c r="J337" i="15"/>
  <c r="M337" i="15" s="1"/>
  <c r="G337" i="15"/>
  <c r="L336" i="15"/>
  <c r="K336" i="15"/>
  <c r="O336" i="15" s="1"/>
  <c r="J336" i="15"/>
  <c r="M336" i="15" s="1"/>
  <c r="G336" i="15"/>
  <c r="L335" i="15"/>
  <c r="K335" i="15"/>
  <c r="O335" i="15" s="1"/>
  <c r="J335" i="15"/>
  <c r="M335" i="15" s="1"/>
  <c r="G335" i="15"/>
  <c r="L334" i="15"/>
  <c r="K334" i="15"/>
  <c r="N334" i="15" s="1"/>
  <c r="J334" i="15"/>
  <c r="M334" i="15" s="1"/>
  <c r="G334" i="15"/>
  <c r="L333" i="15"/>
  <c r="K333" i="15"/>
  <c r="N333" i="15" s="1"/>
  <c r="J333" i="15"/>
  <c r="M333" i="15" s="1"/>
  <c r="G333" i="15"/>
  <c r="L332" i="15"/>
  <c r="K332" i="15"/>
  <c r="O332" i="15" s="1"/>
  <c r="J332" i="15"/>
  <c r="M332" i="15" s="1"/>
  <c r="G332" i="15"/>
  <c r="L331" i="15"/>
  <c r="K331" i="15"/>
  <c r="O331" i="15" s="1"/>
  <c r="J331" i="15"/>
  <c r="M331" i="15" s="1"/>
  <c r="G331" i="15"/>
  <c r="L330" i="15"/>
  <c r="K330" i="15"/>
  <c r="O330" i="15" s="1"/>
  <c r="J330" i="15"/>
  <c r="M330" i="15" s="1"/>
  <c r="G330" i="15"/>
  <c r="L329" i="15"/>
  <c r="K329" i="15"/>
  <c r="O329" i="15" s="1"/>
  <c r="J329" i="15"/>
  <c r="M329" i="15" s="1"/>
  <c r="G329" i="15"/>
  <c r="L328" i="15"/>
  <c r="K328" i="15"/>
  <c r="O328" i="15" s="1"/>
  <c r="J328" i="15"/>
  <c r="M328" i="15" s="1"/>
  <c r="G328" i="15"/>
  <c r="L327" i="15"/>
  <c r="K327" i="15"/>
  <c r="O327" i="15" s="1"/>
  <c r="J327" i="15"/>
  <c r="M327" i="15" s="1"/>
  <c r="G327" i="15"/>
  <c r="L326" i="15"/>
  <c r="K326" i="15"/>
  <c r="J326" i="15"/>
  <c r="M326" i="15" s="1"/>
  <c r="G326" i="15"/>
  <c r="L325" i="15"/>
  <c r="K325" i="15"/>
  <c r="J325" i="15"/>
  <c r="M325" i="15" s="1"/>
  <c r="G325" i="15"/>
  <c r="L324" i="15"/>
  <c r="K324" i="15"/>
  <c r="O324" i="15" s="1"/>
  <c r="J324" i="15"/>
  <c r="M324" i="15" s="1"/>
  <c r="G324" i="15"/>
  <c r="L323" i="15"/>
  <c r="K323" i="15"/>
  <c r="J323" i="15"/>
  <c r="M323" i="15" s="1"/>
  <c r="G323" i="15"/>
  <c r="L322" i="15"/>
  <c r="K322" i="15"/>
  <c r="N322" i="15" s="1"/>
  <c r="J322" i="15"/>
  <c r="M322" i="15" s="1"/>
  <c r="G322" i="15"/>
  <c r="L321" i="15"/>
  <c r="K321" i="15"/>
  <c r="O321" i="15" s="1"/>
  <c r="J321" i="15"/>
  <c r="M321" i="15" s="1"/>
  <c r="G321" i="15"/>
  <c r="L320" i="15"/>
  <c r="K320" i="15"/>
  <c r="O320" i="15" s="1"/>
  <c r="J320" i="15"/>
  <c r="M320" i="15" s="1"/>
  <c r="G320" i="15"/>
  <c r="L319" i="15"/>
  <c r="K319" i="15"/>
  <c r="O319" i="15" s="1"/>
  <c r="J319" i="15"/>
  <c r="M319" i="15" s="1"/>
  <c r="G319" i="15"/>
  <c r="L318" i="15"/>
  <c r="K318" i="15"/>
  <c r="O318" i="15" s="1"/>
  <c r="J318" i="15"/>
  <c r="M318" i="15" s="1"/>
  <c r="G318" i="15"/>
  <c r="L317" i="15"/>
  <c r="K317" i="15"/>
  <c r="N317" i="15" s="1"/>
  <c r="J317" i="15"/>
  <c r="M317" i="15" s="1"/>
  <c r="G317" i="15"/>
  <c r="L316" i="15"/>
  <c r="K316" i="15"/>
  <c r="O316" i="15" s="1"/>
  <c r="J316" i="15"/>
  <c r="M316" i="15" s="1"/>
  <c r="G316" i="15"/>
  <c r="L315" i="15"/>
  <c r="K315" i="15"/>
  <c r="O315" i="15" s="1"/>
  <c r="J315" i="15"/>
  <c r="M315" i="15" s="1"/>
  <c r="G315" i="15"/>
  <c r="L314" i="15"/>
  <c r="K314" i="15"/>
  <c r="O314" i="15" s="1"/>
  <c r="J314" i="15"/>
  <c r="M314" i="15" s="1"/>
  <c r="G314" i="15"/>
  <c r="L313" i="15"/>
  <c r="K313" i="15"/>
  <c r="J313" i="15"/>
  <c r="M313" i="15" s="1"/>
  <c r="G313" i="15"/>
  <c r="L312" i="15"/>
  <c r="K312" i="15"/>
  <c r="O312" i="15" s="1"/>
  <c r="J312" i="15"/>
  <c r="M312" i="15" s="1"/>
  <c r="G312" i="15"/>
  <c r="L311" i="15"/>
  <c r="K311" i="15"/>
  <c r="J311" i="15"/>
  <c r="M311" i="15" s="1"/>
  <c r="G311" i="15"/>
  <c r="L310" i="15"/>
  <c r="K310" i="15"/>
  <c r="N310" i="15" s="1"/>
  <c r="J310" i="15"/>
  <c r="M310" i="15" s="1"/>
  <c r="G310" i="15"/>
  <c r="L309" i="15"/>
  <c r="K309" i="15"/>
  <c r="N309" i="15" s="1"/>
  <c r="J309" i="15"/>
  <c r="M309" i="15" s="1"/>
  <c r="G309" i="15"/>
  <c r="L308" i="15"/>
  <c r="K308" i="15"/>
  <c r="O308" i="15" s="1"/>
  <c r="J308" i="15"/>
  <c r="M308" i="15" s="1"/>
  <c r="G308" i="15"/>
  <c r="L307" i="15"/>
  <c r="K307" i="15"/>
  <c r="O307" i="15" s="1"/>
  <c r="J307" i="15"/>
  <c r="M307" i="15" s="1"/>
  <c r="G307" i="15"/>
  <c r="L306" i="15"/>
  <c r="K306" i="15"/>
  <c r="O306" i="15" s="1"/>
  <c r="J306" i="15"/>
  <c r="M306" i="15" s="1"/>
  <c r="G306" i="15"/>
  <c r="L305" i="15"/>
  <c r="K305" i="15"/>
  <c r="O305" i="15" s="1"/>
  <c r="J305" i="15"/>
  <c r="M305" i="15" s="1"/>
  <c r="G305" i="15"/>
  <c r="L304" i="15"/>
  <c r="K304" i="15"/>
  <c r="O304" i="15" s="1"/>
  <c r="J304" i="15"/>
  <c r="M304" i="15" s="1"/>
  <c r="G304" i="15"/>
  <c r="L303" i="15"/>
  <c r="K303" i="15"/>
  <c r="O303" i="15" s="1"/>
  <c r="J303" i="15"/>
  <c r="M303" i="15" s="1"/>
  <c r="G303" i="15"/>
  <c r="L302" i="15"/>
  <c r="K302" i="15"/>
  <c r="O302" i="15" s="1"/>
  <c r="J302" i="15"/>
  <c r="M302" i="15" s="1"/>
  <c r="G302" i="15"/>
  <c r="L301" i="15"/>
  <c r="K301" i="15"/>
  <c r="J301" i="15"/>
  <c r="M301" i="15" s="1"/>
  <c r="G301" i="15"/>
  <c r="L300" i="15"/>
  <c r="K300" i="15"/>
  <c r="O300" i="15" s="1"/>
  <c r="J300" i="15"/>
  <c r="M300" i="15" s="1"/>
  <c r="G300" i="15"/>
  <c r="L299" i="15"/>
  <c r="K299" i="15"/>
  <c r="J299" i="15"/>
  <c r="M299" i="15" s="1"/>
  <c r="G299" i="15"/>
  <c r="L298" i="15"/>
  <c r="K298" i="15"/>
  <c r="N298" i="15" s="1"/>
  <c r="J298" i="15"/>
  <c r="M298" i="15" s="1"/>
  <c r="G298" i="15"/>
  <c r="L297" i="15"/>
  <c r="K297" i="15"/>
  <c r="O297" i="15" s="1"/>
  <c r="J297" i="15"/>
  <c r="M297" i="15" s="1"/>
  <c r="G297" i="15"/>
  <c r="L296" i="15"/>
  <c r="K296" i="15"/>
  <c r="O296" i="15" s="1"/>
  <c r="J296" i="15"/>
  <c r="M296" i="15" s="1"/>
  <c r="G296" i="15"/>
  <c r="L295" i="15"/>
  <c r="K295" i="15"/>
  <c r="N295" i="15" s="1"/>
  <c r="J295" i="15"/>
  <c r="M295" i="15" s="1"/>
  <c r="G295" i="15"/>
  <c r="L294" i="15"/>
  <c r="K294" i="15"/>
  <c r="J294" i="15"/>
  <c r="M294" i="15" s="1"/>
  <c r="G294" i="15"/>
  <c r="L293" i="15"/>
  <c r="K293" i="15"/>
  <c r="O293" i="15" s="1"/>
  <c r="J293" i="15"/>
  <c r="M293" i="15" s="1"/>
  <c r="G293" i="15"/>
  <c r="L292" i="15"/>
  <c r="K292" i="15"/>
  <c r="O292" i="15" s="1"/>
  <c r="J292" i="15"/>
  <c r="M292" i="15" s="1"/>
  <c r="G292" i="15"/>
  <c r="L291" i="15"/>
  <c r="K291" i="15"/>
  <c r="O291" i="15" s="1"/>
  <c r="J291" i="15"/>
  <c r="M291" i="15" s="1"/>
  <c r="G291" i="15"/>
  <c r="L290" i="15"/>
  <c r="K290" i="15"/>
  <c r="O290" i="15" s="1"/>
  <c r="J290" i="15"/>
  <c r="M290" i="15" s="1"/>
  <c r="G290" i="15"/>
  <c r="L289" i="15"/>
  <c r="K289" i="15"/>
  <c r="J289" i="15"/>
  <c r="M289" i="15" s="1"/>
  <c r="G289" i="15"/>
  <c r="L288" i="15"/>
  <c r="K288" i="15"/>
  <c r="O288" i="15" s="1"/>
  <c r="J288" i="15"/>
  <c r="M288" i="15" s="1"/>
  <c r="G288" i="15"/>
  <c r="L287" i="15"/>
  <c r="K287" i="15"/>
  <c r="J287" i="15"/>
  <c r="M287" i="15" s="1"/>
  <c r="G287" i="15"/>
  <c r="L286" i="15"/>
  <c r="K286" i="15"/>
  <c r="N286" i="15" s="1"/>
  <c r="J286" i="15"/>
  <c r="M286" i="15" s="1"/>
  <c r="G286" i="15"/>
  <c r="L285" i="15"/>
  <c r="K285" i="15"/>
  <c r="N285" i="15" s="1"/>
  <c r="J285" i="15"/>
  <c r="M285" i="15" s="1"/>
  <c r="G285" i="15"/>
  <c r="L284" i="15"/>
  <c r="K284" i="15"/>
  <c r="O284" i="15" s="1"/>
  <c r="J284" i="15"/>
  <c r="M284" i="15" s="1"/>
  <c r="G284" i="15"/>
  <c r="L283" i="15"/>
  <c r="K283" i="15"/>
  <c r="O283" i="15" s="1"/>
  <c r="J283" i="15"/>
  <c r="M283" i="15" s="1"/>
  <c r="G283" i="15"/>
  <c r="L282" i="15"/>
  <c r="K282" i="15"/>
  <c r="N282" i="15" s="1"/>
  <c r="J282" i="15"/>
  <c r="M282" i="15" s="1"/>
  <c r="G282" i="15"/>
  <c r="L281" i="15"/>
  <c r="K281" i="15"/>
  <c r="O281" i="15" s="1"/>
  <c r="J281" i="15"/>
  <c r="M281" i="15" s="1"/>
  <c r="G281" i="15"/>
  <c r="L280" i="15"/>
  <c r="K280" i="15"/>
  <c r="O280" i="15" s="1"/>
  <c r="J280" i="15"/>
  <c r="M280" i="15" s="1"/>
  <c r="G280" i="15"/>
  <c r="L279" i="15"/>
  <c r="K279" i="15"/>
  <c r="O279" i="15" s="1"/>
  <c r="J279" i="15"/>
  <c r="M279" i="15" s="1"/>
  <c r="G279" i="15"/>
  <c r="L278" i="15"/>
  <c r="K278" i="15"/>
  <c r="N278" i="15" s="1"/>
  <c r="J278" i="15"/>
  <c r="M278" i="15" s="1"/>
  <c r="G278" i="15"/>
  <c r="L277" i="15"/>
  <c r="K277" i="15"/>
  <c r="O277" i="15" s="1"/>
  <c r="J277" i="15"/>
  <c r="M277" i="15" s="1"/>
  <c r="G277" i="15"/>
  <c r="L276" i="15"/>
  <c r="K276" i="15"/>
  <c r="O276" i="15" s="1"/>
  <c r="J276" i="15"/>
  <c r="M276" i="15" s="1"/>
  <c r="G276" i="15"/>
  <c r="L275" i="15"/>
  <c r="K275" i="15"/>
  <c r="J275" i="15"/>
  <c r="M275" i="15" s="1"/>
  <c r="G275" i="15"/>
  <c r="L274" i="15"/>
  <c r="K274" i="15"/>
  <c r="N274" i="15" s="1"/>
  <c r="J274" i="15"/>
  <c r="M274" i="15" s="1"/>
  <c r="G274" i="15"/>
  <c r="L273" i="15"/>
  <c r="K273" i="15"/>
  <c r="N273" i="15" s="1"/>
  <c r="J273" i="15"/>
  <c r="M273" i="15" s="1"/>
  <c r="G273" i="15"/>
  <c r="L272" i="15"/>
  <c r="K272" i="15"/>
  <c r="O272" i="15" s="1"/>
  <c r="J272" i="15"/>
  <c r="M272" i="15" s="1"/>
  <c r="G272" i="15"/>
  <c r="L271" i="15"/>
  <c r="K271" i="15"/>
  <c r="O271" i="15" s="1"/>
  <c r="J271" i="15"/>
  <c r="M271" i="15" s="1"/>
  <c r="G271" i="15"/>
  <c r="L270" i="15"/>
  <c r="K270" i="15"/>
  <c r="N270" i="15" s="1"/>
  <c r="J270" i="15"/>
  <c r="M270" i="15" s="1"/>
  <c r="G270" i="15"/>
  <c r="L269" i="15"/>
  <c r="K269" i="15"/>
  <c r="N269" i="15" s="1"/>
  <c r="J269" i="15"/>
  <c r="M269" i="15" s="1"/>
  <c r="G269" i="15"/>
  <c r="L268" i="15"/>
  <c r="K268" i="15"/>
  <c r="O268" i="15" s="1"/>
  <c r="J268" i="15"/>
  <c r="M268" i="15" s="1"/>
  <c r="G268" i="15"/>
  <c r="L267" i="15"/>
  <c r="K267" i="15"/>
  <c r="O267" i="15" s="1"/>
  <c r="J267" i="15"/>
  <c r="M267" i="15" s="1"/>
  <c r="G267" i="15"/>
  <c r="L266" i="15"/>
  <c r="K266" i="15"/>
  <c r="O266" i="15" s="1"/>
  <c r="J266" i="15"/>
  <c r="M266" i="15" s="1"/>
  <c r="G266" i="15"/>
  <c r="L265" i="15"/>
  <c r="K265" i="15"/>
  <c r="O265" i="15" s="1"/>
  <c r="J265" i="15"/>
  <c r="M265" i="15" s="1"/>
  <c r="G265" i="15"/>
  <c r="L264" i="15"/>
  <c r="K264" i="15"/>
  <c r="N264" i="15" s="1"/>
  <c r="J264" i="15"/>
  <c r="M264" i="15" s="1"/>
  <c r="G264" i="15"/>
  <c r="L263" i="15"/>
  <c r="K263" i="15"/>
  <c r="J263" i="15"/>
  <c r="M263" i="15" s="1"/>
  <c r="G263" i="15"/>
  <c r="L262" i="15"/>
  <c r="K262" i="15"/>
  <c r="N262" i="15" s="1"/>
  <c r="J262" i="15"/>
  <c r="M262" i="15" s="1"/>
  <c r="G262" i="15"/>
  <c r="L261" i="15"/>
  <c r="K261" i="15"/>
  <c r="O261" i="15" s="1"/>
  <c r="J261" i="15"/>
  <c r="M261" i="15" s="1"/>
  <c r="G261" i="15"/>
  <c r="L260" i="15"/>
  <c r="K260" i="15"/>
  <c r="O260" i="15" s="1"/>
  <c r="J260" i="15"/>
  <c r="M260" i="15" s="1"/>
  <c r="G260" i="15"/>
  <c r="L259" i="15"/>
  <c r="K259" i="15"/>
  <c r="O259" i="15" s="1"/>
  <c r="J259" i="15"/>
  <c r="M259" i="15" s="1"/>
  <c r="G259" i="15"/>
  <c r="L258" i="15"/>
  <c r="K258" i="15"/>
  <c r="N258" i="15" s="1"/>
  <c r="J258" i="15"/>
  <c r="M258" i="15" s="1"/>
  <c r="G258" i="15"/>
  <c r="L257" i="15"/>
  <c r="K257" i="15"/>
  <c r="O257" i="15" s="1"/>
  <c r="J257" i="15"/>
  <c r="M257" i="15" s="1"/>
  <c r="G257" i="15"/>
  <c r="L256" i="15"/>
  <c r="K256" i="15"/>
  <c r="O256" i="15" s="1"/>
  <c r="J256" i="15"/>
  <c r="M256" i="15" s="1"/>
  <c r="G256" i="15"/>
  <c r="L255" i="15"/>
  <c r="K255" i="15"/>
  <c r="O255" i="15" s="1"/>
  <c r="J255" i="15"/>
  <c r="M255" i="15" s="1"/>
  <c r="G255" i="15"/>
  <c r="L254" i="15"/>
  <c r="K254" i="15"/>
  <c r="O254" i="15" s="1"/>
  <c r="J254" i="15"/>
  <c r="M254" i="15" s="1"/>
  <c r="G254" i="15"/>
  <c r="L253" i="15"/>
  <c r="K253" i="15"/>
  <c r="O253" i="15" s="1"/>
  <c r="J253" i="15"/>
  <c r="M253" i="15" s="1"/>
  <c r="G253" i="15"/>
  <c r="L252" i="15"/>
  <c r="K252" i="15"/>
  <c r="O252" i="15" s="1"/>
  <c r="J252" i="15"/>
  <c r="M252" i="15" s="1"/>
  <c r="G252" i="15"/>
  <c r="L251" i="15"/>
  <c r="K251" i="15"/>
  <c r="J251" i="15"/>
  <c r="M251" i="15" s="1"/>
  <c r="G251" i="15"/>
  <c r="L250" i="15"/>
  <c r="K250" i="15"/>
  <c r="N250" i="15" s="1"/>
  <c r="J250" i="15"/>
  <c r="M250" i="15" s="1"/>
  <c r="G250" i="15"/>
  <c r="L249" i="15"/>
  <c r="K249" i="15"/>
  <c r="O249" i="15" s="1"/>
  <c r="J249" i="15"/>
  <c r="M249" i="15" s="1"/>
  <c r="G249" i="15"/>
  <c r="L248" i="15"/>
  <c r="K248" i="15"/>
  <c r="O248" i="15" s="1"/>
  <c r="J248" i="15"/>
  <c r="M248" i="15" s="1"/>
  <c r="G248" i="15"/>
  <c r="L247" i="15"/>
  <c r="K247" i="15"/>
  <c r="O247" i="15" s="1"/>
  <c r="J247" i="15"/>
  <c r="M247" i="15" s="1"/>
  <c r="G247" i="15"/>
  <c r="L246" i="15"/>
  <c r="K246" i="15"/>
  <c r="N246" i="15" s="1"/>
  <c r="J246" i="15"/>
  <c r="M246" i="15" s="1"/>
  <c r="G246" i="15"/>
  <c r="L245" i="15"/>
  <c r="K245" i="15"/>
  <c r="O245" i="15" s="1"/>
  <c r="J245" i="15"/>
  <c r="M245" i="15" s="1"/>
  <c r="G245" i="15"/>
  <c r="L244" i="15"/>
  <c r="K244" i="15"/>
  <c r="O244" i="15" s="1"/>
  <c r="J244" i="15"/>
  <c r="M244" i="15" s="1"/>
  <c r="G244" i="15"/>
  <c r="L243" i="15"/>
  <c r="K243" i="15"/>
  <c r="O243" i="15" s="1"/>
  <c r="J243" i="15"/>
  <c r="M243" i="15" s="1"/>
  <c r="G243" i="15"/>
  <c r="L242" i="15"/>
  <c r="K242" i="15"/>
  <c r="N242" i="15" s="1"/>
  <c r="J242" i="15"/>
  <c r="M242" i="15" s="1"/>
  <c r="G242" i="15"/>
  <c r="L241" i="15"/>
  <c r="K241" i="15"/>
  <c r="O241" i="15" s="1"/>
  <c r="J241" i="15"/>
  <c r="M241" i="15" s="1"/>
  <c r="G241" i="15"/>
  <c r="L240" i="15"/>
  <c r="K240" i="15"/>
  <c r="O240" i="15" s="1"/>
  <c r="J240" i="15"/>
  <c r="M240" i="15" s="1"/>
  <c r="G240" i="15"/>
  <c r="L239" i="15"/>
  <c r="K239" i="15"/>
  <c r="J239" i="15"/>
  <c r="M239" i="15" s="1"/>
  <c r="G239" i="15"/>
  <c r="L238" i="15"/>
  <c r="K238" i="15"/>
  <c r="N238" i="15" s="1"/>
  <c r="J238" i="15"/>
  <c r="M238" i="15" s="1"/>
  <c r="G238" i="15"/>
  <c r="L237" i="15"/>
  <c r="K237" i="15"/>
  <c r="O237" i="15" s="1"/>
  <c r="J237" i="15"/>
  <c r="M237" i="15" s="1"/>
  <c r="G237" i="15"/>
  <c r="L236" i="15"/>
  <c r="K236" i="15"/>
  <c r="O236" i="15" s="1"/>
  <c r="J236" i="15"/>
  <c r="M236" i="15" s="1"/>
  <c r="G236" i="15"/>
  <c r="L235" i="15"/>
  <c r="K235" i="15"/>
  <c r="O235" i="15" s="1"/>
  <c r="J235" i="15"/>
  <c r="M235" i="15" s="1"/>
  <c r="G235" i="15"/>
  <c r="L234" i="15"/>
  <c r="K234" i="15"/>
  <c r="N234" i="15" s="1"/>
  <c r="J234" i="15"/>
  <c r="M234" i="15" s="1"/>
  <c r="G234" i="15"/>
  <c r="L233" i="15"/>
  <c r="K233" i="15"/>
  <c r="O233" i="15" s="1"/>
  <c r="J233" i="15"/>
  <c r="M233" i="15" s="1"/>
  <c r="G233" i="15"/>
  <c r="L232" i="15"/>
  <c r="K232" i="15"/>
  <c r="O232" i="15" s="1"/>
  <c r="J232" i="15"/>
  <c r="M232" i="15" s="1"/>
  <c r="G232" i="15"/>
  <c r="L231" i="15"/>
  <c r="K231" i="15"/>
  <c r="N231" i="15" s="1"/>
  <c r="J231" i="15"/>
  <c r="M231" i="15" s="1"/>
  <c r="G231" i="15"/>
  <c r="L230" i="15"/>
  <c r="K230" i="15"/>
  <c r="O230" i="15" s="1"/>
  <c r="J230" i="15"/>
  <c r="M230" i="15" s="1"/>
  <c r="G230" i="15"/>
  <c r="L229" i="15"/>
  <c r="K229" i="15"/>
  <c r="O229" i="15" s="1"/>
  <c r="J229" i="15"/>
  <c r="M229" i="15" s="1"/>
  <c r="G229" i="15"/>
  <c r="L228" i="15"/>
  <c r="K228" i="15"/>
  <c r="O228" i="15" s="1"/>
  <c r="J228" i="15"/>
  <c r="M228" i="15" s="1"/>
  <c r="G228" i="15"/>
  <c r="L227" i="15"/>
  <c r="K227" i="15"/>
  <c r="J227" i="15"/>
  <c r="M227" i="15" s="1"/>
  <c r="G227" i="15"/>
  <c r="L226" i="15"/>
  <c r="K226" i="15"/>
  <c r="N226" i="15" s="1"/>
  <c r="J226" i="15"/>
  <c r="M226" i="15" s="1"/>
  <c r="G226" i="15"/>
  <c r="L225" i="15"/>
  <c r="K225" i="15"/>
  <c r="O225" i="15" s="1"/>
  <c r="J225" i="15"/>
  <c r="M225" i="15" s="1"/>
  <c r="G225" i="15"/>
  <c r="L224" i="15"/>
  <c r="K224" i="15"/>
  <c r="O224" i="15" s="1"/>
  <c r="J224" i="15"/>
  <c r="M224" i="15" s="1"/>
  <c r="G224" i="15"/>
  <c r="L223" i="15"/>
  <c r="K223" i="15"/>
  <c r="O223" i="15" s="1"/>
  <c r="J223" i="15"/>
  <c r="M223" i="15" s="1"/>
  <c r="G223" i="15"/>
  <c r="L222" i="15"/>
  <c r="K222" i="15"/>
  <c r="N222" i="15" s="1"/>
  <c r="J222" i="15"/>
  <c r="M222" i="15" s="1"/>
  <c r="G222" i="15"/>
  <c r="L221" i="15"/>
  <c r="K221" i="15"/>
  <c r="N221" i="15" s="1"/>
  <c r="J221" i="15"/>
  <c r="M221" i="15" s="1"/>
  <c r="G221" i="15"/>
  <c r="L220" i="15"/>
  <c r="K220" i="15"/>
  <c r="O220" i="15" s="1"/>
  <c r="J220" i="15"/>
  <c r="M220" i="15" s="1"/>
  <c r="G220" i="15"/>
  <c r="L219" i="15"/>
  <c r="K219" i="15"/>
  <c r="N219" i="15" s="1"/>
  <c r="J219" i="15"/>
  <c r="M219" i="15" s="1"/>
  <c r="G219" i="15"/>
  <c r="L218" i="15"/>
  <c r="K218" i="15"/>
  <c r="O218" i="15" s="1"/>
  <c r="J218" i="15"/>
  <c r="M218" i="15" s="1"/>
  <c r="G218" i="15"/>
  <c r="L217" i="15"/>
  <c r="K217" i="15"/>
  <c r="O217" i="15" s="1"/>
  <c r="J217" i="15"/>
  <c r="M217" i="15" s="1"/>
  <c r="G217" i="15"/>
  <c r="L216" i="15"/>
  <c r="K216" i="15"/>
  <c r="O216" i="15" s="1"/>
  <c r="J216" i="15"/>
  <c r="M216" i="15" s="1"/>
  <c r="G216" i="15"/>
  <c r="L215" i="15"/>
  <c r="K215" i="15"/>
  <c r="J215" i="15"/>
  <c r="M215" i="15" s="1"/>
  <c r="G215" i="15"/>
  <c r="L214" i="15"/>
  <c r="K214" i="15"/>
  <c r="N214" i="15" s="1"/>
  <c r="J214" i="15"/>
  <c r="M214" i="15" s="1"/>
  <c r="G214" i="15"/>
  <c r="L213" i="15"/>
  <c r="K213" i="15"/>
  <c r="O213" i="15" s="1"/>
  <c r="J213" i="15"/>
  <c r="M213" i="15" s="1"/>
  <c r="G213" i="15"/>
  <c r="L212" i="15"/>
  <c r="K212" i="15"/>
  <c r="O212" i="15" s="1"/>
  <c r="J212" i="15"/>
  <c r="M212" i="15" s="1"/>
  <c r="G212" i="15"/>
  <c r="L211" i="15"/>
  <c r="K211" i="15"/>
  <c r="N211" i="15" s="1"/>
  <c r="J211" i="15"/>
  <c r="M211" i="15" s="1"/>
  <c r="G211" i="15"/>
  <c r="L210" i="15"/>
  <c r="K210" i="15"/>
  <c r="N210" i="15" s="1"/>
  <c r="J210" i="15"/>
  <c r="M210" i="15" s="1"/>
  <c r="G210" i="15"/>
  <c r="L209" i="15"/>
  <c r="K209" i="15"/>
  <c r="O209" i="15" s="1"/>
  <c r="J209" i="15"/>
  <c r="M209" i="15" s="1"/>
  <c r="G209" i="15"/>
  <c r="L208" i="15"/>
  <c r="K208" i="15"/>
  <c r="O208" i="15" s="1"/>
  <c r="J208" i="15"/>
  <c r="M208" i="15" s="1"/>
  <c r="G208" i="15"/>
  <c r="L207" i="15"/>
  <c r="K207" i="15"/>
  <c r="N207" i="15" s="1"/>
  <c r="J207" i="15"/>
  <c r="M207" i="15" s="1"/>
  <c r="G207" i="15"/>
  <c r="L206" i="15"/>
  <c r="K206" i="15"/>
  <c r="O206" i="15" s="1"/>
  <c r="J206" i="15"/>
  <c r="M206" i="15" s="1"/>
  <c r="G206" i="15"/>
  <c r="L205" i="15"/>
  <c r="K205" i="15"/>
  <c r="O205" i="15" s="1"/>
  <c r="J205" i="15"/>
  <c r="M205" i="15" s="1"/>
  <c r="G205" i="15"/>
  <c r="L204" i="15"/>
  <c r="K204" i="15"/>
  <c r="N204" i="15" s="1"/>
  <c r="J204" i="15"/>
  <c r="M204" i="15" s="1"/>
  <c r="G204" i="15"/>
  <c r="L203" i="15"/>
  <c r="K203" i="15"/>
  <c r="J203" i="15"/>
  <c r="M203" i="15" s="1"/>
  <c r="G203" i="15"/>
  <c r="L202" i="15"/>
  <c r="K202" i="15"/>
  <c r="N202" i="15" s="1"/>
  <c r="J202" i="15"/>
  <c r="M202" i="15" s="1"/>
  <c r="G202" i="15"/>
  <c r="L201" i="15"/>
  <c r="K201" i="15"/>
  <c r="N201" i="15" s="1"/>
  <c r="J201" i="15"/>
  <c r="M201" i="15" s="1"/>
  <c r="G201" i="15"/>
  <c r="L200" i="15"/>
  <c r="K200" i="15"/>
  <c r="O200" i="15" s="1"/>
  <c r="J200" i="15"/>
  <c r="M200" i="15" s="1"/>
  <c r="G200" i="15"/>
  <c r="L199" i="15"/>
  <c r="K199" i="15"/>
  <c r="O199" i="15" s="1"/>
  <c r="J199" i="15"/>
  <c r="M199" i="15" s="1"/>
  <c r="G199" i="15"/>
  <c r="L198" i="15"/>
  <c r="K198" i="15"/>
  <c r="N198" i="15" s="1"/>
  <c r="J198" i="15"/>
  <c r="M198" i="15" s="1"/>
  <c r="G198" i="15"/>
  <c r="L197" i="15"/>
  <c r="K197" i="15"/>
  <c r="N197" i="15" s="1"/>
  <c r="J197" i="15"/>
  <c r="M197" i="15" s="1"/>
  <c r="G197" i="15"/>
  <c r="L196" i="15"/>
  <c r="K196" i="15"/>
  <c r="O196" i="15" s="1"/>
  <c r="J196" i="15"/>
  <c r="M196" i="15" s="1"/>
  <c r="G196" i="15"/>
  <c r="L195" i="15"/>
  <c r="K195" i="15"/>
  <c r="N195" i="15" s="1"/>
  <c r="J195" i="15"/>
  <c r="M195" i="15" s="1"/>
  <c r="G195" i="15"/>
  <c r="L194" i="15"/>
  <c r="K194" i="15"/>
  <c r="O194" i="15" s="1"/>
  <c r="J194" i="15"/>
  <c r="M194" i="15" s="1"/>
  <c r="G194" i="15"/>
  <c r="L193" i="15"/>
  <c r="K193" i="15"/>
  <c r="O193" i="15" s="1"/>
  <c r="J193" i="15"/>
  <c r="M193" i="15" s="1"/>
  <c r="G193" i="15"/>
  <c r="L192" i="15"/>
  <c r="K192" i="15"/>
  <c r="O192" i="15" s="1"/>
  <c r="J192" i="15"/>
  <c r="M192" i="15" s="1"/>
  <c r="G192" i="15"/>
  <c r="L191" i="15"/>
  <c r="K191" i="15"/>
  <c r="J191" i="15"/>
  <c r="M191" i="15" s="1"/>
  <c r="G191" i="15"/>
  <c r="L190" i="15"/>
  <c r="K190" i="15"/>
  <c r="N190" i="15" s="1"/>
  <c r="J190" i="15"/>
  <c r="M190" i="15" s="1"/>
  <c r="G190" i="15"/>
  <c r="L189" i="15"/>
  <c r="K189" i="15"/>
  <c r="N189" i="15" s="1"/>
  <c r="J189" i="15"/>
  <c r="M189" i="15" s="1"/>
  <c r="G189" i="15"/>
  <c r="L188" i="15"/>
  <c r="K188" i="15"/>
  <c r="O188" i="15" s="1"/>
  <c r="J188" i="15"/>
  <c r="M188" i="15" s="1"/>
  <c r="G188" i="15"/>
  <c r="L187" i="15"/>
  <c r="K187" i="15"/>
  <c r="O187" i="15" s="1"/>
  <c r="J187" i="15"/>
  <c r="M187" i="15" s="1"/>
  <c r="G187" i="15"/>
  <c r="L186" i="15"/>
  <c r="K186" i="15"/>
  <c r="N186" i="15" s="1"/>
  <c r="J186" i="15"/>
  <c r="M186" i="15" s="1"/>
  <c r="G186" i="15"/>
  <c r="L185" i="15"/>
  <c r="K185" i="15"/>
  <c r="O185" i="15" s="1"/>
  <c r="J185" i="15"/>
  <c r="M185" i="15" s="1"/>
  <c r="G185" i="15"/>
  <c r="L184" i="15"/>
  <c r="K184" i="15"/>
  <c r="O184" i="15" s="1"/>
  <c r="J184" i="15"/>
  <c r="M184" i="15" s="1"/>
  <c r="G184" i="15"/>
  <c r="L183" i="15"/>
  <c r="K183" i="15"/>
  <c r="N183" i="15" s="1"/>
  <c r="J183" i="15"/>
  <c r="M183" i="15" s="1"/>
  <c r="G183" i="15"/>
  <c r="L182" i="15"/>
  <c r="K182" i="15"/>
  <c r="O182" i="15" s="1"/>
  <c r="J182" i="15"/>
  <c r="M182" i="15" s="1"/>
  <c r="G182" i="15"/>
  <c r="L181" i="15"/>
  <c r="K181" i="15"/>
  <c r="O181" i="15" s="1"/>
  <c r="J181" i="15"/>
  <c r="M181" i="15" s="1"/>
  <c r="G181" i="15"/>
  <c r="L180" i="15"/>
  <c r="K180" i="15"/>
  <c r="N180" i="15" s="1"/>
  <c r="J180" i="15"/>
  <c r="M180" i="15" s="1"/>
  <c r="G180" i="15"/>
  <c r="L179" i="15"/>
  <c r="K179" i="15"/>
  <c r="J179" i="15"/>
  <c r="M179" i="15" s="1"/>
  <c r="G179" i="15"/>
  <c r="L178" i="15"/>
  <c r="K178" i="15"/>
  <c r="N178" i="15" s="1"/>
  <c r="J178" i="15"/>
  <c r="M178" i="15" s="1"/>
  <c r="G178" i="15"/>
  <c r="L177" i="15"/>
  <c r="K177" i="15"/>
  <c r="O177" i="15" s="1"/>
  <c r="J177" i="15"/>
  <c r="M177" i="15" s="1"/>
  <c r="G177" i="15"/>
  <c r="L176" i="15"/>
  <c r="K176" i="15"/>
  <c r="O176" i="15" s="1"/>
  <c r="J176" i="15"/>
  <c r="M176" i="15" s="1"/>
  <c r="G176" i="15"/>
  <c r="L175" i="15"/>
  <c r="K175" i="15"/>
  <c r="N175" i="15" s="1"/>
  <c r="J175" i="15"/>
  <c r="M175" i="15" s="1"/>
  <c r="G175" i="15"/>
  <c r="L174" i="15"/>
  <c r="K174" i="15"/>
  <c r="N174" i="15" s="1"/>
  <c r="J174" i="15"/>
  <c r="M174" i="15" s="1"/>
  <c r="G174" i="15"/>
  <c r="L173" i="15"/>
  <c r="K173" i="15"/>
  <c r="O173" i="15" s="1"/>
  <c r="J173" i="15"/>
  <c r="M173" i="15" s="1"/>
  <c r="G173" i="15"/>
  <c r="L172" i="15"/>
  <c r="K172" i="15"/>
  <c r="O172" i="15" s="1"/>
  <c r="J172" i="15"/>
  <c r="M172" i="15" s="1"/>
  <c r="G172" i="15"/>
  <c r="L171" i="15"/>
  <c r="K171" i="15"/>
  <c r="N171" i="15" s="1"/>
  <c r="J171" i="15"/>
  <c r="M171" i="15" s="1"/>
  <c r="G171" i="15"/>
  <c r="L170" i="15"/>
  <c r="K170" i="15"/>
  <c r="N170" i="15" s="1"/>
  <c r="J170" i="15"/>
  <c r="M170" i="15" s="1"/>
  <c r="G170" i="15"/>
  <c r="L169" i="15"/>
  <c r="K169" i="15"/>
  <c r="O169" i="15" s="1"/>
  <c r="J169" i="15"/>
  <c r="M169" i="15" s="1"/>
  <c r="G169" i="15"/>
  <c r="L168" i="15"/>
  <c r="K168" i="15"/>
  <c r="O168" i="15" s="1"/>
  <c r="J168" i="15"/>
  <c r="M168" i="15" s="1"/>
  <c r="G168" i="15"/>
  <c r="L167" i="15"/>
  <c r="K167" i="15"/>
  <c r="J167" i="15"/>
  <c r="M167" i="15" s="1"/>
  <c r="G167" i="15"/>
  <c r="L166" i="15"/>
  <c r="K166" i="15"/>
  <c r="N166" i="15" s="1"/>
  <c r="J166" i="15"/>
  <c r="M166" i="15" s="1"/>
  <c r="G166" i="15"/>
  <c r="L165" i="15"/>
  <c r="K165" i="15"/>
  <c r="O165" i="15" s="1"/>
  <c r="J165" i="15"/>
  <c r="M165" i="15" s="1"/>
  <c r="G165" i="15"/>
  <c r="L164" i="15"/>
  <c r="K164" i="15"/>
  <c r="O164" i="15" s="1"/>
  <c r="J164" i="15"/>
  <c r="M164" i="15" s="1"/>
  <c r="G164" i="15"/>
  <c r="L163" i="15"/>
  <c r="K163" i="15"/>
  <c r="O163" i="15" s="1"/>
  <c r="J163" i="15"/>
  <c r="M163" i="15" s="1"/>
  <c r="G163" i="15"/>
  <c r="L162" i="15"/>
  <c r="K162" i="15"/>
  <c r="N162" i="15" s="1"/>
  <c r="J162" i="15"/>
  <c r="M162" i="15" s="1"/>
  <c r="G162" i="15"/>
  <c r="L161" i="15"/>
  <c r="K161" i="15"/>
  <c r="N161" i="15" s="1"/>
  <c r="J161" i="15"/>
  <c r="M161" i="15" s="1"/>
  <c r="G161" i="15"/>
  <c r="L160" i="15"/>
  <c r="K160" i="15"/>
  <c r="O160" i="15" s="1"/>
  <c r="J160" i="15"/>
  <c r="M160" i="15" s="1"/>
  <c r="G160" i="15"/>
  <c r="L159" i="15"/>
  <c r="K159" i="15"/>
  <c r="N159" i="15" s="1"/>
  <c r="J159" i="15"/>
  <c r="M159" i="15" s="1"/>
  <c r="G159" i="15"/>
  <c r="L158" i="15"/>
  <c r="K158" i="15"/>
  <c r="O158" i="15" s="1"/>
  <c r="J158" i="15"/>
  <c r="M158" i="15" s="1"/>
  <c r="G158" i="15"/>
  <c r="L157" i="15"/>
  <c r="K157" i="15"/>
  <c r="O157" i="15" s="1"/>
  <c r="J157" i="15"/>
  <c r="M157" i="15" s="1"/>
  <c r="G157" i="15"/>
  <c r="L156" i="15"/>
  <c r="K156" i="15"/>
  <c r="O156" i="15" s="1"/>
  <c r="J156" i="15"/>
  <c r="M156" i="15" s="1"/>
  <c r="G156" i="15"/>
  <c r="L155" i="15"/>
  <c r="K155" i="15"/>
  <c r="J155" i="15"/>
  <c r="M155" i="15" s="1"/>
  <c r="G155" i="15"/>
  <c r="L154" i="15"/>
  <c r="K154" i="15"/>
  <c r="N154" i="15" s="1"/>
  <c r="J154" i="15"/>
  <c r="M154" i="15" s="1"/>
  <c r="G154" i="15"/>
  <c r="L153" i="15"/>
  <c r="K153" i="15"/>
  <c r="O153" i="15" s="1"/>
  <c r="J153" i="15"/>
  <c r="M153" i="15" s="1"/>
  <c r="G153" i="15"/>
  <c r="L152" i="15"/>
  <c r="K152" i="15"/>
  <c r="O152" i="15" s="1"/>
  <c r="J152" i="15"/>
  <c r="M152" i="15" s="1"/>
  <c r="G152" i="15"/>
  <c r="L151" i="15"/>
  <c r="K151" i="15"/>
  <c r="O151" i="15" s="1"/>
  <c r="J151" i="15"/>
  <c r="M151" i="15" s="1"/>
  <c r="G151" i="15"/>
  <c r="L150" i="15"/>
  <c r="K150" i="15"/>
  <c r="N150" i="15" s="1"/>
  <c r="J150" i="15"/>
  <c r="M150" i="15" s="1"/>
  <c r="G150" i="15"/>
  <c r="L149" i="15"/>
  <c r="K149" i="15"/>
  <c r="N149" i="15" s="1"/>
  <c r="J149" i="15"/>
  <c r="M149" i="15" s="1"/>
  <c r="G149" i="15"/>
  <c r="L148" i="15"/>
  <c r="K148" i="15"/>
  <c r="O148" i="15" s="1"/>
  <c r="J148" i="15"/>
  <c r="M148" i="15" s="1"/>
  <c r="G148" i="15"/>
  <c r="L147" i="15"/>
  <c r="K147" i="15"/>
  <c r="O147" i="15" s="1"/>
  <c r="J147" i="15"/>
  <c r="M147" i="15" s="1"/>
  <c r="G147" i="15"/>
  <c r="L146" i="15"/>
  <c r="K146" i="15"/>
  <c r="O146" i="15" s="1"/>
  <c r="J146" i="15"/>
  <c r="M146" i="15" s="1"/>
  <c r="G146" i="15"/>
  <c r="L145" i="15"/>
  <c r="K145" i="15"/>
  <c r="O145" i="15" s="1"/>
  <c r="J145" i="15"/>
  <c r="M145" i="15" s="1"/>
  <c r="G145" i="15"/>
  <c r="L144" i="15"/>
  <c r="K144" i="15"/>
  <c r="O144" i="15" s="1"/>
  <c r="J144" i="15"/>
  <c r="M144" i="15" s="1"/>
  <c r="G144" i="15"/>
  <c r="L143" i="15"/>
  <c r="K143" i="15"/>
  <c r="J143" i="15"/>
  <c r="M143" i="15" s="1"/>
  <c r="G143" i="15"/>
  <c r="L142" i="15"/>
  <c r="K142" i="15"/>
  <c r="N142" i="15" s="1"/>
  <c r="J142" i="15"/>
  <c r="M142" i="15" s="1"/>
  <c r="G142" i="15"/>
  <c r="L141" i="15"/>
  <c r="K141" i="15"/>
  <c r="O141" i="15" s="1"/>
  <c r="J141" i="15"/>
  <c r="M141" i="15" s="1"/>
  <c r="G141" i="15"/>
  <c r="L140" i="15"/>
  <c r="K140" i="15"/>
  <c r="O140" i="15" s="1"/>
  <c r="J140" i="15"/>
  <c r="M140" i="15" s="1"/>
  <c r="G140" i="15"/>
  <c r="L139" i="15"/>
  <c r="K139" i="15"/>
  <c r="O139" i="15" s="1"/>
  <c r="J139" i="15"/>
  <c r="M139" i="15" s="1"/>
  <c r="G139" i="15"/>
  <c r="L138" i="15"/>
  <c r="K138" i="15"/>
  <c r="N138" i="15" s="1"/>
  <c r="J138" i="15"/>
  <c r="M138" i="15" s="1"/>
  <c r="G138" i="15"/>
  <c r="L137" i="15"/>
  <c r="K137" i="15"/>
  <c r="N137" i="15" s="1"/>
  <c r="J137" i="15"/>
  <c r="M137" i="15" s="1"/>
  <c r="G137" i="15"/>
  <c r="L136" i="15"/>
  <c r="K136" i="15"/>
  <c r="O136" i="15" s="1"/>
  <c r="J136" i="15"/>
  <c r="M136" i="15" s="1"/>
  <c r="G136" i="15"/>
  <c r="L135" i="15"/>
  <c r="K135" i="15"/>
  <c r="O135" i="15" s="1"/>
  <c r="J135" i="15"/>
  <c r="M135" i="15" s="1"/>
  <c r="G135" i="15"/>
  <c r="L134" i="15"/>
  <c r="K134" i="15"/>
  <c r="N134" i="15" s="1"/>
  <c r="J134" i="15"/>
  <c r="M134" i="15" s="1"/>
  <c r="G134" i="15"/>
  <c r="L133" i="15"/>
  <c r="K133" i="15"/>
  <c r="O133" i="15" s="1"/>
  <c r="J133" i="15"/>
  <c r="M133" i="15" s="1"/>
  <c r="G133" i="15"/>
  <c r="L132" i="15"/>
  <c r="K132" i="15"/>
  <c r="O132" i="15" s="1"/>
  <c r="J132" i="15"/>
  <c r="M132" i="15" s="1"/>
  <c r="G132" i="15"/>
  <c r="L131" i="15"/>
  <c r="K131" i="15"/>
  <c r="J131" i="15"/>
  <c r="M131" i="15" s="1"/>
  <c r="G131" i="15"/>
  <c r="L130" i="15"/>
  <c r="K130" i="15"/>
  <c r="N130" i="15" s="1"/>
  <c r="J130" i="15"/>
  <c r="M130" i="15" s="1"/>
  <c r="G130" i="15"/>
  <c r="L129" i="15"/>
  <c r="K129" i="15"/>
  <c r="O129" i="15" s="1"/>
  <c r="J129" i="15"/>
  <c r="M129" i="15" s="1"/>
  <c r="G129" i="15"/>
  <c r="L128" i="15"/>
  <c r="K128" i="15"/>
  <c r="O128" i="15" s="1"/>
  <c r="J128" i="15"/>
  <c r="M128" i="15" s="1"/>
  <c r="G128" i="15"/>
  <c r="L127" i="15"/>
  <c r="K127" i="15"/>
  <c r="O127" i="15" s="1"/>
  <c r="J127" i="15"/>
  <c r="M127" i="15" s="1"/>
  <c r="G127" i="15"/>
  <c r="L126" i="15"/>
  <c r="K126" i="15"/>
  <c r="N126" i="15" s="1"/>
  <c r="J126" i="15"/>
  <c r="M126" i="15" s="1"/>
  <c r="G126" i="15"/>
  <c r="L125" i="15"/>
  <c r="K125" i="15"/>
  <c r="O125" i="15" s="1"/>
  <c r="J125" i="15"/>
  <c r="M125" i="15" s="1"/>
  <c r="G125" i="15"/>
  <c r="L124" i="15"/>
  <c r="K124" i="15"/>
  <c r="O124" i="15" s="1"/>
  <c r="J124" i="15"/>
  <c r="M124" i="15" s="1"/>
  <c r="G124" i="15"/>
  <c r="L123" i="15"/>
  <c r="K123" i="15"/>
  <c r="O123" i="15" s="1"/>
  <c r="J123" i="15"/>
  <c r="M123" i="15" s="1"/>
  <c r="G123" i="15"/>
  <c r="L122" i="15"/>
  <c r="K122" i="15"/>
  <c r="O122" i="15" s="1"/>
  <c r="J122" i="15"/>
  <c r="M122" i="15" s="1"/>
  <c r="G122" i="15"/>
  <c r="L121" i="15"/>
  <c r="K121" i="15"/>
  <c r="O121" i="15" s="1"/>
  <c r="J121" i="15"/>
  <c r="M121" i="15" s="1"/>
  <c r="G121" i="15"/>
  <c r="L120" i="15"/>
  <c r="K120" i="15"/>
  <c r="N120" i="15" s="1"/>
  <c r="J120" i="15"/>
  <c r="M120" i="15" s="1"/>
  <c r="G120" i="15"/>
  <c r="L119" i="15"/>
  <c r="K119" i="15"/>
  <c r="J119" i="15"/>
  <c r="M119" i="15" s="1"/>
  <c r="G119" i="15"/>
  <c r="L118" i="15"/>
  <c r="K118" i="15"/>
  <c r="N118" i="15" s="1"/>
  <c r="J118" i="15"/>
  <c r="M118" i="15" s="1"/>
  <c r="G118" i="15"/>
  <c r="L117" i="15"/>
  <c r="K117" i="15"/>
  <c r="O117" i="15" s="1"/>
  <c r="J117" i="15"/>
  <c r="M117" i="15" s="1"/>
  <c r="G117" i="15"/>
  <c r="L116" i="15"/>
  <c r="K116" i="15"/>
  <c r="O116" i="15" s="1"/>
  <c r="J116" i="15"/>
  <c r="M116" i="15" s="1"/>
  <c r="G116" i="15"/>
  <c r="L115" i="15"/>
  <c r="K115" i="15"/>
  <c r="O115" i="15" s="1"/>
  <c r="J115" i="15"/>
  <c r="M115" i="15" s="1"/>
  <c r="G115" i="15"/>
  <c r="L114" i="15"/>
  <c r="K114" i="15"/>
  <c r="N114" i="15" s="1"/>
  <c r="J114" i="15"/>
  <c r="M114" i="15" s="1"/>
  <c r="G114" i="15"/>
  <c r="L113" i="15"/>
  <c r="K113" i="15"/>
  <c r="O113" i="15" s="1"/>
  <c r="J113" i="15"/>
  <c r="M113" i="15" s="1"/>
  <c r="G113" i="15"/>
  <c r="L112" i="15"/>
  <c r="K112" i="15"/>
  <c r="O112" i="15" s="1"/>
  <c r="J112" i="15"/>
  <c r="M112" i="15" s="1"/>
  <c r="G112" i="15"/>
  <c r="L111" i="15"/>
  <c r="K111" i="15"/>
  <c r="O111" i="15" s="1"/>
  <c r="J111" i="15"/>
  <c r="M111" i="15" s="1"/>
  <c r="G111" i="15"/>
  <c r="L110" i="15"/>
  <c r="K110" i="15"/>
  <c r="O110" i="15" s="1"/>
  <c r="J110" i="15"/>
  <c r="M110" i="15" s="1"/>
  <c r="G110" i="15"/>
  <c r="L109" i="15"/>
  <c r="K109" i="15"/>
  <c r="O109" i="15" s="1"/>
  <c r="J109" i="15"/>
  <c r="M109" i="15" s="1"/>
  <c r="G109" i="15"/>
  <c r="L108" i="15"/>
  <c r="K108" i="15"/>
  <c r="O108" i="15" s="1"/>
  <c r="J108" i="15"/>
  <c r="M108" i="15" s="1"/>
  <c r="G108" i="15"/>
  <c r="L107" i="15"/>
  <c r="K107" i="15"/>
  <c r="O107" i="15" s="1"/>
  <c r="J107" i="15"/>
  <c r="M107" i="15" s="1"/>
  <c r="G107" i="15"/>
  <c r="L106" i="15"/>
  <c r="K106" i="15"/>
  <c r="N106" i="15" s="1"/>
  <c r="J106" i="15"/>
  <c r="M106" i="15" s="1"/>
  <c r="G106" i="15"/>
  <c r="L105" i="15"/>
  <c r="K105" i="15"/>
  <c r="O105" i="15" s="1"/>
  <c r="J105" i="15"/>
  <c r="M105" i="15" s="1"/>
  <c r="G105" i="15"/>
  <c r="L104" i="15"/>
  <c r="K104" i="15"/>
  <c r="O104" i="15" s="1"/>
  <c r="J104" i="15"/>
  <c r="M104" i="15" s="1"/>
  <c r="G104" i="15"/>
  <c r="L103" i="15"/>
  <c r="K103" i="15"/>
  <c r="N103" i="15" s="1"/>
  <c r="J103" i="15"/>
  <c r="M103" i="15" s="1"/>
  <c r="G103" i="15"/>
  <c r="L102" i="15"/>
  <c r="K102" i="15"/>
  <c r="O102" i="15" s="1"/>
  <c r="J102" i="15"/>
  <c r="M102" i="15" s="1"/>
  <c r="G102" i="15"/>
  <c r="L101" i="15"/>
  <c r="K101" i="15"/>
  <c r="O101" i="15" s="1"/>
  <c r="J101" i="15"/>
  <c r="M101" i="15" s="1"/>
  <c r="G101" i="15"/>
  <c r="L100" i="15"/>
  <c r="K100" i="15"/>
  <c r="O100" i="15" s="1"/>
  <c r="J100" i="15"/>
  <c r="M100" i="15" s="1"/>
  <c r="G100" i="15"/>
  <c r="L99" i="15"/>
  <c r="K99" i="15"/>
  <c r="O99" i="15" s="1"/>
  <c r="J99" i="15"/>
  <c r="M99" i="15" s="1"/>
  <c r="G99" i="15"/>
  <c r="L98" i="15"/>
  <c r="K98" i="15"/>
  <c r="O98" i="15" s="1"/>
  <c r="J98" i="15"/>
  <c r="M98" i="15" s="1"/>
  <c r="G98" i="15"/>
  <c r="L97" i="15"/>
  <c r="K97" i="15"/>
  <c r="O97" i="15" s="1"/>
  <c r="J97" i="15"/>
  <c r="M97" i="15" s="1"/>
  <c r="G97" i="15"/>
  <c r="L96" i="15"/>
  <c r="K96" i="15"/>
  <c r="O96" i="15" s="1"/>
  <c r="J96" i="15"/>
  <c r="M96" i="15" s="1"/>
  <c r="G96" i="15"/>
  <c r="L95" i="15"/>
  <c r="K95" i="15"/>
  <c r="N95" i="15" s="1"/>
  <c r="J95" i="15"/>
  <c r="M95" i="15" s="1"/>
  <c r="G95" i="15"/>
  <c r="L94" i="15"/>
  <c r="K94" i="15"/>
  <c r="O94" i="15" s="1"/>
  <c r="J94" i="15"/>
  <c r="M94" i="15" s="1"/>
  <c r="G94" i="15"/>
  <c r="L93" i="15"/>
  <c r="K93" i="15"/>
  <c r="O93" i="15" s="1"/>
  <c r="J93" i="15"/>
  <c r="M93" i="15" s="1"/>
  <c r="G93" i="15"/>
  <c r="L92" i="15"/>
  <c r="K92" i="15"/>
  <c r="O92" i="15" s="1"/>
  <c r="J92" i="15"/>
  <c r="M92" i="15" s="1"/>
  <c r="G92" i="15"/>
  <c r="L91" i="15"/>
  <c r="K91" i="15"/>
  <c r="N91" i="15" s="1"/>
  <c r="J91" i="15"/>
  <c r="M91" i="15" s="1"/>
  <c r="G91" i="15"/>
  <c r="L90" i="15"/>
  <c r="K90" i="15"/>
  <c r="O90" i="15" s="1"/>
  <c r="J90" i="15"/>
  <c r="M90" i="15" s="1"/>
  <c r="G90" i="15"/>
  <c r="L89" i="15"/>
  <c r="K89" i="15"/>
  <c r="O89" i="15" s="1"/>
  <c r="J89" i="15"/>
  <c r="M89" i="15" s="1"/>
  <c r="G89" i="15"/>
  <c r="L88" i="15"/>
  <c r="K88" i="15"/>
  <c r="O88" i="15" s="1"/>
  <c r="J88" i="15"/>
  <c r="M88" i="15" s="1"/>
  <c r="G88" i="15"/>
  <c r="L87" i="15"/>
  <c r="K87" i="15"/>
  <c r="O87" i="15" s="1"/>
  <c r="J87" i="15"/>
  <c r="M87" i="15" s="1"/>
  <c r="G87" i="15"/>
  <c r="L86" i="15"/>
  <c r="K86" i="15"/>
  <c r="O86" i="15" s="1"/>
  <c r="J86" i="15"/>
  <c r="M86" i="15" s="1"/>
  <c r="G86" i="15"/>
  <c r="L85" i="15"/>
  <c r="K85" i="15"/>
  <c r="N85" i="15" s="1"/>
  <c r="J85" i="15"/>
  <c r="M85" i="15" s="1"/>
  <c r="G85" i="15"/>
  <c r="L84" i="15"/>
  <c r="K84" i="15"/>
  <c r="O84" i="15" s="1"/>
  <c r="J84" i="15"/>
  <c r="M84" i="15" s="1"/>
  <c r="G84" i="15"/>
  <c r="L83" i="15"/>
  <c r="K83" i="15"/>
  <c r="N83" i="15" s="1"/>
  <c r="J83" i="15"/>
  <c r="M83" i="15" s="1"/>
  <c r="G83" i="15"/>
  <c r="L82" i="15"/>
  <c r="K82" i="15"/>
  <c r="O82" i="15" s="1"/>
  <c r="J82" i="15"/>
  <c r="M82" i="15" s="1"/>
  <c r="G82" i="15"/>
  <c r="L81" i="15"/>
  <c r="K81" i="15"/>
  <c r="O81" i="15" s="1"/>
  <c r="J81" i="15"/>
  <c r="M81" i="15" s="1"/>
  <c r="G81" i="15"/>
  <c r="L80" i="15"/>
  <c r="K80" i="15"/>
  <c r="N80" i="15" s="1"/>
  <c r="J80" i="15"/>
  <c r="M80" i="15" s="1"/>
  <c r="G80" i="15"/>
  <c r="L79" i="15"/>
  <c r="K79" i="15"/>
  <c r="N79" i="15" s="1"/>
  <c r="J79" i="15"/>
  <c r="M79" i="15" s="1"/>
  <c r="G79" i="15"/>
  <c r="L78" i="15"/>
  <c r="K78" i="15"/>
  <c r="N78" i="15" s="1"/>
  <c r="J78" i="15"/>
  <c r="M78" i="15" s="1"/>
  <c r="G78" i="15"/>
  <c r="L77" i="15"/>
  <c r="K77" i="15"/>
  <c r="O77" i="15" s="1"/>
  <c r="J77" i="15"/>
  <c r="M77" i="15" s="1"/>
  <c r="G77" i="15"/>
  <c r="L76" i="15"/>
  <c r="K76" i="15"/>
  <c r="O76" i="15" s="1"/>
  <c r="J76" i="15"/>
  <c r="M76" i="15" s="1"/>
  <c r="G76" i="15"/>
  <c r="L75" i="15"/>
  <c r="K75" i="15"/>
  <c r="O75" i="15" s="1"/>
  <c r="J75" i="15"/>
  <c r="M75" i="15" s="1"/>
  <c r="G75" i="15"/>
  <c r="L74" i="15"/>
  <c r="K74" i="15"/>
  <c r="O74" i="15" s="1"/>
  <c r="J74" i="15"/>
  <c r="M74" i="15" s="1"/>
  <c r="G74" i="15"/>
  <c r="L73" i="15"/>
  <c r="K73" i="15"/>
  <c r="O73" i="15" s="1"/>
  <c r="J73" i="15"/>
  <c r="M73" i="15" s="1"/>
  <c r="G73" i="15"/>
  <c r="L72" i="15"/>
  <c r="K72" i="15"/>
  <c r="O72" i="15" s="1"/>
  <c r="J72" i="15"/>
  <c r="M72" i="15" s="1"/>
  <c r="G72" i="15"/>
  <c r="L71" i="15"/>
  <c r="K71" i="15"/>
  <c r="N71" i="15" s="1"/>
  <c r="J71" i="15"/>
  <c r="M71" i="15" s="1"/>
  <c r="G71" i="15"/>
  <c r="L70" i="15"/>
  <c r="K70" i="15"/>
  <c r="O70" i="15" s="1"/>
  <c r="J70" i="15"/>
  <c r="M70" i="15" s="1"/>
  <c r="G70" i="15"/>
  <c r="L69" i="15"/>
  <c r="K69" i="15"/>
  <c r="O69" i="15" s="1"/>
  <c r="J69" i="15"/>
  <c r="M69" i="15" s="1"/>
  <c r="G69" i="15"/>
  <c r="L68" i="15"/>
  <c r="K68" i="15"/>
  <c r="O68" i="15" s="1"/>
  <c r="J68" i="15"/>
  <c r="M68" i="15" s="1"/>
  <c r="G68" i="15"/>
  <c r="G67" i="15"/>
  <c r="L66" i="15"/>
  <c r="K66" i="15"/>
  <c r="O66" i="15" s="1"/>
  <c r="J66" i="15"/>
  <c r="M66" i="15" s="1"/>
  <c r="G66" i="15"/>
  <c r="L65" i="15"/>
  <c r="K65" i="15"/>
  <c r="N65" i="15" s="1"/>
  <c r="J65" i="15"/>
  <c r="M65" i="15" s="1"/>
  <c r="G65" i="15"/>
  <c r="L64" i="15"/>
  <c r="K64" i="15"/>
  <c r="O64" i="15" s="1"/>
  <c r="J64" i="15"/>
  <c r="M64" i="15" s="1"/>
  <c r="G64" i="15"/>
  <c r="L63" i="15"/>
  <c r="K63" i="15"/>
  <c r="O63" i="15" s="1"/>
  <c r="J63" i="15"/>
  <c r="M63" i="15" s="1"/>
  <c r="G63" i="15"/>
  <c r="L62" i="15"/>
  <c r="K62" i="15"/>
  <c r="N62" i="15" s="1"/>
  <c r="J62" i="15"/>
  <c r="M62" i="15" s="1"/>
  <c r="G62" i="15"/>
  <c r="L61" i="15"/>
  <c r="K61" i="15"/>
  <c r="N61" i="15" s="1"/>
  <c r="J61" i="15"/>
  <c r="M61" i="15" s="1"/>
  <c r="G61" i="15"/>
  <c r="L60" i="15"/>
  <c r="K60" i="15"/>
  <c r="N60" i="15" s="1"/>
  <c r="J60" i="15"/>
  <c r="M60" i="15" s="1"/>
  <c r="G60" i="15"/>
  <c r="L59" i="15"/>
  <c r="K59" i="15"/>
  <c r="O59" i="15" s="1"/>
  <c r="J59" i="15"/>
  <c r="M59" i="15" s="1"/>
  <c r="G59" i="15"/>
  <c r="G58" i="15"/>
  <c r="L57" i="15"/>
  <c r="K57" i="15"/>
  <c r="O57" i="15" s="1"/>
  <c r="J57" i="15"/>
  <c r="M57" i="15" s="1"/>
  <c r="G57" i="15"/>
  <c r="L56" i="15"/>
  <c r="K56" i="15"/>
  <c r="O56" i="15" s="1"/>
  <c r="J56" i="15"/>
  <c r="M56" i="15" s="1"/>
  <c r="G56" i="15"/>
  <c r="L55" i="15"/>
  <c r="K55" i="15"/>
  <c r="N55" i="15" s="1"/>
  <c r="J55" i="15"/>
  <c r="M55" i="15" s="1"/>
  <c r="G55" i="15"/>
  <c r="L54" i="15"/>
  <c r="K54" i="15"/>
  <c r="N54" i="15" s="1"/>
  <c r="J54" i="15"/>
  <c r="M54" i="15" s="1"/>
  <c r="G54" i="15"/>
  <c r="L53" i="15"/>
  <c r="K53" i="15"/>
  <c r="O53" i="15" s="1"/>
  <c r="J53" i="15"/>
  <c r="M53" i="15" s="1"/>
  <c r="G53" i="15"/>
  <c r="L52" i="15"/>
  <c r="K52" i="15"/>
  <c r="O52" i="15" s="1"/>
  <c r="J52" i="15"/>
  <c r="M52" i="15" s="1"/>
  <c r="G52" i="15"/>
  <c r="L51" i="15"/>
  <c r="K51" i="15"/>
  <c r="O51" i="15" s="1"/>
  <c r="J51" i="15"/>
  <c r="M51" i="15" s="1"/>
  <c r="G51" i="15"/>
  <c r="L50" i="15"/>
  <c r="K50" i="15"/>
  <c r="O50" i="15" s="1"/>
  <c r="J50" i="15"/>
  <c r="M50" i="15" s="1"/>
  <c r="G50" i="15"/>
  <c r="L49" i="15"/>
  <c r="K49" i="15"/>
  <c r="N49" i="15" s="1"/>
  <c r="J49" i="15"/>
  <c r="M49" i="15" s="1"/>
  <c r="G49" i="15"/>
  <c r="L48" i="15"/>
  <c r="K48" i="15"/>
  <c r="O48" i="15" s="1"/>
  <c r="J48" i="15"/>
  <c r="M48" i="15" s="1"/>
  <c r="G48" i="15"/>
  <c r="G47" i="15"/>
  <c r="L46" i="15"/>
  <c r="K46" i="15"/>
  <c r="O46" i="15" s="1"/>
  <c r="J46" i="15"/>
  <c r="M46" i="15" s="1"/>
  <c r="G46" i="15"/>
  <c r="L45" i="15"/>
  <c r="K45" i="15"/>
  <c r="O45" i="15" s="1"/>
  <c r="J45" i="15"/>
  <c r="M45" i="15" s="1"/>
  <c r="G45" i="15"/>
  <c r="L44" i="15"/>
  <c r="K44" i="15"/>
  <c r="O44" i="15" s="1"/>
  <c r="J44" i="15"/>
  <c r="M44" i="15" s="1"/>
  <c r="G44" i="15"/>
  <c r="L43" i="15"/>
  <c r="K43" i="15"/>
  <c r="O43" i="15" s="1"/>
  <c r="J43" i="15"/>
  <c r="M43" i="15" s="1"/>
  <c r="G43" i="15"/>
  <c r="L42" i="15"/>
  <c r="K42" i="15"/>
  <c r="O42" i="15" s="1"/>
  <c r="J42" i="15"/>
  <c r="M42" i="15" s="1"/>
  <c r="G42" i="15"/>
  <c r="L41" i="15"/>
  <c r="K41" i="15"/>
  <c r="N41" i="15" s="1"/>
  <c r="J41" i="15"/>
  <c r="M41" i="15" s="1"/>
  <c r="G41" i="15"/>
  <c r="G40" i="15"/>
  <c r="L39" i="15"/>
  <c r="K39" i="15"/>
  <c r="O39" i="15" s="1"/>
  <c r="J39" i="15"/>
  <c r="M39" i="15" s="1"/>
  <c r="G39" i="15"/>
  <c r="G38" i="15"/>
  <c r="G37" i="15"/>
  <c r="L36" i="15"/>
  <c r="K36" i="15"/>
  <c r="O36" i="15" s="1"/>
  <c r="J36" i="15"/>
  <c r="M36" i="15" s="1"/>
  <c r="G36" i="15"/>
  <c r="L35" i="15"/>
  <c r="K35" i="15"/>
  <c r="N35" i="15" s="1"/>
  <c r="J35" i="15"/>
  <c r="M35" i="15" s="1"/>
  <c r="G35" i="15"/>
  <c r="L34" i="15"/>
  <c r="K34" i="15"/>
  <c r="O34" i="15" s="1"/>
  <c r="J34" i="15"/>
  <c r="M34" i="15" s="1"/>
  <c r="G34" i="15"/>
  <c r="L33" i="15"/>
  <c r="K33" i="15"/>
  <c r="N33" i="15" s="1"/>
  <c r="J33" i="15"/>
  <c r="M33" i="15" s="1"/>
  <c r="G33" i="15"/>
  <c r="G32" i="15"/>
  <c r="G31" i="15"/>
  <c r="L30" i="15"/>
  <c r="K30" i="15"/>
  <c r="O30" i="15" s="1"/>
  <c r="J30" i="15"/>
  <c r="M30" i="15" s="1"/>
  <c r="G30" i="15"/>
  <c r="L29" i="15"/>
  <c r="K29" i="15"/>
  <c r="O29" i="15" s="1"/>
  <c r="J29" i="15"/>
  <c r="M29" i="15" s="1"/>
  <c r="G29" i="15"/>
  <c r="L28" i="15"/>
  <c r="K28" i="15"/>
  <c r="O28" i="15" s="1"/>
  <c r="J28" i="15"/>
  <c r="M28" i="15" s="1"/>
  <c r="G28" i="15"/>
  <c r="L27" i="15"/>
  <c r="K27" i="15"/>
  <c r="O27" i="15" s="1"/>
  <c r="J27" i="15"/>
  <c r="M27" i="15" s="1"/>
  <c r="G27" i="15"/>
  <c r="L26" i="15"/>
  <c r="K26" i="15"/>
  <c r="O26" i="15" s="1"/>
  <c r="J26" i="15"/>
  <c r="M26" i="15" s="1"/>
  <c r="G26" i="15"/>
  <c r="L25" i="15"/>
  <c r="K25" i="15"/>
  <c r="O25" i="15" s="1"/>
  <c r="J25" i="15"/>
  <c r="M25" i="15" s="1"/>
  <c r="G25" i="15"/>
  <c r="L24" i="15"/>
  <c r="K24" i="15"/>
  <c r="O24" i="15" s="1"/>
  <c r="J24" i="15"/>
  <c r="M24" i="15" s="1"/>
  <c r="G24" i="15"/>
  <c r="G23" i="15"/>
  <c r="L22" i="15"/>
  <c r="K22" i="15"/>
  <c r="O22" i="15" s="1"/>
  <c r="J22" i="15"/>
  <c r="M22" i="15" s="1"/>
  <c r="G22" i="15"/>
  <c r="G21" i="15"/>
  <c r="G20" i="15"/>
  <c r="G19" i="15"/>
  <c r="L18" i="15"/>
  <c r="K18" i="15"/>
  <c r="O18" i="15" s="1"/>
  <c r="J18" i="15"/>
  <c r="M18" i="15" s="1"/>
  <c r="G18" i="15"/>
  <c r="G17" i="15"/>
  <c r="G16" i="15"/>
  <c r="G15" i="15"/>
  <c r="G14" i="15"/>
  <c r="G13" i="15"/>
  <c r="G12" i="15"/>
  <c r="L11" i="15"/>
  <c r="K11" i="15"/>
  <c r="N11" i="15" s="1"/>
  <c r="J11" i="15"/>
  <c r="M11" i="15" s="1"/>
  <c r="G11" i="15"/>
  <c r="G10" i="15"/>
  <c r="G9" i="15"/>
  <c r="G8" i="15"/>
  <c r="G7" i="15"/>
  <c r="G6" i="15"/>
  <c r="G5" i="15"/>
  <c r="G4" i="15"/>
  <c r="G612" i="7"/>
  <c r="G611" i="7"/>
  <c r="G610" i="7"/>
  <c r="G609" i="7"/>
  <c r="G608" i="7"/>
  <c r="K4" i="14"/>
  <c r="E8" i="14"/>
  <c r="G7" i="14"/>
  <c r="E7" i="14"/>
  <c r="N24" i="14"/>
  <c r="J24" i="14"/>
  <c r="D24" i="14"/>
  <c r="E24" i="14" s="1"/>
  <c r="T6" i="14"/>
  <c r="R6" i="14"/>
  <c r="O6" i="14"/>
  <c r="K6" i="14"/>
  <c r="G6" i="14"/>
  <c r="E6" i="14"/>
  <c r="T5" i="14"/>
  <c r="R5" i="14"/>
  <c r="K5" i="14"/>
  <c r="G5" i="14"/>
  <c r="E5" i="14"/>
  <c r="T4" i="14"/>
  <c r="R4" i="14"/>
  <c r="G4" i="14"/>
  <c r="E4" i="14"/>
  <c r="T3" i="14"/>
  <c r="G614" i="7"/>
  <c r="G613" i="7"/>
  <c r="G616" i="7"/>
  <c r="G619" i="7"/>
  <c r="G618" i="7"/>
  <c r="G617" i="7"/>
  <c r="G615" i="7"/>
  <c r="G623" i="7"/>
  <c r="G622" i="7"/>
  <c r="G621" i="7"/>
  <c r="G620" i="7"/>
  <c r="T24" i="14" l="1"/>
  <c r="O22" i="14"/>
  <c r="M22" i="14"/>
  <c r="U22" i="14"/>
  <c r="I24" i="14"/>
  <c r="K24" i="14"/>
  <c r="V19" i="14"/>
  <c r="T22" i="14"/>
  <c r="V18" i="14"/>
  <c r="V17" i="14"/>
  <c r="O24" i="14"/>
  <c r="M24" i="14"/>
  <c r="U24" i="14"/>
  <c r="M2" i="7"/>
  <c r="V16" i="14"/>
  <c r="V15" i="14"/>
  <c r="V14" i="14"/>
  <c r="V13" i="14"/>
  <c r="N52" i="15"/>
  <c r="O381" i="15"/>
  <c r="N340" i="15"/>
  <c r="U7" i="14"/>
  <c r="V12" i="14"/>
  <c r="V11" i="14"/>
  <c r="V10" i="14"/>
  <c r="V9" i="14"/>
  <c r="N97" i="15"/>
  <c r="N233" i="15"/>
  <c r="N281" i="15"/>
  <c r="N374" i="15"/>
  <c r="N232" i="15"/>
  <c r="O65" i="15"/>
  <c r="O353" i="15"/>
  <c r="N388" i="15"/>
  <c r="N139" i="15"/>
  <c r="O310" i="15"/>
  <c r="O134" i="15"/>
  <c r="O175" i="15"/>
  <c r="O367" i="15"/>
  <c r="O211" i="15"/>
  <c r="N276" i="15"/>
  <c r="O397" i="15"/>
  <c r="N160" i="15"/>
  <c r="N345" i="15"/>
  <c r="O54" i="15"/>
  <c r="N169" i="15"/>
  <c r="O180" i="15"/>
  <c r="N369" i="15"/>
  <c r="N99" i="15"/>
  <c r="O195" i="15"/>
  <c r="O197" i="15"/>
  <c r="O55" i="15"/>
  <c r="N74" i="15"/>
  <c r="N121" i="15"/>
  <c r="O159" i="15"/>
  <c r="N192" i="15"/>
  <c r="O226" i="15"/>
  <c r="O273" i="15"/>
  <c r="N319" i="15"/>
  <c r="N395" i="15"/>
  <c r="N187" i="15"/>
  <c r="O221" i="15"/>
  <c r="O60" i="15"/>
  <c r="N237" i="15"/>
  <c r="N112" i="15"/>
  <c r="O149" i="15"/>
  <c r="N185" i="15"/>
  <c r="O219" i="15"/>
  <c r="O269" i="15"/>
  <c r="N360" i="15"/>
  <c r="N376" i="15"/>
  <c r="N27" i="15"/>
  <c r="O49" i="15"/>
  <c r="N230" i="15"/>
  <c r="N235" i="15"/>
  <c r="O346" i="15"/>
  <c r="N379" i="15"/>
  <c r="N428" i="15"/>
  <c r="N107" i="15"/>
  <c r="O130" i="15"/>
  <c r="O264" i="15"/>
  <c r="N324" i="15"/>
  <c r="N173" i="15"/>
  <c r="O204" i="15"/>
  <c r="N249" i="15"/>
  <c r="N51" i="15"/>
  <c r="O62" i="15"/>
  <c r="N75" i="15"/>
  <c r="N98" i="15"/>
  <c r="N115" i="15"/>
  <c r="N124" i="15"/>
  <c r="N156" i="15"/>
  <c r="O161" i="15"/>
  <c r="O166" i="15"/>
  <c r="O171" i="15"/>
  <c r="N199" i="15"/>
  <c r="O222" i="15"/>
  <c r="N257" i="15"/>
  <c r="N288" i="15"/>
  <c r="N304" i="15"/>
  <c r="N418" i="15"/>
  <c r="O35" i="15"/>
  <c r="O85" i="15"/>
  <c r="O103" i="15"/>
  <c r="O285" i="15"/>
  <c r="O365" i="15"/>
  <c r="O78" i="15"/>
  <c r="N88" i="15"/>
  <c r="N108" i="15"/>
  <c r="N113" i="15"/>
  <c r="O234" i="15"/>
  <c r="N252" i="15"/>
  <c r="O278" i="15"/>
  <c r="N283" i="15"/>
  <c r="O355" i="15"/>
  <c r="O33" i="15"/>
  <c r="N220" i="15"/>
  <c r="O201" i="15"/>
  <c r="N122" i="15"/>
  <c r="O120" i="15"/>
  <c r="O71" i="15"/>
  <c r="O118" i="15"/>
  <c r="N146" i="15"/>
  <c r="N213" i="15"/>
  <c r="O242" i="15"/>
  <c r="N271" i="15"/>
  <c r="N321" i="15"/>
  <c r="N329" i="15"/>
  <c r="N348" i="15"/>
  <c r="N28" i="15"/>
  <c r="N25" i="15"/>
  <c r="N228" i="15"/>
  <c r="N297" i="15"/>
  <c r="N386" i="15"/>
  <c r="N209" i="15"/>
  <c r="O80" i="15"/>
  <c r="N104" i="15"/>
  <c r="N30" i="15"/>
  <c r="N216" i="15"/>
  <c r="N253" i="15"/>
  <c r="O295" i="15"/>
  <c r="N158" i="15"/>
  <c r="N163" i="15"/>
  <c r="N362" i="15"/>
  <c r="O372" i="15"/>
  <c r="N26" i="15"/>
  <c r="N39" i="15"/>
  <c r="N90" i="15"/>
  <c r="O95" i="15"/>
  <c r="N100" i="15"/>
  <c r="N117" i="15"/>
  <c r="O137" i="15"/>
  <c r="N259" i="15"/>
  <c r="N280" i="15"/>
  <c r="N293" i="15"/>
  <c r="O309" i="15"/>
  <c r="O317" i="15"/>
  <c r="O333" i="15"/>
  <c r="N420" i="15"/>
  <c r="N545" i="7"/>
  <c r="N551" i="7"/>
  <c r="N564" i="7"/>
  <c r="N46" i="15"/>
  <c r="N73" i="15"/>
  <c r="N102" i="15"/>
  <c r="N144" i="15"/>
  <c r="N157" i="15"/>
  <c r="N177" i="15"/>
  <c r="O322" i="15"/>
  <c r="N336" i="15"/>
  <c r="N343" i="15"/>
  <c r="N390" i="15"/>
  <c r="N429" i="15"/>
  <c r="U4" i="14"/>
  <c r="N44" i="15"/>
  <c r="N56" i="15"/>
  <c r="O91" i="15"/>
  <c r="O126" i="15"/>
  <c r="N151" i="15"/>
  <c r="N153" i="15"/>
  <c r="N168" i="15"/>
  <c r="O170" i="15"/>
  <c r="O189" i="15"/>
  <c r="O334" i="15"/>
  <c r="N341" i="15"/>
  <c r="N357" i="15"/>
  <c r="O416" i="15"/>
  <c r="O427" i="15"/>
  <c r="N22" i="15"/>
  <c r="N50" i="15"/>
  <c r="N76" i="15"/>
  <c r="N87" i="15"/>
  <c r="O114" i="15"/>
  <c r="N218" i="15"/>
  <c r="O231" i="15"/>
  <c r="L2" i="15"/>
  <c r="N43" i="15"/>
  <c r="N45" i="15"/>
  <c r="O83" i="15"/>
  <c r="N92" i="15"/>
  <c r="N125" i="15"/>
  <c r="N127" i="15"/>
  <c r="O150" i="15"/>
  <c r="N165" i="15"/>
  <c r="O183" i="15"/>
  <c r="N240" i="15"/>
  <c r="N247" i="15"/>
  <c r="N300" i="15"/>
  <c r="N307" i="15"/>
  <c r="O384" i="15"/>
  <c r="N18" i="15"/>
  <c r="O79" i="15"/>
  <c r="O207" i="15"/>
  <c r="N225" i="15"/>
  <c r="N245" i="15"/>
  <c r="N261" i="15"/>
  <c r="O286" i="15"/>
  <c r="N305" i="15"/>
  <c r="O11" i="15"/>
  <c r="O41" i="15"/>
  <c r="N68" i="15"/>
  <c r="N132" i="15"/>
  <c r="N223" i="15"/>
  <c r="O238" i="15"/>
  <c r="O282" i="15"/>
  <c r="O298" i="15"/>
  <c r="N312" i="15"/>
  <c r="N331" i="15"/>
  <c r="O61" i="15"/>
  <c r="N86" i="15"/>
  <c r="N566" i="7"/>
  <c r="N557" i="7"/>
  <c r="O543" i="7"/>
  <c r="O567" i="7"/>
  <c r="N548" i="7"/>
  <c r="N547" i="7"/>
  <c r="N546" i="7"/>
  <c r="O622" i="7"/>
  <c r="O549" i="7"/>
  <c r="O609" i="7"/>
  <c r="O578" i="7"/>
  <c r="N575" i="7"/>
  <c r="N552" i="7"/>
  <c r="N554" i="7"/>
  <c r="O579" i="7"/>
  <c r="N559" i="7"/>
  <c r="O591" i="7"/>
  <c r="O611" i="7"/>
  <c r="O619" i="7"/>
  <c r="O565" i="7"/>
  <c r="O577" i="7"/>
  <c r="N555" i="7"/>
  <c r="O629" i="7"/>
  <c r="N560" i="7"/>
  <c r="N563" i="7"/>
  <c r="N581" i="7"/>
  <c r="N569" i="7"/>
  <c r="O590" i="7"/>
  <c r="N576" i="7"/>
  <c r="O568" i="7"/>
  <c r="N586" i="7"/>
  <c r="O573" i="7"/>
  <c r="O592" i="7"/>
  <c r="O616" i="7"/>
  <c r="O598" i="7"/>
  <c r="N574" i="7"/>
  <c r="O632" i="7"/>
  <c r="N613" i="7"/>
  <c r="N582" i="7"/>
  <c r="N584" i="7"/>
  <c r="N624" i="7"/>
  <c r="O580" i="7"/>
  <c r="N587" i="7"/>
  <c r="N596" i="7"/>
  <c r="N630" i="7"/>
  <c r="O605" i="7"/>
  <c r="O593" i="7"/>
  <c r="N588" i="7"/>
  <c r="N626" i="7"/>
  <c r="O595" i="7"/>
  <c r="O617" i="7"/>
  <c r="N612" i="7"/>
  <c r="N608" i="7"/>
  <c r="O594" i="7"/>
  <c r="N600" i="7"/>
  <c r="O597" i="7"/>
  <c r="N631" i="7"/>
  <c r="N621" i="7"/>
  <c r="N601" i="7"/>
  <c r="O620" i="7"/>
  <c r="N603" i="7"/>
  <c r="N602" i="7"/>
  <c r="N604" i="7"/>
  <c r="O606" i="7"/>
  <c r="N2" i="7"/>
  <c r="Q2" i="7" s="1"/>
  <c r="R2" i="7" s="1"/>
  <c r="N618" i="7"/>
  <c r="N625" i="7"/>
  <c r="O610" i="7"/>
  <c r="N623" i="7"/>
  <c r="N615" i="7"/>
  <c r="N628" i="7"/>
  <c r="V8" i="14"/>
  <c r="U8" i="14"/>
  <c r="N627" i="7"/>
  <c r="M2" i="15"/>
  <c r="O289" i="15"/>
  <c r="N289" i="15"/>
  <c r="O399" i="15"/>
  <c r="N399" i="15"/>
  <c r="N34" i="15"/>
  <c r="N64" i="15"/>
  <c r="N70" i="15"/>
  <c r="N82" i="15"/>
  <c r="N94" i="15"/>
  <c r="O106" i="15"/>
  <c r="N110" i="15"/>
  <c r="O131" i="15"/>
  <c r="N131" i="15"/>
  <c r="N141" i="15"/>
  <c r="N145" i="15"/>
  <c r="O210" i="15"/>
  <c r="O214" i="15"/>
  <c r="N268" i="15"/>
  <c r="N302" i="15"/>
  <c r="O361" i="15"/>
  <c r="N361" i="15"/>
  <c r="O239" i="15"/>
  <c r="N239" i="15"/>
  <c r="O270" i="15"/>
  <c r="J2" i="15"/>
  <c r="N29" i="15"/>
  <c r="N53" i="15"/>
  <c r="N59" i="15"/>
  <c r="N77" i="15"/>
  <c r="N89" i="15"/>
  <c r="N101" i="15"/>
  <c r="N182" i="15"/>
  <c r="O186" i="15"/>
  <c r="N194" i="15"/>
  <c r="O198" i="15"/>
  <c r="N206" i="15"/>
  <c r="N208" i="15"/>
  <c r="O227" i="15"/>
  <c r="N227" i="15"/>
  <c r="N241" i="15"/>
  <c r="N266" i="15"/>
  <c r="N352" i="15"/>
  <c r="O392" i="15"/>
  <c r="N392" i="15"/>
  <c r="O313" i="15"/>
  <c r="N313" i="15"/>
  <c r="O274" i="15"/>
  <c r="O287" i="15"/>
  <c r="N287" i="15"/>
  <c r="K2" i="15"/>
  <c r="N24" i="15"/>
  <c r="N36" i="15"/>
  <c r="N42" i="15"/>
  <c r="N48" i="15"/>
  <c r="N66" i="15"/>
  <c r="N72" i="15"/>
  <c r="N84" i="15"/>
  <c r="N96" i="15"/>
  <c r="O119" i="15"/>
  <c r="N119" i="15"/>
  <c r="N129" i="15"/>
  <c r="N133" i="15"/>
  <c r="O174" i="15"/>
  <c r="O178" i="15"/>
  <c r="N184" i="15"/>
  <c r="O190" i="15"/>
  <c r="N196" i="15"/>
  <c r="O202" i="15"/>
  <c r="O258" i="15"/>
  <c r="O262" i="15"/>
  <c r="O275" i="15"/>
  <c r="N275" i="15"/>
  <c r="O294" i="15"/>
  <c r="N294" i="15"/>
  <c r="O431" i="15"/>
  <c r="N431" i="15"/>
  <c r="O162" i="15"/>
  <c r="N172" i="15"/>
  <c r="O215" i="15"/>
  <c r="N215" i="15"/>
  <c r="N229" i="15"/>
  <c r="N256" i="15"/>
  <c r="N316" i="15"/>
  <c r="O323" i="15"/>
  <c r="N323" i="15"/>
  <c r="O325" i="15"/>
  <c r="N325" i="15"/>
  <c r="O373" i="15"/>
  <c r="N373" i="15"/>
  <c r="O349" i="15"/>
  <c r="N349" i="15"/>
  <c r="O143" i="15"/>
  <c r="N143" i="15"/>
  <c r="O311" i="15"/>
  <c r="N311" i="15"/>
  <c r="O422" i="15"/>
  <c r="N422" i="15"/>
  <c r="N254" i="15"/>
  <c r="N277" i="15"/>
  <c r="O385" i="15"/>
  <c r="N385" i="15"/>
  <c r="N2" i="15"/>
  <c r="N57" i="15"/>
  <c r="N63" i="15"/>
  <c r="N69" i="15"/>
  <c r="N81" i="15"/>
  <c r="N93" i="15"/>
  <c r="N105" i="15"/>
  <c r="N148" i="15"/>
  <c r="O154" i="15"/>
  <c r="O179" i="15"/>
  <c r="N179" i="15"/>
  <c r="O191" i="15"/>
  <c r="N191" i="15"/>
  <c r="O203" i="15"/>
  <c r="N203" i="15"/>
  <c r="N217" i="15"/>
  <c r="O246" i="15"/>
  <c r="O250" i="15"/>
  <c r="O263" i="15"/>
  <c r="N263" i="15"/>
  <c r="N292" i="15"/>
  <c r="O299" i="15"/>
  <c r="N299" i="15"/>
  <c r="O301" i="15"/>
  <c r="N301" i="15"/>
  <c r="N314" i="15"/>
  <c r="O424" i="15"/>
  <c r="N424" i="15"/>
  <c r="N109" i="15"/>
  <c r="O138" i="15"/>
  <c r="N244" i="15"/>
  <c r="N290" i="15"/>
  <c r="O337" i="15"/>
  <c r="N337" i="15"/>
  <c r="N364" i="15"/>
  <c r="N136" i="15"/>
  <c r="O142" i="15"/>
  <c r="O167" i="15"/>
  <c r="N167" i="15"/>
  <c r="N181" i="15"/>
  <c r="N193" i="15"/>
  <c r="N205" i="15"/>
  <c r="N265" i="15"/>
  <c r="O326" i="15"/>
  <c r="N326" i="15"/>
  <c r="N328" i="15"/>
  <c r="O155" i="15"/>
  <c r="N155" i="15"/>
  <c r="O251" i="15"/>
  <c r="N251" i="15"/>
  <c r="N338" i="15"/>
  <c r="N350" i="15"/>
  <c r="N335" i="15"/>
  <c r="N347" i="15"/>
  <c r="N359" i="15"/>
  <c r="N371" i="15"/>
  <c r="N383" i="15"/>
  <c r="N401" i="15"/>
  <c r="N403" i="15"/>
  <c r="N405" i="15"/>
  <c r="N407" i="15"/>
  <c r="N409" i="15"/>
  <c r="N411" i="15"/>
  <c r="N413" i="15"/>
  <c r="N426" i="15"/>
  <c r="N306" i="15"/>
  <c r="N318" i="15"/>
  <c r="N330" i="15"/>
  <c r="N342" i="15"/>
  <c r="N354" i="15"/>
  <c r="N366" i="15"/>
  <c r="N378" i="15"/>
  <c r="N394" i="15"/>
  <c r="N415" i="15"/>
  <c r="N417" i="15"/>
  <c r="N116" i="15"/>
  <c r="N128" i="15"/>
  <c r="N140" i="15"/>
  <c r="N152" i="15"/>
  <c r="N164" i="15"/>
  <c r="N176" i="15"/>
  <c r="N188" i="15"/>
  <c r="N200" i="15"/>
  <c r="N212" i="15"/>
  <c r="N224" i="15"/>
  <c r="N236" i="15"/>
  <c r="N248" i="15"/>
  <c r="N260" i="15"/>
  <c r="N272" i="15"/>
  <c r="N284" i="15"/>
  <c r="N296" i="15"/>
  <c r="N308" i="15"/>
  <c r="N320" i="15"/>
  <c r="N332" i="15"/>
  <c r="N344" i="15"/>
  <c r="N356" i="15"/>
  <c r="N368" i="15"/>
  <c r="N380" i="15"/>
  <c r="N396" i="15"/>
  <c r="N419" i="15"/>
  <c r="N111" i="15"/>
  <c r="N123" i="15"/>
  <c r="N135" i="15"/>
  <c r="N147" i="15"/>
  <c r="N243" i="15"/>
  <c r="N255" i="15"/>
  <c r="N267" i="15"/>
  <c r="N279" i="15"/>
  <c r="N291" i="15"/>
  <c r="N303" i="15"/>
  <c r="N315" i="15"/>
  <c r="N327" i="15"/>
  <c r="N339" i="15"/>
  <c r="N351" i="15"/>
  <c r="N363" i="15"/>
  <c r="N375" i="15"/>
  <c r="N387" i="15"/>
  <c r="N389" i="15"/>
  <c r="N391" i="15"/>
  <c r="N398" i="15"/>
  <c r="N421" i="15"/>
  <c r="N430" i="15"/>
  <c r="N358" i="15"/>
  <c r="N370" i="15"/>
  <c r="N382" i="15"/>
  <c r="N400" i="15"/>
  <c r="N423" i="15"/>
  <c r="N425" i="15"/>
  <c r="N377" i="15"/>
  <c r="N393" i="15"/>
  <c r="N402" i="15"/>
  <c r="N404" i="15"/>
  <c r="N406" i="15"/>
  <c r="N408" i="15"/>
  <c r="N410" i="15"/>
  <c r="N412" i="15"/>
  <c r="N414" i="15"/>
  <c r="N432" i="15"/>
  <c r="K27" i="14"/>
  <c r="E27" i="14"/>
  <c r="U5" i="14"/>
  <c r="R27" i="14"/>
  <c r="U6" i="14"/>
  <c r="G624" i="7"/>
  <c r="G626" i="7"/>
  <c r="G625" i="7"/>
  <c r="G628" i="7"/>
  <c r="G627" i="7"/>
  <c r="G629" i="7"/>
  <c r="G630" i="7"/>
  <c r="G631" i="7"/>
  <c r="G632" i="7"/>
  <c r="O2" i="15" l="1"/>
  <c r="O2" i="7"/>
  <c r="U27" i="14"/>
  <c r="R23" i="1"/>
  <c r="R21" i="1"/>
  <c r="Q23" i="1"/>
  <c r="Q21" i="1"/>
  <c r="E24" i="1"/>
  <c r="C23" i="1"/>
  <c r="C21" i="1"/>
  <c r="T18" i="1"/>
  <c r="R18" i="1"/>
  <c r="O18" i="1"/>
  <c r="K18" i="1"/>
  <c r="G18" i="1"/>
  <c r="E18" i="1"/>
  <c r="G43" i="2" l="1"/>
  <c r="F43" i="2"/>
  <c r="T17" i="1"/>
  <c r="R17" i="1"/>
  <c r="O17" i="1"/>
  <c r="K17" i="1"/>
  <c r="G17" i="1"/>
  <c r="E17" i="1"/>
  <c r="K29" i="9"/>
  <c r="J29" i="9"/>
  <c r="T16" i="1"/>
  <c r="R16" i="1"/>
  <c r="O16" i="1"/>
  <c r="K16" i="1"/>
  <c r="G16" i="1"/>
  <c r="E16" i="1"/>
  <c r="I43" i="2" l="1"/>
  <c r="U18" i="1"/>
  <c r="H43" i="2"/>
  <c r="U17" i="1"/>
  <c r="T15" i="1"/>
  <c r="U16" i="1" s="1"/>
  <c r="R15" i="1"/>
  <c r="O15" i="1"/>
  <c r="K15" i="1"/>
  <c r="G15" i="1"/>
  <c r="E15" i="1"/>
  <c r="K2" i="7" l="1"/>
  <c r="F40" i="2"/>
  <c r="I40" i="2" l="1"/>
  <c r="H40" i="2"/>
  <c r="L2" i="7"/>
  <c r="G21" i="2" l="1"/>
  <c r="F21" i="2"/>
  <c r="T14" i="1"/>
  <c r="R14" i="1"/>
  <c r="O14" i="1"/>
  <c r="K14" i="1"/>
  <c r="G14" i="1"/>
  <c r="E14" i="1"/>
  <c r="I21" i="2" l="1"/>
  <c r="U15" i="1"/>
  <c r="H21" i="2"/>
  <c r="R13" i="1" l="1"/>
  <c r="T13" i="1"/>
  <c r="O13" i="1"/>
  <c r="G13" i="1"/>
  <c r="E13" i="1"/>
  <c r="U14" i="1" l="1"/>
  <c r="J2" i="7"/>
  <c r="R12" i="1"/>
  <c r="T12" i="1"/>
  <c r="U13" i="1" s="1"/>
  <c r="O12" i="1"/>
  <c r="K12" i="1"/>
  <c r="G12" i="1"/>
  <c r="E12" i="1"/>
  <c r="T11" i="1"/>
  <c r="O11" i="1"/>
  <c r="U12" i="1" l="1"/>
  <c r="E22" i="6"/>
  <c r="N21" i="6"/>
  <c r="J21" i="6"/>
  <c r="K21" i="6" s="1"/>
  <c r="I21" i="6"/>
  <c r="F21" i="6"/>
  <c r="D21" i="6"/>
  <c r="E21" i="6" s="1"/>
  <c r="P18" i="6"/>
  <c r="K18" i="6"/>
  <c r="E18" i="6"/>
  <c r="P17" i="6"/>
  <c r="K17" i="6"/>
  <c r="E17" i="6"/>
  <c r="P16" i="6"/>
  <c r="K16" i="6"/>
  <c r="E16" i="6"/>
  <c r="P15" i="6"/>
  <c r="K15" i="6"/>
  <c r="E15" i="6"/>
  <c r="P14" i="6"/>
  <c r="K14" i="6"/>
  <c r="E14" i="6"/>
  <c r="P13" i="6"/>
  <c r="K13" i="6"/>
  <c r="E13" i="6"/>
  <c r="P12" i="6"/>
  <c r="K12" i="6"/>
  <c r="E12" i="6"/>
  <c r="P11" i="6"/>
  <c r="K11" i="6"/>
  <c r="E11" i="6"/>
  <c r="P10" i="6"/>
  <c r="K10" i="6"/>
  <c r="E10" i="6"/>
  <c r="P9" i="6"/>
  <c r="K9" i="6"/>
  <c r="E9" i="6"/>
  <c r="P8" i="6"/>
  <c r="K8" i="6"/>
  <c r="E8" i="6"/>
  <c r="P7" i="6"/>
  <c r="K7" i="6"/>
  <c r="E7" i="6"/>
  <c r="P6" i="6"/>
  <c r="K6" i="6"/>
  <c r="E6" i="6"/>
  <c r="P5" i="6"/>
  <c r="Q5" i="6" s="1"/>
  <c r="K5" i="6"/>
  <c r="E5" i="6"/>
  <c r="P4" i="6"/>
  <c r="K4" i="6"/>
  <c r="E4" i="6"/>
  <c r="P3" i="6"/>
  <c r="E22" i="4"/>
  <c r="N21" i="4"/>
  <c r="K21" i="4"/>
  <c r="J21" i="4"/>
  <c r="I21" i="4"/>
  <c r="F21" i="4"/>
  <c r="G21" i="4" s="1"/>
  <c r="D21" i="4"/>
  <c r="E21" i="4" s="1"/>
  <c r="C21" i="4"/>
  <c r="N19" i="4"/>
  <c r="K19" i="4"/>
  <c r="J19" i="4"/>
  <c r="I19" i="4"/>
  <c r="F19" i="4"/>
  <c r="G19" i="4" s="1"/>
  <c r="D19" i="4"/>
  <c r="E19" i="4" s="1"/>
  <c r="C19" i="4"/>
  <c r="P16" i="4"/>
  <c r="K16" i="4"/>
  <c r="G16" i="4"/>
  <c r="E16" i="4"/>
  <c r="P15" i="4"/>
  <c r="K15" i="4"/>
  <c r="G15" i="4"/>
  <c r="E15" i="4"/>
  <c r="P14" i="4"/>
  <c r="K14" i="4"/>
  <c r="G14" i="4"/>
  <c r="E14" i="4"/>
  <c r="P13" i="4"/>
  <c r="K13" i="4"/>
  <c r="G13" i="4"/>
  <c r="E13" i="4"/>
  <c r="P12" i="4"/>
  <c r="K12" i="4"/>
  <c r="G12" i="4"/>
  <c r="E12" i="4"/>
  <c r="P11" i="4"/>
  <c r="K11" i="4"/>
  <c r="G11" i="4"/>
  <c r="E11" i="4"/>
  <c r="P10" i="4"/>
  <c r="K10" i="4"/>
  <c r="G10" i="4"/>
  <c r="E10" i="4"/>
  <c r="P9" i="4"/>
  <c r="K9" i="4"/>
  <c r="G9" i="4"/>
  <c r="E9" i="4"/>
  <c r="P8" i="4"/>
  <c r="K8" i="4"/>
  <c r="G8" i="4"/>
  <c r="E8" i="4"/>
  <c r="P7" i="4"/>
  <c r="K7" i="4"/>
  <c r="G7" i="4"/>
  <c r="E7" i="4"/>
  <c r="P6" i="4"/>
  <c r="K6" i="4"/>
  <c r="G6" i="4"/>
  <c r="E6" i="4"/>
  <c r="P5" i="4"/>
  <c r="K5" i="4"/>
  <c r="G5" i="4"/>
  <c r="E5" i="4"/>
  <c r="P4" i="4"/>
  <c r="K4" i="4"/>
  <c r="E4" i="4"/>
  <c r="P3" i="4"/>
  <c r="E23" i="5"/>
  <c r="R22" i="5"/>
  <c r="Q22" i="5"/>
  <c r="N22" i="5"/>
  <c r="M22" i="5" s="1"/>
  <c r="K22" i="5"/>
  <c r="J22" i="5"/>
  <c r="I22" i="5"/>
  <c r="F22" i="5"/>
  <c r="G22" i="5" s="1"/>
  <c r="D22" i="5"/>
  <c r="E22" i="5" s="1"/>
  <c r="C22" i="5"/>
  <c r="R20" i="5"/>
  <c r="Q20" i="5"/>
  <c r="N20" i="5"/>
  <c r="O20" i="5" s="1"/>
  <c r="K20" i="5"/>
  <c r="J20" i="5"/>
  <c r="I20" i="5"/>
  <c r="F20" i="5"/>
  <c r="G20" i="5" s="1"/>
  <c r="D20" i="5"/>
  <c r="E20" i="5" s="1"/>
  <c r="C20" i="5"/>
  <c r="T17" i="5"/>
  <c r="R17" i="5"/>
  <c r="O17" i="5"/>
  <c r="K17" i="5"/>
  <c r="G17" i="5"/>
  <c r="E17" i="5"/>
  <c r="T16" i="5"/>
  <c r="R16" i="5"/>
  <c r="O16" i="5"/>
  <c r="K16" i="5"/>
  <c r="G16" i="5"/>
  <c r="E16" i="5"/>
  <c r="T15" i="5"/>
  <c r="R15" i="5"/>
  <c r="O15" i="5"/>
  <c r="K15" i="5"/>
  <c r="G15" i="5"/>
  <c r="E15" i="5"/>
  <c r="T14" i="5"/>
  <c r="R14" i="5"/>
  <c r="K14" i="5"/>
  <c r="G14" i="5"/>
  <c r="E14" i="5"/>
  <c r="T13" i="5"/>
  <c r="R13" i="5"/>
  <c r="K13" i="5"/>
  <c r="G13" i="5"/>
  <c r="E13" i="5"/>
  <c r="T12" i="5"/>
  <c r="R12" i="5"/>
  <c r="K12" i="5"/>
  <c r="G12" i="5"/>
  <c r="E12" i="5"/>
  <c r="T11" i="5"/>
  <c r="R11" i="5"/>
  <c r="K11" i="5"/>
  <c r="G11" i="5"/>
  <c r="E11" i="5"/>
  <c r="T10" i="5"/>
  <c r="R10" i="5"/>
  <c r="K10" i="5"/>
  <c r="G10" i="5"/>
  <c r="E10" i="5"/>
  <c r="T9" i="5"/>
  <c r="R9" i="5"/>
  <c r="K9" i="5"/>
  <c r="G9" i="5"/>
  <c r="E9" i="5"/>
  <c r="T8" i="5"/>
  <c r="R8" i="5"/>
  <c r="K8" i="5"/>
  <c r="G8" i="5"/>
  <c r="E8" i="5"/>
  <c r="T7" i="5"/>
  <c r="R7" i="5"/>
  <c r="K7" i="5"/>
  <c r="G7" i="5"/>
  <c r="E7" i="5"/>
  <c r="T6" i="5"/>
  <c r="R6" i="5"/>
  <c r="K6" i="5"/>
  <c r="G6" i="5"/>
  <c r="E6" i="5"/>
  <c r="T5" i="5"/>
  <c r="R5" i="5"/>
  <c r="K5" i="5"/>
  <c r="G5" i="5"/>
  <c r="E5" i="5"/>
  <c r="T4" i="5"/>
  <c r="R4" i="5"/>
  <c r="K4" i="5"/>
  <c r="G4" i="5"/>
  <c r="E4" i="5"/>
  <c r="T3" i="5"/>
  <c r="B75" i="2"/>
  <c r="G73" i="2"/>
  <c r="F73" i="2"/>
  <c r="G71" i="2"/>
  <c r="F71" i="2"/>
  <c r="G67" i="2"/>
  <c r="F67" i="2"/>
  <c r="G49" i="2"/>
  <c r="F49" i="2"/>
  <c r="G46" i="2"/>
  <c r="F46" i="2"/>
  <c r="G45" i="2"/>
  <c r="F45" i="2"/>
  <c r="G42" i="2"/>
  <c r="F42" i="2"/>
  <c r="G41" i="2"/>
  <c r="F41" i="2"/>
  <c r="G27" i="2"/>
  <c r="F27" i="2"/>
  <c r="G25" i="2"/>
  <c r="F25" i="2"/>
  <c r="G23" i="2"/>
  <c r="F23" i="2"/>
  <c r="G22" i="2"/>
  <c r="F22" i="2"/>
  <c r="G20" i="2"/>
  <c r="F20" i="2"/>
  <c r="G18" i="2"/>
  <c r="F18" i="2"/>
  <c r="G17" i="2"/>
  <c r="F17" i="2"/>
  <c r="N23" i="1"/>
  <c r="J23" i="1"/>
  <c r="F23" i="1"/>
  <c r="G23" i="1" s="1"/>
  <c r="D23" i="1"/>
  <c r="E23" i="1" s="1"/>
  <c r="N21" i="1"/>
  <c r="J21" i="1"/>
  <c r="F21" i="1"/>
  <c r="G21" i="1" s="1"/>
  <c r="D21" i="1"/>
  <c r="E21" i="1" s="1"/>
  <c r="R11" i="1"/>
  <c r="K11" i="1"/>
  <c r="G11" i="1"/>
  <c r="E11" i="1"/>
  <c r="T10" i="1"/>
  <c r="R10" i="1"/>
  <c r="O10" i="1"/>
  <c r="K10" i="1"/>
  <c r="G10" i="1"/>
  <c r="E10" i="1"/>
  <c r="T9" i="1"/>
  <c r="R9" i="1"/>
  <c r="O9" i="1"/>
  <c r="K9" i="1"/>
  <c r="G9" i="1"/>
  <c r="E9" i="1"/>
  <c r="T8" i="1"/>
  <c r="R8" i="1"/>
  <c r="O8" i="1"/>
  <c r="K8" i="1"/>
  <c r="G8" i="1"/>
  <c r="E8" i="1"/>
  <c r="T7" i="1"/>
  <c r="R7" i="1"/>
  <c r="O7" i="1"/>
  <c r="K7" i="1"/>
  <c r="G7" i="1"/>
  <c r="E7" i="1"/>
  <c r="T6" i="1"/>
  <c r="R6" i="1"/>
  <c r="O6" i="1"/>
  <c r="K6" i="1"/>
  <c r="G6" i="1"/>
  <c r="E6" i="1"/>
  <c r="T5" i="1"/>
  <c r="R5" i="1"/>
  <c r="K5" i="1"/>
  <c r="G5" i="1"/>
  <c r="E5" i="1"/>
  <c r="T4" i="1"/>
  <c r="R4" i="1"/>
  <c r="K4" i="1"/>
  <c r="G4" i="1"/>
  <c r="E4" i="1"/>
  <c r="T3" i="1"/>
  <c r="G75" i="2" l="1"/>
  <c r="F75" i="2"/>
  <c r="Q4" i="6"/>
  <c r="I20" i="2"/>
  <c r="K24" i="6"/>
  <c r="I73" i="2"/>
  <c r="I42" i="2"/>
  <c r="I18" i="2"/>
  <c r="I17" i="2"/>
  <c r="I75" i="2" s="1"/>
  <c r="I41" i="2"/>
  <c r="I67" i="2"/>
  <c r="I71" i="2"/>
  <c r="I22" i="2"/>
  <c r="I25" i="2"/>
  <c r="I49" i="2"/>
  <c r="I27" i="2"/>
  <c r="I45" i="2"/>
  <c r="I46" i="2"/>
  <c r="I23" i="2"/>
  <c r="P19" i="4"/>
  <c r="K24" i="4"/>
  <c r="Q8" i="4"/>
  <c r="U5" i="5"/>
  <c r="U16" i="5"/>
  <c r="U5" i="1"/>
  <c r="Q9" i="4"/>
  <c r="V18" i="1"/>
  <c r="T21" i="1"/>
  <c r="V17" i="1"/>
  <c r="O23" i="1"/>
  <c r="M23" i="1"/>
  <c r="U23" i="1"/>
  <c r="Q11" i="4"/>
  <c r="P21" i="4"/>
  <c r="U14" i="5"/>
  <c r="M20" i="5"/>
  <c r="Q11" i="6"/>
  <c r="Q21" i="4"/>
  <c r="Q15" i="4"/>
  <c r="I23" i="1"/>
  <c r="K23" i="1"/>
  <c r="O25" i="5"/>
  <c r="I21" i="1"/>
  <c r="K21" i="1"/>
  <c r="Q8" i="6"/>
  <c r="Q13" i="6"/>
  <c r="T23" i="1"/>
  <c r="O21" i="1"/>
  <c r="M21" i="1"/>
  <c r="U21" i="1"/>
  <c r="U9" i="5"/>
  <c r="U17" i="5"/>
  <c r="E24" i="6"/>
  <c r="P21" i="6"/>
  <c r="O26" i="1"/>
  <c r="Q6" i="4"/>
  <c r="Q14" i="6"/>
  <c r="U9" i="1"/>
  <c r="V9" i="1"/>
  <c r="G25" i="5"/>
  <c r="Q10" i="4"/>
  <c r="Q14" i="4"/>
  <c r="Q10" i="6"/>
  <c r="G24" i="4"/>
  <c r="V7" i="1"/>
  <c r="E25" i="5"/>
  <c r="V10" i="1"/>
  <c r="K25" i="5"/>
  <c r="U13" i="5"/>
  <c r="U15" i="5"/>
  <c r="Q21" i="6"/>
  <c r="R25" i="5"/>
  <c r="Q16" i="6"/>
  <c r="U7" i="1"/>
  <c r="V16" i="1"/>
  <c r="V15" i="1"/>
  <c r="V14" i="1"/>
  <c r="V6" i="1"/>
  <c r="U6" i="1"/>
  <c r="V13" i="1"/>
  <c r="U7" i="5"/>
  <c r="Q7" i="4"/>
  <c r="K26" i="1"/>
  <c r="V8" i="1"/>
  <c r="U11" i="5"/>
  <c r="Q4" i="4"/>
  <c r="Q7" i="6"/>
  <c r="V12" i="1"/>
  <c r="Q13" i="4"/>
  <c r="Q16" i="4"/>
  <c r="Q17" i="6"/>
  <c r="V11" i="1"/>
  <c r="H49" i="2"/>
  <c r="H25" i="2"/>
  <c r="H67" i="2"/>
  <c r="H27" i="2"/>
  <c r="H42" i="2"/>
  <c r="H20" i="2"/>
  <c r="H17" i="2"/>
  <c r="U10" i="1"/>
  <c r="U8" i="1"/>
  <c r="R26" i="1"/>
  <c r="H71" i="2"/>
  <c r="H41" i="2"/>
  <c r="H18" i="2"/>
  <c r="H73" i="2"/>
  <c r="H45" i="2"/>
  <c r="H22" i="2"/>
  <c r="H46" i="2"/>
  <c r="H23" i="2"/>
  <c r="E26" i="1"/>
  <c r="G26" i="1"/>
  <c r="Q12" i="6"/>
  <c r="Q15" i="6"/>
  <c r="Q6" i="6"/>
  <c r="Q9" i="6"/>
  <c r="Q18" i="6"/>
  <c r="Q12" i="4"/>
  <c r="Q5" i="4"/>
  <c r="Q19" i="4"/>
  <c r="O22" i="5"/>
  <c r="U4" i="5"/>
  <c r="U6" i="5"/>
  <c r="U8" i="5"/>
  <c r="U10" i="5"/>
  <c r="U12" i="5"/>
  <c r="U20" i="5"/>
  <c r="T22" i="5"/>
  <c r="U22" i="5"/>
  <c r="T20" i="5"/>
  <c r="U4" i="1"/>
  <c r="U11" i="1"/>
  <c r="H75" i="2" l="1"/>
  <c r="H76" i="2" s="1"/>
  <c r="Q24" i="6"/>
  <c r="Q24" i="4"/>
  <c r="U25" i="5"/>
  <c r="U26" i="1"/>
</calcChain>
</file>

<file path=xl/sharedStrings.xml><?xml version="1.0" encoding="utf-8"?>
<sst xmlns="http://schemas.openxmlformats.org/spreadsheetml/2006/main" count="6499" uniqueCount="956">
  <si>
    <t>Indi</t>
  </si>
  <si>
    <t>%</t>
  </si>
  <si>
    <t>Intel</t>
  </si>
  <si>
    <t>Long</t>
  </si>
  <si>
    <t>401K</t>
  </si>
  <si>
    <t>Total</t>
  </si>
  <si>
    <t>Symb</t>
  </si>
  <si>
    <t>Buy</t>
  </si>
  <si>
    <t>Top</t>
  </si>
  <si>
    <t>Sell</t>
  </si>
  <si>
    <t>Type</t>
  </si>
  <si>
    <t>Date</t>
  </si>
  <si>
    <t>Qtty</t>
  </si>
  <si>
    <t>KOS</t>
  </si>
  <si>
    <t>Grant</t>
  </si>
  <si>
    <t>COP</t>
  </si>
  <si>
    <t>Purchase</t>
  </si>
  <si>
    <t>OXY</t>
  </si>
  <si>
    <t>MOS</t>
  </si>
  <si>
    <t>LBRT</t>
  </si>
  <si>
    <t>DDS</t>
  </si>
  <si>
    <t>FANG</t>
  </si>
  <si>
    <t>RYI</t>
  </si>
  <si>
    <t>ADM</t>
  </si>
  <si>
    <t>CEG</t>
  </si>
  <si>
    <t>XLE</t>
  </si>
  <si>
    <t>XLP</t>
  </si>
  <si>
    <t>XOP</t>
  </si>
  <si>
    <t>IYK</t>
  </si>
  <si>
    <t>IYE</t>
  </si>
  <si>
    <t>SPY</t>
  </si>
  <si>
    <t>DVY</t>
  </si>
  <si>
    <t>OMFL</t>
  </si>
  <si>
    <t>STLD</t>
  </si>
  <si>
    <t>R</t>
  </si>
  <si>
    <t>G</t>
  </si>
  <si>
    <t>Intel (3303)</t>
  </si>
  <si>
    <t>To watch daily</t>
  </si>
  <si>
    <t>MRO</t>
  </si>
  <si>
    <t>DVN</t>
  </si>
  <si>
    <t>PSX</t>
  </si>
  <si>
    <t>BG</t>
  </si>
  <si>
    <t>CDC</t>
  </si>
  <si>
    <t>CTRA</t>
  </si>
  <si>
    <t>CVE</t>
  </si>
  <si>
    <t>CVEO</t>
  </si>
  <si>
    <t>HOLX</t>
  </si>
  <si>
    <t>APA</t>
  </si>
  <si>
    <t>CF</t>
  </si>
  <si>
    <t>NEX</t>
  </si>
  <si>
    <t>XPL</t>
  </si>
  <si>
    <t>CMC</t>
  </si>
  <si>
    <t>TWI</t>
  </si>
  <si>
    <t>XES</t>
  </si>
  <si>
    <t>HRL</t>
  </si>
  <si>
    <t>ERF</t>
  </si>
  <si>
    <t>CAAP</t>
  </si>
  <si>
    <t>CI</t>
  </si>
  <si>
    <t>GTX</t>
  </si>
  <si>
    <t>TTE</t>
  </si>
  <si>
    <t>WMB</t>
  </si>
  <si>
    <t>MOH</t>
  </si>
  <si>
    <t>LLY</t>
  </si>
  <si>
    <t>FMC</t>
  </si>
  <si>
    <t>Machinery</t>
  </si>
  <si>
    <t>MRK</t>
  </si>
  <si>
    <t>TALO</t>
  </si>
  <si>
    <t>PGR</t>
  </si>
  <si>
    <t>NRG</t>
  </si>
  <si>
    <t>BXC</t>
  </si>
  <si>
    <t>VLO</t>
  </si>
  <si>
    <t>PDBC</t>
  </si>
  <si>
    <t>PKG</t>
  </si>
  <si>
    <t>MYE</t>
  </si>
  <si>
    <t>GPK</t>
  </si>
  <si>
    <t>HNRG</t>
  </si>
  <si>
    <t>BRY</t>
  </si>
  <si>
    <t>Stop</t>
  </si>
  <si>
    <t>Target</t>
  </si>
  <si>
    <t>Ratio</t>
  </si>
  <si>
    <t>1:6</t>
  </si>
  <si>
    <t>ON</t>
  </si>
  <si>
    <t>XLV</t>
  </si>
  <si>
    <t>SIMO</t>
  </si>
  <si>
    <t>DY</t>
  </si>
  <si>
    <t>MNST</t>
  </si>
  <si>
    <t>SJM</t>
  </si>
  <si>
    <t>TSLA</t>
  </si>
  <si>
    <t>SWN</t>
  </si>
  <si>
    <t>HII</t>
  </si>
  <si>
    <t>NE</t>
  </si>
  <si>
    <t>NOC</t>
  </si>
  <si>
    <t>MU</t>
  </si>
  <si>
    <t>AMPH</t>
  </si>
  <si>
    <t>AAPL</t>
  </si>
  <si>
    <t>GWW</t>
  </si>
  <si>
    <t>1:3</t>
  </si>
  <si>
    <t>oil</t>
  </si>
  <si>
    <t>transport</t>
  </si>
  <si>
    <t xml:space="preserve">oil </t>
  </si>
  <si>
    <t>healthcare</t>
  </si>
  <si>
    <t>health equip</t>
  </si>
  <si>
    <t>oil gas ETF</t>
  </si>
  <si>
    <t>chemicals</t>
  </si>
  <si>
    <t>food</t>
  </si>
  <si>
    <t>packaging</t>
  </si>
  <si>
    <t>coal</t>
  </si>
  <si>
    <t>ARLP</t>
  </si>
  <si>
    <t>construction</t>
  </si>
  <si>
    <t>metal</t>
  </si>
  <si>
    <t>energy ETF</t>
  </si>
  <si>
    <t>food &amp; drug</t>
  </si>
  <si>
    <t>CNC</t>
  </si>
  <si>
    <t>VRTX</t>
  </si>
  <si>
    <t>ATSG</t>
  </si>
  <si>
    <t>EXEL</t>
  </si>
  <si>
    <t>PEP</t>
  </si>
  <si>
    <t>CEIX</t>
  </si>
  <si>
    <t>ASRT</t>
  </si>
  <si>
    <t>CRGE</t>
  </si>
  <si>
    <t>1:4</t>
  </si>
  <si>
    <t>oil eqv</t>
  </si>
  <si>
    <t>CYAN</t>
  </si>
  <si>
    <t>TAP</t>
  </si>
  <si>
    <t>SBOW</t>
  </si>
  <si>
    <t>CAG</t>
  </si>
  <si>
    <t>GO</t>
  </si>
  <si>
    <t>1:1</t>
  </si>
  <si>
    <t>1:2</t>
  </si>
  <si>
    <t>COST</t>
  </si>
  <si>
    <t>QCOM</t>
  </si>
  <si>
    <t>IBM</t>
  </si>
  <si>
    <t>EVTV</t>
  </si>
  <si>
    <t>CYTK</t>
  </si>
  <si>
    <t>pharma</t>
  </si>
  <si>
    <t>Semiconductors</t>
  </si>
  <si>
    <t>auto</t>
  </si>
  <si>
    <t>HPQ</t>
  </si>
  <si>
    <t>comp</t>
  </si>
  <si>
    <t>health</t>
  </si>
  <si>
    <t>AVO</t>
  </si>
  <si>
    <t>beverages</t>
  </si>
  <si>
    <t>semiconductor</t>
  </si>
  <si>
    <t>defence</t>
  </si>
  <si>
    <t>utilities</t>
  </si>
  <si>
    <t>staples ETF</t>
  </si>
  <si>
    <t>software</t>
  </si>
  <si>
    <t>biotech</t>
  </si>
  <si>
    <t>GNE</t>
  </si>
  <si>
    <t>HRB</t>
  </si>
  <si>
    <t>taxes</t>
  </si>
  <si>
    <t>TAC</t>
  </si>
  <si>
    <t>MUSA</t>
  </si>
  <si>
    <t>SIGA</t>
  </si>
  <si>
    <t>1:8</t>
  </si>
  <si>
    <t>1:5</t>
  </si>
  <si>
    <t>IT Services</t>
  </si>
  <si>
    <t>CDNS</t>
  </si>
  <si>
    <t>HAL</t>
  </si>
  <si>
    <t>QURE</t>
  </si>
  <si>
    <t>electic utilities</t>
  </si>
  <si>
    <t>MTR</t>
  </si>
  <si>
    <t>T</t>
  </si>
  <si>
    <t>CTLT</t>
  </si>
  <si>
    <t>VZ</t>
  </si>
  <si>
    <t>RELL</t>
  </si>
  <si>
    <t>Electronic Equipment</t>
  </si>
  <si>
    <t>RF</t>
  </si>
  <si>
    <t>DORM</t>
  </si>
  <si>
    <t>TH</t>
  </si>
  <si>
    <t>K</t>
  </si>
  <si>
    <t>QUIK</t>
  </si>
  <si>
    <t>GEF</t>
  </si>
  <si>
    <t>FISV</t>
  </si>
  <si>
    <t>AGR</t>
  </si>
  <si>
    <t>LYB</t>
  </si>
  <si>
    <t>gas</t>
  </si>
  <si>
    <t>hotels</t>
  </si>
  <si>
    <t>SWX</t>
  </si>
  <si>
    <t>BIIB</t>
  </si>
  <si>
    <t>TECK</t>
  </si>
  <si>
    <t>metals</t>
  </si>
  <si>
    <t>WAB</t>
  </si>
  <si>
    <t>EOG</t>
  </si>
  <si>
    <t>AES</t>
  </si>
  <si>
    <t>FNKO</t>
  </si>
  <si>
    <t>toys</t>
  </si>
  <si>
    <t>PVL</t>
  </si>
  <si>
    <t>MRC</t>
  </si>
  <si>
    <t>XLK</t>
  </si>
  <si>
    <t>AVT</t>
  </si>
  <si>
    <t>electronics</t>
  </si>
  <si>
    <t>tech ETF</t>
  </si>
  <si>
    <t>PAVE</t>
  </si>
  <si>
    <t>infrastructure</t>
  </si>
  <si>
    <t>PKI</t>
  </si>
  <si>
    <t>JKHY</t>
  </si>
  <si>
    <t>AT&amp;T</t>
  </si>
  <si>
    <t>CC</t>
  </si>
  <si>
    <t>Biotechnology</t>
  </si>
  <si>
    <t>MYRG</t>
  </si>
  <si>
    <t xml:space="preserve">electrical </t>
  </si>
  <si>
    <t>TMUS</t>
  </si>
  <si>
    <t>T-Mobile</t>
  </si>
  <si>
    <t>ALSN</t>
  </si>
  <si>
    <t>ULTA</t>
  </si>
  <si>
    <t>SQLV</t>
  </si>
  <si>
    <t>small-cap etf</t>
  </si>
  <si>
    <t>equipment</t>
  </si>
  <si>
    <t>retail</t>
  </si>
  <si>
    <t>banking</t>
  </si>
  <si>
    <t>MPWR</t>
  </si>
  <si>
    <t>semiconductors</t>
  </si>
  <si>
    <t>KOF</t>
  </si>
  <si>
    <t>coca</t>
  </si>
  <si>
    <t>LPG</t>
  </si>
  <si>
    <t>natural resource</t>
  </si>
  <si>
    <t>OXM</t>
  </si>
  <si>
    <t>textiles</t>
  </si>
  <si>
    <t>DINO</t>
  </si>
  <si>
    <t>Chemicals</t>
  </si>
  <si>
    <t>J</t>
  </si>
  <si>
    <t>BJ</t>
  </si>
  <si>
    <t>Left</t>
  </si>
  <si>
    <t>AMGN</t>
  </si>
  <si>
    <t>PBT</t>
  </si>
  <si>
    <t>auto parts</t>
  </si>
  <si>
    <t>ADBE</t>
  </si>
  <si>
    <t>NUE</t>
  </si>
  <si>
    <t>ORCL</t>
  </si>
  <si>
    <t>Software</t>
  </si>
  <si>
    <t>PYPL</t>
  </si>
  <si>
    <t>FDX</t>
  </si>
  <si>
    <t>ALB</t>
  </si>
  <si>
    <t>construction supplies</t>
  </si>
  <si>
    <t>AVGO</t>
  </si>
  <si>
    <t>it service</t>
  </si>
  <si>
    <t>MO</t>
  </si>
  <si>
    <t>ABC</t>
  </si>
  <si>
    <t>CBRE</t>
  </si>
  <si>
    <t>STZ</t>
  </si>
  <si>
    <t>DE</t>
  </si>
  <si>
    <t>EA</t>
  </si>
  <si>
    <t>GNRC</t>
  </si>
  <si>
    <t>HAS</t>
  </si>
  <si>
    <t>MAS</t>
  </si>
  <si>
    <t>MCHP</t>
  </si>
  <si>
    <t>NXPI</t>
  </si>
  <si>
    <t>NLOK</t>
  </si>
  <si>
    <t>PXD</t>
  </si>
  <si>
    <t>KHC</t>
  </si>
  <si>
    <t>MCK</t>
  </si>
  <si>
    <t>WGO</t>
  </si>
  <si>
    <t>litium, EV</t>
  </si>
  <si>
    <t>HOLI</t>
  </si>
  <si>
    <t>RIVN</t>
  </si>
  <si>
    <t>EV</t>
  </si>
  <si>
    <t>CTAS</t>
  </si>
  <si>
    <t>uniforms</t>
  </si>
  <si>
    <t>Energy Equipment</t>
  </si>
  <si>
    <t>APRN</t>
  </si>
  <si>
    <t>me research</t>
  </si>
  <si>
    <t>Search type</t>
  </si>
  <si>
    <t>Filters</t>
  </si>
  <si>
    <t xml:space="preserve">Other potential filters </t>
  </si>
  <si>
    <t xml:space="preserve">EPS greater than 20%, increasing RSI not over 70 (overbought) </t>
  </si>
  <si>
    <t xml:space="preserve">Strong uptrending stock </t>
  </si>
  <si>
    <t xml:space="preserve">Stock price above 20-day, 50-day and 200-day SMAs </t>
  </si>
  <si>
    <t xml:space="preserve">EPS negative and decreasing RSI not under 30 (oversold) </t>
  </si>
  <si>
    <t xml:space="preserve">Strong downtrending stock </t>
  </si>
  <si>
    <t xml:space="preserve">Stock price below 20-day, 50-day and 200-day SMAs </t>
  </si>
  <si>
    <t xml:space="preserve">Float short greater than 20% Dragonfly candle pattern </t>
  </si>
  <si>
    <t xml:space="preserve">Reversal trend down to up </t>
  </si>
  <si>
    <t xml:space="preserve">Stock price above 20-day, below 50-day and 200-day SMAs </t>
  </si>
  <si>
    <t>Gravestone candle pattern Float short less than 5%</t>
  </si>
  <si>
    <t xml:space="preserve">Reversal trend up to down </t>
  </si>
  <si>
    <t xml:space="preserve">Stock price below 20-day, above 50-day and 200-day SMAs </t>
  </si>
  <si>
    <t xml:space="preserve">RSI under 30 </t>
  </si>
  <si>
    <t xml:space="preserve">Reversal trend down to up* </t>
  </si>
  <si>
    <t xml:space="preserve">Double bottom, engulfing candle up, or dragonfly doji </t>
  </si>
  <si>
    <t>RSI over 70</t>
  </si>
  <si>
    <t xml:space="preserve">Reversal trend up to down* </t>
  </si>
  <si>
    <t xml:space="preserve">Double top, engulfing candle down, gravestone doji </t>
  </si>
  <si>
    <t>DEN</t>
  </si>
  <si>
    <t>CLFD</t>
  </si>
  <si>
    <t>com equipment</t>
  </si>
  <si>
    <t>MBLY</t>
  </si>
  <si>
    <t>TQQQ</t>
  </si>
  <si>
    <t>SKY</t>
  </si>
  <si>
    <t>CVCO</t>
  </si>
  <si>
    <t>CCS</t>
  </si>
  <si>
    <t>cheap house builder</t>
  </si>
  <si>
    <t>cheap house builder 3D print</t>
  </si>
  <si>
    <t>DK</t>
  </si>
  <si>
    <t>MPC</t>
  </si>
  <si>
    <t>PBF</t>
  </si>
  <si>
    <t>SQQQ</t>
  </si>
  <si>
    <t>baverages</t>
  </si>
  <si>
    <t>volatility ETF</t>
  </si>
  <si>
    <t>multifactor ETF</t>
  </si>
  <si>
    <t>machinery</t>
  </si>
  <si>
    <t>CPB</t>
  </si>
  <si>
    <t>N G</t>
  </si>
  <si>
    <t>CMI</t>
  </si>
  <si>
    <t>Machinery disel-&gt;hydro</t>
  </si>
  <si>
    <t>metal/undervalueted</t>
  </si>
  <si>
    <t>CVX</t>
  </si>
  <si>
    <t>oil/gas Chevron</t>
  </si>
  <si>
    <t xml:space="preserve">oil/gas </t>
  </si>
  <si>
    <t>AR</t>
  </si>
  <si>
    <t>ZVIA</t>
  </si>
  <si>
    <t>NIO</t>
  </si>
  <si>
    <t>auto china</t>
  </si>
  <si>
    <t>V</t>
  </si>
  <si>
    <t>AMZN</t>
  </si>
  <si>
    <t>oil/gas</t>
  </si>
  <si>
    <t>NFLX</t>
  </si>
  <si>
    <t>Entertainment</t>
  </si>
  <si>
    <t>Avg ratio</t>
  </si>
  <si>
    <t>Avg Risk Ratio</t>
  </si>
  <si>
    <t>Avg profit</t>
  </si>
  <si>
    <t>Avg days</t>
  </si>
  <si>
    <t>OMAB</t>
  </si>
  <si>
    <t>Transportation Infrastructure</t>
  </si>
  <si>
    <t>ANET</t>
  </si>
  <si>
    <t>Comm &amp; network</t>
  </si>
  <si>
    <t>CAT</t>
  </si>
  <si>
    <t>GILD</t>
  </si>
  <si>
    <t>RMD</t>
  </si>
  <si>
    <t>ABC, REGN, CI, COP, PH, K</t>
  </si>
  <si>
    <t xml:space="preserve">GREEN </t>
  </si>
  <si>
    <t>APA, MSI, MRNA, HII, CTVA, CMI, AMGN</t>
  </si>
  <si>
    <t>MET</t>
  </si>
  <si>
    <t>FTNT</t>
  </si>
  <si>
    <t>RVNC</t>
  </si>
  <si>
    <t>VTRS</t>
  </si>
  <si>
    <t>CDW, CRL, EMR, HUM, ROK</t>
  </si>
  <si>
    <t>MET, LNC, IR, HST, CF, MRO</t>
  </si>
  <si>
    <t>INCY, XYL, WAB, LDOS, IT, ETN, AME</t>
  </si>
  <si>
    <t>PSX, PAYC, MPC, MDLZ, MCK, EA, DVN, AIG</t>
  </si>
  <si>
    <t>Q-ty</t>
  </si>
  <si>
    <t>NRG, VTRS</t>
  </si>
  <si>
    <t>TUR</t>
  </si>
  <si>
    <t>TROW</t>
  </si>
  <si>
    <t>LHX</t>
  </si>
  <si>
    <t>ELV</t>
  </si>
  <si>
    <t>ACM</t>
  </si>
  <si>
    <t>MOG.A</t>
  </si>
  <si>
    <t>PSN</t>
  </si>
  <si>
    <t>HUM</t>
  </si>
  <si>
    <t>TJX</t>
  </si>
  <si>
    <t>VIR, VRTX, RCUS</t>
  </si>
  <si>
    <t>ALGM</t>
  </si>
  <si>
    <t>ET</t>
  </si>
  <si>
    <t>BBY</t>
  </si>
  <si>
    <t>KEYS, UGI</t>
  </si>
  <si>
    <t>WRB</t>
  </si>
  <si>
    <t>UGI</t>
  </si>
  <si>
    <t>CPRT</t>
  </si>
  <si>
    <t>RJF</t>
  </si>
  <si>
    <t>IBKR</t>
  </si>
  <si>
    <t>HLI</t>
  </si>
  <si>
    <t>oil/gas pipline</t>
  </si>
  <si>
    <t>win</t>
  </si>
  <si>
    <t>PRTS</t>
  </si>
  <si>
    <t>RGA</t>
  </si>
  <si>
    <t>HIG</t>
  </si>
  <si>
    <t>Profit</t>
  </si>
  <si>
    <t>SNPS</t>
  </si>
  <si>
    <t>KR</t>
  </si>
  <si>
    <t>NOV</t>
  </si>
  <si>
    <t>IBB</t>
  </si>
  <si>
    <t>Shoulder pattern</t>
  </si>
  <si>
    <t>UNFI</t>
  </si>
  <si>
    <t>CBRL</t>
  </si>
  <si>
    <t>SAIC</t>
  </si>
  <si>
    <t>ZION</t>
  </si>
  <si>
    <t>PFE</t>
  </si>
  <si>
    <t>Hotels Restaurants &amp; Leisure</t>
  </si>
  <si>
    <t>Electric Utilities</t>
  </si>
  <si>
    <t>N</t>
  </si>
  <si>
    <t>Bu</t>
  </si>
  <si>
    <t>N/</t>
  </si>
  <si>
    <t>Bu+</t>
  </si>
  <si>
    <t>N/Bu</t>
  </si>
  <si>
    <t>Be</t>
  </si>
  <si>
    <t>N/Be</t>
  </si>
  <si>
    <t>Be-</t>
  </si>
  <si>
    <t>Oil Gas &amp; Consumable Fuels</t>
  </si>
  <si>
    <t>Small Cap Value ETFs</t>
  </si>
  <si>
    <t>Metals &amp; Mining</t>
  </si>
  <si>
    <t>Construction &amp; Engineering</t>
  </si>
  <si>
    <t>Food Products</t>
  </si>
  <si>
    <t>Information Technology ETFs</t>
  </si>
  <si>
    <t>Health Care Providers</t>
  </si>
  <si>
    <t>Pharmaceuticals</t>
  </si>
  <si>
    <t>Beverages</t>
  </si>
  <si>
    <t>Automobiles</t>
  </si>
  <si>
    <t>Air Freight &amp; Logistics</t>
  </si>
  <si>
    <t>Aerospace &amp; Defense</t>
  </si>
  <si>
    <t>Containers &amp; Packaging</t>
  </si>
  <si>
    <t>Wireless Telecommunication</t>
  </si>
  <si>
    <t>Energy Equipment &amp; Services</t>
  </si>
  <si>
    <t>Professional Services</t>
  </si>
  <si>
    <t>Comm. Services &amp; Supplies</t>
  </si>
  <si>
    <t>Diversified Consumer Services</t>
  </si>
  <si>
    <t>Communications Equipment</t>
  </si>
  <si>
    <t>Specialty Retail</t>
  </si>
  <si>
    <t>Gas Utilities</t>
  </si>
  <si>
    <t>Tech. Hardware &amp; Storage</t>
  </si>
  <si>
    <t>Telecomm. Services</t>
  </si>
  <si>
    <t>Textiles/Apparel &amp; Luxury</t>
  </si>
  <si>
    <t>Health Care Equipment</t>
  </si>
  <si>
    <t>Health Care ETFs</t>
  </si>
  <si>
    <t>Banks</t>
  </si>
  <si>
    <t>Trading Comp. &amp; Dist.</t>
  </si>
  <si>
    <t>Capital Markets</t>
  </si>
  <si>
    <t>All Cap Blend ETFs</t>
  </si>
  <si>
    <t>Large Cap Blend ETFs</t>
  </si>
  <si>
    <t>Energy ETFs</t>
  </si>
  <si>
    <t>Consumer Staples ETFs</t>
  </si>
  <si>
    <t>Building Products</t>
  </si>
  <si>
    <t>Insurance</t>
  </si>
  <si>
    <t>Dividend Yield ETFs</t>
  </si>
  <si>
    <t>Global Equity ETFs</t>
  </si>
  <si>
    <t>Distributors</t>
  </si>
  <si>
    <t>MSFT</t>
  </si>
  <si>
    <t>LULU</t>
  </si>
  <si>
    <t>EQT</t>
  </si>
  <si>
    <t>IEP</t>
  </si>
  <si>
    <t>TXT</t>
  </si>
  <si>
    <t>THO</t>
  </si>
  <si>
    <t>EXPE</t>
  </si>
  <si>
    <t>Industrial Conglomerates</t>
  </si>
  <si>
    <t>CIEN</t>
  </si>
  <si>
    <t>MAA</t>
  </si>
  <si>
    <t>GSK</t>
  </si>
  <si>
    <t>JBL</t>
  </si>
  <si>
    <t>GDX</t>
  </si>
  <si>
    <t>AMD</t>
  </si>
  <si>
    <t>MRNA</t>
  </si>
  <si>
    <t>ACN</t>
  </si>
  <si>
    <t>GIS</t>
  </si>
  <si>
    <t>HEI</t>
  </si>
  <si>
    <t>fertilizer</t>
  </si>
  <si>
    <t>NKE</t>
  </si>
  <si>
    <t>Sell 8%</t>
  </si>
  <si>
    <t>ENPH</t>
  </si>
  <si>
    <t>Strong</t>
  </si>
  <si>
    <t>Weak</t>
  </si>
  <si>
    <t>Neutral</t>
  </si>
  <si>
    <t>Early</t>
  </si>
  <si>
    <t>Wait</t>
  </si>
  <si>
    <t>gold ETF</t>
  </si>
  <si>
    <t>UUP</t>
  </si>
  <si>
    <t>Household Durables</t>
  </si>
  <si>
    <t>DRI</t>
  </si>
  <si>
    <t>CALM</t>
  </si>
  <si>
    <t>AEL</t>
  </si>
  <si>
    <t>Single Currency ETFs</t>
  </si>
  <si>
    <t>SW</t>
  </si>
  <si>
    <t>OIS</t>
  </si>
  <si>
    <t>SQM</t>
  </si>
  <si>
    <t>LW</t>
  </si>
  <si>
    <t>EPAM</t>
  </si>
  <si>
    <t>TMO</t>
  </si>
  <si>
    <t>Life Sciences Tools &amp; Services</t>
  </si>
  <si>
    <t>CRM</t>
  </si>
  <si>
    <t>DIOD</t>
  </si>
  <si>
    <t>CRUS</t>
  </si>
  <si>
    <t>ALL</t>
  </si>
  <si>
    <t>AAL</t>
  </si>
  <si>
    <t>UAL</t>
  </si>
  <si>
    <t>JPM</t>
  </si>
  <si>
    <t>BK</t>
  </si>
  <si>
    <t>ARCB</t>
  </si>
  <si>
    <t>MS</t>
  </si>
  <si>
    <t>EMR</t>
  </si>
  <si>
    <t>GS</t>
  </si>
  <si>
    <t>JBHT, SCHW</t>
  </si>
  <si>
    <t>AAL, DFS</t>
  </si>
  <si>
    <t>VVX</t>
  </si>
  <si>
    <t>DCO</t>
  </si>
  <si>
    <t>NPK</t>
  </si>
  <si>
    <t>UDOW</t>
  </si>
  <si>
    <t>Leveraged Equities ETFs</t>
  </si>
  <si>
    <t>Electrical Equipment</t>
  </si>
  <si>
    <t>NTRS</t>
  </si>
  <si>
    <t>LMT</t>
  </si>
  <si>
    <t>FCX, SYF</t>
  </si>
  <si>
    <t>XYL</t>
  </si>
  <si>
    <t>DHI, DHR, HAL, MMM, PCAR, TRV</t>
  </si>
  <si>
    <t>APH, FFIV</t>
  </si>
  <si>
    <t>DHR</t>
  </si>
  <si>
    <t>RMBS</t>
  </si>
  <si>
    <t>CVX, HCA</t>
  </si>
  <si>
    <t>TER</t>
  </si>
  <si>
    <t>CNXC</t>
  </si>
  <si>
    <t>JNJ</t>
  </si>
  <si>
    <t>POST</t>
  </si>
  <si>
    <t>TSN</t>
  </si>
  <si>
    <t>CAH</t>
  </si>
  <si>
    <t>AOS, CAT, DOV, MPC, MSCI, PHM, PNR, XOM</t>
  </si>
  <si>
    <t>CB, JNPR, PSX, PYPL</t>
  </si>
  <si>
    <t>Tobacco</t>
  </si>
  <si>
    <t>TLT</t>
  </si>
  <si>
    <t>CVNA</t>
  </si>
  <si>
    <t>KWEB</t>
  </si>
  <si>
    <t>META</t>
  </si>
  <si>
    <t>CB</t>
  </si>
  <si>
    <t>APD, TT, SNA, PH, DGX, AME</t>
  </si>
  <si>
    <t>QCOM, MCHP, CTSH, GILD</t>
  </si>
  <si>
    <t>BA</t>
  </si>
  <si>
    <t>Interactive Media &amp; Services</t>
  </si>
  <si>
    <t>SWKS</t>
  </si>
  <si>
    <t>PH</t>
  </si>
  <si>
    <t>W</t>
  </si>
  <si>
    <t>FISV, INCY, IT, LIN, TDG, XYL</t>
  </si>
  <si>
    <t>FMC, FTNT</t>
  </si>
  <si>
    <t>WBA</t>
  </si>
  <si>
    <t>PBR</t>
  </si>
  <si>
    <t>GOOGL</t>
  </si>
  <si>
    <t>AMP</t>
  </si>
  <si>
    <t>URI</t>
  </si>
  <si>
    <t>low price-to-sales ratios, high return on equity, excess free cash flow, and much more.</t>
  </si>
  <si>
    <t>LYFT</t>
  </si>
  <si>
    <t>Bu+ G</t>
  </si>
  <si>
    <t>ESNT</t>
  </si>
  <si>
    <t>NVDA</t>
  </si>
  <si>
    <t>LDOS</t>
  </si>
  <si>
    <t>AJG</t>
  </si>
  <si>
    <t>ADI, BIIB, PGR, WAB</t>
  </si>
  <si>
    <t>AIG, ALB, CSCO, HST, SNPS</t>
  </si>
  <si>
    <t>SEDG</t>
  </si>
  <si>
    <t>CG</t>
  </si>
  <si>
    <t>ITA</t>
  </si>
  <si>
    <t>DFEN</t>
  </si>
  <si>
    <t>Industrials ETFs</t>
  </si>
  <si>
    <t>NEM</t>
  </si>
  <si>
    <t>HD</t>
  </si>
  <si>
    <t>NDSN</t>
  </si>
  <si>
    <t>What was going on mentally during the setup? 
What occurred right after the entry?
 What were you thinking about while in the trade? 
What were you doing? 
How did you react after getting out of the trade? 
What prevented you from seeing your blind spots? 
What was good about this trade and should be repeated? 
What was bad about this trade and should be avoided? 
What are some improvement areas to work on? 
Are there any key takeaways from this trade?</t>
  </si>
  <si>
    <t>DPZ</t>
  </si>
  <si>
    <t>GM</t>
  </si>
  <si>
    <t>AMR</t>
  </si>
  <si>
    <t>Buy, to open</t>
  </si>
  <si>
    <t>Seabridge Jan. 31 $15 calls</t>
  </si>
  <si>
    <t>Right to buy</t>
  </si>
  <si>
    <t>Seabridge at $15</t>
  </si>
  <si>
    <t>Spend $165</t>
  </si>
  <si>
    <t>Sell, to open</t>
  </si>
  <si>
    <t>Seabridge Jan. 31 $20 calls</t>
  </si>
  <si>
    <t>Obligation to sell</t>
  </si>
  <si>
    <t>Seabridge at $20</t>
  </si>
  <si>
    <t>Collect $85</t>
  </si>
  <si>
    <t>Seabridge Jan. 31 $10 calls</t>
  </si>
  <si>
    <t>Seabridge at $10</t>
  </si>
  <si>
    <t>Collect $110</t>
  </si>
  <si>
    <t>SA</t>
  </si>
  <si>
    <t>ADSK</t>
  </si>
  <si>
    <t>CRBG</t>
  </si>
  <si>
    <t>spun off from  AIG</t>
  </si>
  <si>
    <t>UHS</t>
  </si>
  <si>
    <t>GPC</t>
  </si>
  <si>
    <t>QRVO</t>
  </si>
  <si>
    <t>RES</t>
  </si>
  <si>
    <t>MHK</t>
  </si>
  <si>
    <t>Above 200 MA</t>
  </si>
  <si>
    <t>SMR</t>
  </si>
  <si>
    <t>SCHW</t>
  </si>
  <si>
    <t>1. What’s the overall trend? Is it up, down, or sideways?</t>
  </si>
  <si>
    <t>2. What’s the chart pattern? Is it a trend continuation pattern or a reversal one?</t>
  </si>
  <si>
    <t>3. Does the momentum in the market back up my trend and pattern analysis?</t>
  </si>
  <si>
    <t>4. What’s my T.E.S.T. (timeframe, entry, stop loss, and target)?</t>
  </si>
  <si>
    <t>FRC</t>
  </si>
  <si>
    <t>EEFT</t>
  </si>
  <si>
    <t>BAC</t>
  </si>
  <si>
    <t>AIR</t>
  </si>
  <si>
    <t>Automobile Components</t>
  </si>
  <si>
    <t>Consumer Staples Distribution &amp; Retail</t>
  </si>
  <si>
    <t>Financial Services</t>
  </si>
  <si>
    <t>Broadline Retail</t>
  </si>
  <si>
    <t>Ground Transportation</t>
  </si>
  <si>
    <t>Passenger Airlines</t>
  </si>
  <si>
    <t>Residential REITs</t>
  </si>
  <si>
    <t>PAYC</t>
  </si>
  <si>
    <t>USB</t>
  </si>
  <si>
    <t>FCX</t>
  </si>
  <si>
    <t>Imre</t>
  </si>
  <si>
    <t>INTU</t>
  </si>
  <si>
    <t>LPLA</t>
  </si>
  <si>
    <t xml:space="preserve">ADBE </t>
  </si>
  <si>
    <t>CRL</t>
  </si>
  <si>
    <t>CDW</t>
  </si>
  <si>
    <t>BLDR</t>
  </si>
  <si>
    <t>RS</t>
  </si>
  <si>
    <t>WOR</t>
  </si>
  <si>
    <t>AMAT</t>
  </si>
  <si>
    <t>CZR</t>
  </si>
  <si>
    <r>
      <rPr>
        <sz val="11"/>
        <color rgb="FFFF0000"/>
        <rFont val="Calibri"/>
        <family val="2"/>
        <scheme val="minor"/>
      </rPr>
      <t>2 months</t>
    </r>
    <r>
      <rPr>
        <sz val="11"/>
        <rFont val="Calibri"/>
        <family val="2"/>
        <scheme val="minor"/>
      </rPr>
      <t xml:space="preserve"> cycle oil/gas pipline</t>
    </r>
  </si>
  <si>
    <t>Optimal</t>
  </si>
  <si>
    <t>QYLD</t>
  </si>
  <si>
    <t>NVO</t>
  </si>
  <si>
    <t>TDC</t>
  </si>
  <si>
    <t>PSA</t>
  </si>
  <si>
    <t>FAST</t>
  </si>
  <si>
    <t>Specialized REITs</t>
  </si>
  <si>
    <t>ZS</t>
  </si>
  <si>
    <t>Media</t>
  </si>
  <si>
    <t>STT</t>
  </si>
  <si>
    <t>HPE</t>
  </si>
  <si>
    <t>ABNB</t>
  </si>
  <si>
    <t>SNA</t>
  </si>
  <si>
    <t>LRCX</t>
  </si>
  <si>
    <t>DHI</t>
  </si>
  <si>
    <t>Government Issuer ETFs</t>
  </si>
  <si>
    <t>CARR</t>
  </si>
  <si>
    <t>XSW</t>
  </si>
  <si>
    <t>MSCI</t>
  </si>
  <si>
    <t>UPS</t>
  </si>
  <si>
    <t>ALGN</t>
  </si>
  <si>
    <t>CMCSA</t>
  </si>
  <si>
    <t>FSLR</t>
  </si>
  <si>
    <t>GPN</t>
  </si>
  <si>
    <t>EXPD</t>
  </si>
  <si>
    <t>RCL</t>
  </si>
  <si>
    <t>SBUX</t>
  </si>
  <si>
    <t>BIO</t>
  </si>
  <si>
    <t>WAL</t>
  </si>
  <si>
    <t>GSIT</t>
  </si>
  <si>
    <t>PCH</t>
  </si>
  <si>
    <t>PARA</t>
  </si>
  <si>
    <t>ETSY</t>
  </si>
  <si>
    <t>PVH</t>
  </si>
  <si>
    <t>TGT</t>
  </si>
  <si>
    <t>XHB</t>
  </si>
  <si>
    <t>TTWO</t>
  </si>
  <si>
    <t>COF</t>
  </si>
  <si>
    <t>Consumer Finance</t>
  </si>
  <si>
    <t>SMCI</t>
  </si>
  <si>
    <t>MDT</t>
  </si>
  <si>
    <t>Leisure Products</t>
  </si>
  <si>
    <t>MDB</t>
  </si>
  <si>
    <t>VMW</t>
  </si>
  <si>
    <t>ARKK</t>
  </si>
  <si>
    <t>WBD</t>
  </si>
  <si>
    <t>DOCU</t>
  </si>
  <si>
    <t>NCLH</t>
  </si>
  <si>
    <t>MAR</t>
  </si>
  <si>
    <t>Stocks need to be above their rising long-term trend</t>
  </si>
  <si>
    <t>The Chaikin Money Flow indicator needs to be persistently green </t>
  </si>
  <si>
    <t>~$100</t>
  </si>
  <si>
    <t xml:space="preserve">Company                                        Ticker  Industry                         Two-year estimated sales CAGR through 2025  Price change -- Oct. 12 through June 12  Price change since end of 2021 </t>
  </si>
  <si>
    <t xml:space="preserve">Enphase Energy Inc.                             ENPH   Semiconductors                                                        24.7%                                    -33%                             -3% </t>
  </si>
  <si>
    <t xml:space="preserve">Insulet Corp.                                   PODD   Medical Specialties                                                   18.8%                                     -3%                              7% </t>
  </si>
  <si>
    <t xml:space="preserve">ONEOK Inc.                                      OKE    Oil and Gas Pipelines                                                 14.8%                                     -9%                              2% </t>
  </si>
  <si>
    <t xml:space="preserve">Targa Resources Corp.                           TRGP   Gas Distributors                                                      14.4%                                     -5%                             34% </t>
  </si>
  <si>
    <t xml:space="preserve">Cigna Group                                      CI    Managed Healthcare                                                    13.9%                                    -19%                             16% </t>
  </si>
  <si>
    <t xml:space="preserve">EPAM Systems Inc.                               EPAM   Information Technology Services                                       13.7%                                    -33%                            -67% </t>
  </si>
  <si>
    <t xml:space="preserve">Hess Corp.                                      HES    Integrated Oil                                                        13.5%                                     -5%                             82% </t>
  </si>
  <si>
    <t xml:space="preserve">Charles Schwab Corp.                            SCHW   Investment Banks/ Brokers                                             13.1%                                    -35%                            -36% </t>
  </si>
  <si>
    <t xml:space="preserve">Bio-Techne Corp.                                TECH   Biotechnology                                                         12.9%                                     -5%                            -39% </t>
  </si>
  <si>
    <t xml:space="preserve">Incyte Corp.                                    INCY   Pharmaceuticals                                                       12.5%                                    -23%                            -15% </t>
  </si>
  <si>
    <t xml:space="preserve">Match Group Inc.                                MTCH   Internet Software/ Services                                           11.7%                                     -1%                            -69% </t>
  </si>
  <si>
    <t xml:space="preserve">MarketAxess Holdings Inc.                       MKTX   Investment Banks/ Brokers                                             11.3%                                     -3%                            -34% </t>
  </si>
  <si>
    <t xml:space="preserve">Starbucks Corp.                                 SBUX   Restaurants                                                           11.2%                                     -1%                            -16% </t>
  </si>
  <si>
    <t xml:space="preserve">EstÃ©e Lauder Cos. Inc. Class A                   EL    Household/ Personal Care                                              10.9%                                    -28%                            -51% </t>
  </si>
  <si>
    <t xml:space="preserve">Etsy Inc.                                       ETSY   Internet Retail                                                       10.8%                                    -24%                            -59% </t>
  </si>
  <si>
    <t xml:space="preserve">Schlumberger Ltd.                               SLB    Contract Drilling                                                     10.7%                                    -12%                             57% </t>
  </si>
  <si>
    <t xml:space="preserve">BlackRock Inc.                                  BLK    Investment Managers                                                   10.3%                                     -4%                            -25% </t>
  </si>
  <si>
    <t xml:space="preserve">Molina Healthcare Inc.                          MOH    Managed Healthcare                                                     9.8%                                    -13%                             -9% </t>
  </si>
  <si>
    <t>CCL</t>
  </si>
  <si>
    <t>HSY</t>
  </si>
  <si>
    <t>HACK</t>
  </si>
  <si>
    <t>CARZ</t>
  </si>
  <si>
    <t>KE</t>
  </si>
  <si>
    <t>KAI</t>
  </si>
  <si>
    <t>BOIL</t>
  </si>
  <si>
    <t>gas etf</t>
  </si>
  <si>
    <t>PANW</t>
  </si>
  <si>
    <t>JNPR</t>
  </si>
  <si>
    <t>F</t>
  </si>
  <si>
    <t>NXT</t>
  </si>
  <si>
    <t>SHLS</t>
  </si>
  <si>
    <t>IPG</t>
  </si>
  <si>
    <t>AXP</t>
  </si>
  <si>
    <t>ALK</t>
  </si>
  <si>
    <t>EBAY</t>
  </si>
  <si>
    <t>EW</t>
  </si>
  <si>
    <t>ROL</t>
  </si>
  <si>
    <t>LYV</t>
  </si>
  <si>
    <t>DXCM</t>
  </si>
  <si>
    <t>ROK</t>
  </si>
  <si>
    <t>If the stock market is going to rally, then junk bonds will likely rally first</t>
  </si>
  <si>
    <t>HYG</t>
  </si>
  <si>
    <t>DXC</t>
  </si>
  <si>
    <t>CRWD</t>
  </si>
  <si>
    <t>BOX</t>
  </si>
  <si>
    <t>MTZ</t>
  </si>
  <si>
    <t>ZM</t>
  </si>
  <si>
    <t>RS&gt;=0.6</t>
  </si>
  <si>
    <t>crosses above EMA21</t>
  </si>
  <si>
    <t>Price &gt; EMA5</t>
  </si>
  <si>
    <t>OBOS&lt;70 OBOS Rising</t>
  </si>
  <si>
    <t>FXY</t>
  </si>
  <si>
    <t>PENN</t>
  </si>
  <si>
    <t>MMM</t>
  </si>
  <si>
    <t>Real Estate Mgmt &amp; Dev</t>
  </si>
  <si>
    <t>WDAY</t>
  </si>
  <si>
    <t>BKX</t>
  </si>
  <si>
    <t>ASML</t>
  </si>
  <si>
    <t>Stock prices are based on expected earnings growth and price-to-earnings (P/E) ratios.</t>
  </si>
  <si>
    <t>ACLS</t>
  </si>
  <si>
    <t>TOL</t>
  </si>
  <si>
    <t>debt-to-equity ratio of less than 2 to be good</t>
  </si>
  <si>
    <t>BIP</t>
  </si>
  <si>
    <t>Multi-Utilities</t>
  </si>
  <si>
    <t>ADP</t>
  </si>
  <si>
    <t>LOW</t>
  </si>
  <si>
    <t>BITO</t>
  </si>
  <si>
    <t>KIE</t>
  </si>
  <si>
    <t>Financial ETFs</t>
  </si>
  <si>
    <t>IYR</t>
  </si>
  <si>
    <t>Real Estate ETFs</t>
  </si>
  <si>
    <t>Leveraged Commodities ETFs</t>
  </si>
  <si>
    <t>CSCO</t>
  </si>
  <si>
    <t>KBE</t>
  </si>
  <si>
    <t>EEM</t>
  </si>
  <si>
    <t>GUSH</t>
  </si>
  <si>
    <t>oil 2x</t>
  </si>
  <si>
    <t>SIL</t>
  </si>
  <si>
    <t>SILJ</t>
  </si>
  <si>
    <t>silver</t>
  </si>
  <si>
    <t>DELL</t>
  </si>
  <si>
    <t>health ETF, triangle</t>
  </si>
  <si>
    <t>FXE</t>
  </si>
  <si>
    <t>EURO</t>
  </si>
  <si>
    <t>UBER</t>
  </si>
  <si>
    <t>F16</t>
  </si>
  <si>
    <t>ODFL</t>
  </si>
  <si>
    <t>JCI</t>
  </si>
  <si>
    <t>MLKN</t>
  </si>
  <si>
    <t>SHOP</t>
  </si>
  <si>
    <t>N R</t>
  </si>
  <si>
    <t>Consumer Discretionary ETFs</t>
  </si>
  <si>
    <t>PATH</t>
  </si>
  <si>
    <t>IRBT</t>
  </si>
  <si>
    <t>VRDN</t>
  </si>
  <si>
    <t>TDY</t>
  </si>
  <si>
    <t xml:space="preserve">JD </t>
  </si>
  <si>
    <t>JD</t>
  </si>
  <si>
    <t>CTBI</t>
  </si>
  <si>
    <t>ProShares Short S&amp;P 500 ETF</t>
  </si>
  <si>
    <t>NYSEARCA: SH</t>
  </si>
  <si>
    <t>$1.16 billion</t>
  </si>
  <si>
    <t>ProShares UltraPro Short QQQ ETF</t>
  </si>
  <si>
    <t>NASDAQ: SQQQ</t>
  </si>
  <si>
    <t>$2.93 billion</t>
  </si>
  <si>
    <t>Direxion Daily S&amp;P 500 Bear 3X Shares ETF</t>
  </si>
  <si>
    <t>NYSEARCA: SPXS</t>
  </si>
  <si>
    <t>$610 million</t>
  </si>
  <si>
    <t>Direxion Daily Small Cap Bear 3X Shares ETF </t>
  </si>
  <si>
    <t>NYSEARCA: TZA</t>
  </si>
  <si>
    <t>$436 million</t>
  </si>
  <si>
    <t>iShares 20+ Year Treasury Bond ETF</t>
  </si>
  <si>
    <t>NASDAQ: TLT</t>
  </si>
  <si>
    <t>$47 billion</t>
  </si>
  <si>
    <t>SPDR Gold Trust ETF </t>
  </si>
  <si>
    <t>NYSEARCA: GLD</t>
  </si>
  <si>
    <t>$55.5 billion</t>
  </si>
  <si>
    <t>Vanguard Total Bond Market ETF</t>
  </si>
  <si>
    <t>NASDAQ: BND</t>
  </si>
  <si>
    <t>$104 billion</t>
  </si>
  <si>
    <t>SNAP</t>
  </si>
  <si>
    <t>ROBO</t>
  </si>
  <si>
    <t>S&amp;P trades for about 20 times earnings</t>
  </si>
  <si>
    <t>DIS</t>
  </si>
  <si>
    <t>BOTZ</t>
  </si>
  <si>
    <t>insurance</t>
  </si>
  <si>
    <t>AREN</t>
  </si>
  <si>
    <t>Overb/Overs</t>
  </si>
  <si>
    <t>Long term trend</t>
  </si>
  <si>
    <t>Money Flow</t>
  </si>
  <si>
    <t>ROKU</t>
  </si>
  <si>
    <t xml:space="preserve">ROKU </t>
  </si>
  <si>
    <t>BLUE</t>
  </si>
  <si>
    <t>N+ G</t>
  </si>
  <si>
    <t>CIBR</t>
  </si>
  <si>
    <t>LEN</t>
  </si>
  <si>
    <t>DG</t>
  </si>
  <si>
    <t>SE</t>
  </si>
  <si>
    <t>gold has “hotspot dates” between December 12th - December 24th?</t>
  </si>
  <si>
    <t>MRVL</t>
  </si>
  <si>
    <t>Be R</t>
  </si>
  <si>
    <t>&gt;20 and 50</t>
  </si>
  <si>
    <t>"+2"</t>
  </si>
  <si>
    <t>&gt;20 &lt;50</t>
  </si>
  <si>
    <t>"+1"</t>
  </si>
  <si>
    <t>20 and 50 up</t>
  </si>
  <si>
    <t>add "+1"</t>
  </si>
  <si>
    <t>&lt;20 &lt;50</t>
  </si>
  <si>
    <t>"-2"</t>
  </si>
  <si>
    <t>&lt;20 &gt;50</t>
  </si>
  <si>
    <t>"-1"</t>
  </si>
  <si>
    <t>20 and 50down</t>
  </si>
  <si>
    <t>add "-1"</t>
  </si>
  <si>
    <t>These days occur, like clockwork, on the third Friday of every March, June, September, and December.</t>
  </si>
  <si>
    <t xml:space="preserve">“Quadruple Witching Day.” </t>
  </si>
  <si>
    <t>CVS</t>
  </si>
  <si>
    <t>GL</t>
  </si>
  <si>
    <t>DECK</t>
  </si>
  <si>
    <t>ALLT</t>
  </si>
  <si>
    <t>IAC</t>
  </si>
  <si>
    <t>BHP</t>
  </si>
  <si>
    <t>ALLY</t>
  </si>
  <si>
    <t>TSM</t>
  </si>
  <si>
    <t>LKQ</t>
  </si>
  <si>
    <t>INTC</t>
  </si>
  <si>
    <t>BITI</t>
  </si>
  <si>
    <t>Inverse Currency ETFs</t>
  </si>
  <si>
    <t>LCID</t>
  </si>
  <si>
    <t>XLU</t>
  </si>
  <si>
    <t>Utilities ETFs</t>
  </si>
  <si>
    <t>PDD</t>
  </si>
  <si>
    <t>FXI</t>
  </si>
  <si>
    <t>GCT</t>
  </si>
  <si>
    <t>VST</t>
  </si>
  <si>
    <t>BBWI</t>
  </si>
  <si>
    <t>Ind. Power &amp; Renewable Elec</t>
  </si>
  <si>
    <t>3-&gt;4</t>
  </si>
  <si>
    <t>ZBRA</t>
  </si>
  <si>
    <t>A-&gt;B</t>
  </si>
  <si>
    <t>PNR</t>
  </si>
  <si>
    <t>&gt;A</t>
  </si>
  <si>
    <t>CROX</t>
  </si>
  <si>
    <t>COPX</t>
  </si>
  <si>
    <t>IWM</t>
  </si>
  <si>
    <t>Small Cap Blend ETFs</t>
  </si>
  <si>
    <t>Be G</t>
  </si>
  <si>
    <t>RIO</t>
  </si>
  <si>
    <t>copper</t>
  </si>
  <si>
    <t>CMG</t>
  </si>
  <si>
    <t>FLR</t>
  </si>
  <si>
    <t>China IT</t>
  </si>
  <si>
    <t>PLTR</t>
  </si>
  <si>
    <t>ERIE</t>
  </si>
  <si>
    <t>Bu G</t>
  </si>
  <si>
    <t>FNF</t>
  </si>
  <si>
    <t>FFIV</t>
  </si>
  <si>
    <t>VYM</t>
  </si>
  <si>
    <t>BP</t>
  </si>
  <si>
    <t>oil gas</t>
  </si>
  <si>
    <t>ALLE</t>
  </si>
  <si>
    <t>GE</t>
  </si>
  <si>
    <t xml:space="preserve">Bu G </t>
  </si>
  <si>
    <t>MAGS</t>
  </si>
  <si>
    <t>HWM</t>
  </si>
  <si>
    <t>HOOD</t>
  </si>
  <si>
    <t>XLF</t>
  </si>
  <si>
    <t>GMED</t>
  </si>
  <si>
    <t>RL</t>
  </si>
  <si>
    <t>Tesla (TSLA) has a “green day” of May 19, with a 100% historical success rate.</t>
  </si>
  <si>
    <t>Advanced Micro Devices has a “green day” of November 16, with an 86% historical success rate.</t>
  </si>
  <si>
    <t>Lululemon (LULU) has a “green day” of March 14, with an 87% historical success rate.</t>
  </si>
  <si>
    <t>Broadcom (AVGO) has a “green day” of May 23, with a 100% historical success rate.</t>
  </si>
  <si>
    <t>Lithia Motors (LAD) has a “green day” of June 19, with a 93% historical success rate, and more</t>
  </si>
  <si>
    <t>AEE</t>
  </si>
  <si>
    <t>HE</t>
  </si>
  <si>
    <t>EIX</t>
  </si>
  <si>
    <t>Hawaii Electrical</t>
  </si>
  <si>
    <t>LA Electrical</t>
  </si>
  <si>
    <t>PCG</t>
  </si>
  <si>
    <t>PG&amp;E</t>
  </si>
  <si>
    <t>ISRG</t>
  </si>
  <si>
    <t>VALE</t>
  </si>
  <si>
    <t>TM</t>
  </si>
  <si>
    <t>RPD</t>
  </si>
  <si>
    <t>AI vision</t>
  </si>
  <si>
    <t>AI integration</t>
  </si>
  <si>
    <t>CRDO</t>
  </si>
  <si>
    <t>toyota</t>
  </si>
  <si>
    <t>AIQ</t>
  </si>
  <si>
    <t>AGIX</t>
  </si>
  <si>
    <t>DTCR</t>
  </si>
  <si>
    <t>COCO</t>
  </si>
  <si>
    <t>MGPI</t>
  </si>
  <si>
    <t>SOFI</t>
  </si>
  <si>
    <t>QBTS</t>
  </si>
  <si>
    <t>BABA</t>
  </si>
  <si>
    <t>COMP</t>
  </si>
  <si>
    <t>quantum comp</t>
  </si>
  <si>
    <t>VEEV</t>
  </si>
  <si>
    <t>Health Care Technology</t>
  </si>
  <si>
    <t xml:space="preserve">LOW </t>
  </si>
  <si>
    <t>CAMT</t>
  </si>
  <si>
    <t>GDDY</t>
  </si>
  <si>
    <t>ETHT</t>
  </si>
  <si>
    <t>Ethereum crypto 2x ETF</t>
  </si>
  <si>
    <t>N/A</t>
  </si>
  <si>
    <t>EHTH</t>
  </si>
  <si>
    <t>RUN</t>
  </si>
  <si>
    <t>OKTA</t>
  </si>
  <si>
    <t>ALAB</t>
  </si>
  <si>
    <t>REGN</t>
  </si>
  <si>
    <t>TLN</t>
  </si>
  <si>
    <t>DAVE</t>
  </si>
  <si>
    <t>WW</t>
  </si>
  <si>
    <t>FICO</t>
  </si>
  <si>
    <t>ABT</t>
  </si>
  <si>
    <t>URA</t>
  </si>
  <si>
    <t>uranium atomic</t>
  </si>
  <si>
    <t>ASTS</t>
  </si>
  <si>
    <t>CLS</t>
  </si>
  <si>
    <t>COIN</t>
  </si>
  <si>
    <t>TDG</t>
  </si>
  <si>
    <t>NOW</t>
  </si>
  <si>
    <t>BSY</t>
  </si>
  <si>
    <t>OKE</t>
  </si>
  <si>
    <t>N- G</t>
  </si>
  <si>
    <t>XMTR</t>
  </si>
  <si>
    <t>CTSH</t>
  </si>
  <si>
    <t>LVS</t>
  </si>
  <si>
    <t>FN</t>
  </si>
  <si>
    <t>SEIC</t>
  </si>
  <si>
    <t>NU</t>
  </si>
  <si>
    <t xml:space="preserve">DECK </t>
  </si>
  <si>
    <t>TG</t>
  </si>
  <si>
    <t>LUV</t>
  </si>
  <si>
    <t>NA</t>
  </si>
  <si>
    <t>MGA</t>
  </si>
  <si>
    <t xml:space="preserve">GOOGL </t>
  </si>
  <si>
    <t>DKS</t>
  </si>
  <si>
    <t>ILMN</t>
  </si>
  <si>
    <t>.</t>
  </si>
  <si>
    <t>GRID</t>
  </si>
  <si>
    <t>BSX</t>
  </si>
  <si>
    <t xml:space="preserve">XLF </t>
  </si>
  <si>
    <t xml:space="preserve">SMCI </t>
  </si>
  <si>
    <t>PTON</t>
  </si>
  <si>
    <t>GFS</t>
  </si>
  <si>
    <t>APTV</t>
  </si>
  <si>
    <t>RTX</t>
  </si>
  <si>
    <t xml:space="preserve">ASX </t>
  </si>
  <si>
    <t>ASX</t>
  </si>
  <si>
    <t>SAIL</t>
  </si>
  <si>
    <t>ATI</t>
  </si>
  <si>
    <t xml:space="preserve">GO </t>
  </si>
  <si>
    <t xml:space="preserve"> </t>
  </si>
  <si>
    <t>KTOS</t>
  </si>
  <si>
    <t>Aerospace Defense</t>
  </si>
  <si>
    <t xml:space="preserve">  </t>
  </si>
  <si>
    <t>MAKX</t>
  </si>
  <si>
    <t xml:space="preserve">NOW </t>
  </si>
  <si>
    <t>RYN</t>
  </si>
  <si>
    <t>N+ R</t>
  </si>
  <si>
    <t>RSP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</si>
</sst>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
    <numFmt numFmtId="165" formatCode="m/d/yy;@"/>
    <numFmt numFmtId="166" formatCode="&quot;$&quot;#,##0.0000"/>
    <numFmt numFmtId="167" formatCode="#,##0.00;[Red]#,##0.00"/>
    <numFmt numFmtId="168" formatCode="[$-409]d\-mmm;@"/>
  </numFmts>
  <fonts count="39">
    <font>
      <sz val="11"/>
      <color theme="1"/>
      <name val="Calibri"/>
      <family val="2"/>
      <scheme val="minor"/>
    </font>
    <font>
      <sz val="11"/>
      <color rgb="FFFF0000"/>
      <name val="Calibri"/>
      <family val="2"/>
      <scheme val="minor"/>
    </font>
    <font>
      <b/>
      <sz val="11"/>
      <color theme="1"/>
      <name val="Calibri"/>
      <family val="2"/>
      <scheme val="minor"/>
    </font>
    <font>
      <b/>
      <sz val="10"/>
      <name val="Arial Cyr"/>
    </font>
    <font>
      <sz val="11"/>
      <name val="Calibri"/>
      <family val="2"/>
      <scheme val="minor"/>
    </font>
    <font>
      <sz val="11"/>
      <color rgb="FF00B050"/>
      <name val="Calibri"/>
      <family val="2"/>
      <scheme val="minor"/>
    </font>
    <font>
      <b/>
      <sz val="11"/>
      <color rgb="FF00B050"/>
      <name val="Calibri"/>
      <family val="2"/>
      <scheme val="minor"/>
    </font>
    <font>
      <b/>
      <sz val="11"/>
      <color rgb="FFFF0000"/>
      <name val="Calibri"/>
      <family val="2"/>
      <scheme val="minor"/>
    </font>
    <font>
      <b/>
      <sz val="11"/>
      <color rgb="FF0070C0"/>
      <name val="Calibri"/>
      <family val="2"/>
      <scheme val="minor"/>
    </font>
    <font>
      <b/>
      <sz val="10"/>
      <color rgb="FF00B050"/>
      <name val="Arial Cyr"/>
    </font>
    <font>
      <sz val="10"/>
      <color rgb="FF232629"/>
      <name val="Cascadia Mono"/>
      <family val="3"/>
    </font>
    <font>
      <b/>
      <sz val="11"/>
      <name val="Calibri"/>
      <family val="2"/>
      <scheme val="minor"/>
    </font>
    <font>
      <b/>
      <sz val="10"/>
      <color rgb="FF232629"/>
      <name val="Cascadia Mono"/>
      <family val="3"/>
    </font>
    <font>
      <sz val="12"/>
      <color rgb="FF000000"/>
      <name val="Arial"/>
      <family val="2"/>
    </font>
    <font>
      <sz val="13"/>
      <color rgb="FF000000"/>
      <name val="Arial"/>
      <family val="2"/>
    </font>
    <font>
      <sz val="13"/>
      <color rgb="FF212529"/>
      <name val="Roboto"/>
    </font>
    <font>
      <sz val="10"/>
      <color rgb="FF242424"/>
      <name val="Arial Unicode MS"/>
      <family val="2"/>
    </font>
    <font>
      <b/>
      <sz val="11"/>
      <color theme="5"/>
      <name val="Calibri"/>
      <family val="2"/>
      <scheme val="minor"/>
    </font>
    <font>
      <sz val="11"/>
      <color rgb="FF7030A0"/>
      <name val="Calibri"/>
      <family val="2"/>
      <scheme val="minor"/>
    </font>
    <font>
      <i/>
      <sz val="12"/>
      <color rgb="FF000000"/>
      <name val="Arial"/>
      <family val="2"/>
    </font>
    <font>
      <b/>
      <sz val="12"/>
      <color rgb="FF111111"/>
      <name val="Times New Roman"/>
      <family val="1"/>
    </font>
    <font>
      <sz val="12"/>
      <color theme="1"/>
      <name val="Calibri"/>
      <family val="2"/>
      <scheme val="minor"/>
    </font>
    <font>
      <b/>
      <sz val="12"/>
      <color rgb="FF00B050"/>
      <name val="Calibri"/>
      <family val="2"/>
      <scheme val="minor"/>
    </font>
    <font>
      <sz val="11"/>
      <color rgb="FF000000"/>
      <name val="Arial"/>
      <family val="2"/>
    </font>
    <font>
      <sz val="11"/>
      <color theme="1"/>
      <name val="Calibri"/>
      <family val="2"/>
      <scheme val="minor"/>
    </font>
    <font>
      <sz val="11"/>
      <color rgb="FF101629"/>
      <name val="Arial"/>
      <family val="2"/>
    </font>
    <font>
      <u/>
      <sz val="11"/>
      <color theme="10"/>
      <name val="Calibri"/>
      <family val="2"/>
      <scheme val="minor"/>
    </font>
    <font>
      <i/>
      <sz val="11"/>
      <color theme="1"/>
      <name val="Calibri"/>
      <family val="2"/>
      <scheme val="minor"/>
    </font>
    <font>
      <b/>
      <i/>
      <sz val="11"/>
      <color rgb="FF0070C0"/>
      <name val="Calibri"/>
      <family val="2"/>
      <scheme val="minor"/>
    </font>
    <font>
      <i/>
      <sz val="11"/>
      <color rgb="FF7030A0"/>
      <name val="Calibri"/>
      <family val="2"/>
      <scheme val="minor"/>
    </font>
    <font>
      <sz val="13"/>
      <color rgb="FF222222"/>
      <name val="Arial"/>
      <family val="2"/>
    </font>
    <font>
      <sz val="10"/>
      <name val="Arial Cyr"/>
    </font>
    <font>
      <sz val="20"/>
      <color rgb="FF212529"/>
      <name val="Times New Roman"/>
      <family val="1"/>
    </font>
    <font>
      <b/>
      <sz val="12"/>
      <color rgb="FF008000"/>
      <name val="Roboto"/>
    </font>
    <font>
      <sz val="11"/>
      <color rgb="FFED0000"/>
      <name val="Calibri"/>
      <family val="2"/>
      <scheme val="minor"/>
    </font>
    <font>
      <sz val="11"/>
      <color rgb="FFEE0000"/>
      <name val="Calibri"/>
      <family val="2"/>
      <scheme val="minor"/>
    </font>
    <font>
      <sz val="12"/>
      <name val="Roboto"/>
    </font>
    <font>
      <sz val="14"/>
      <color rgb="FF212121"/>
      <name val="Roboto"/>
    </font>
    <font>
      <sz val="10"/>
      <color rgb="FF212121"/>
      <name val="Roboto"/>
    </font>
  </fonts>
  <fills count="13">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6F6F6"/>
        <bgColor indexed="64"/>
      </patternFill>
    </fill>
    <fill>
      <patternFill patternType="solid">
        <fgColor theme="8" tint="0.79998168889431442"/>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9" fontId="24" fillId="0" borderId="0" applyFont="0" applyFill="0" applyBorder="0" applyAlignment="0" applyProtection="0"/>
    <xf numFmtId="0" fontId="26" fillId="0" borderId="0" applyNumberFormat="0" applyFill="0" applyBorder="0" applyAlignment="0" applyProtection="0"/>
  </cellStyleXfs>
  <cellXfs count="141">
    <xf numFmtId="0" fontId="0" fillId="0" borderId="0" xfId="0"/>
    <xf numFmtId="164" fontId="0" fillId="0" borderId="0" xfId="0" applyNumberFormat="1"/>
    <xf numFmtId="0" fontId="3" fillId="0" borderId="0" xfId="0" applyFont="1"/>
    <xf numFmtId="164" fontId="3" fillId="0" borderId="0" xfId="0" applyNumberFormat="1" applyFont="1"/>
    <xf numFmtId="14" fontId="3" fillId="0" borderId="0" xfId="0" applyNumberFormat="1" applyFont="1"/>
    <xf numFmtId="10" fontId="3" fillId="0" borderId="0" xfId="0" applyNumberFormat="1" applyFont="1"/>
    <xf numFmtId="14" fontId="0" fillId="0" borderId="0" xfId="0" applyNumberFormat="1"/>
    <xf numFmtId="10" fontId="0" fillId="0" borderId="0" xfId="0" applyNumberFormat="1"/>
    <xf numFmtId="165" fontId="0" fillId="0" borderId="0" xfId="0" applyNumberFormat="1"/>
    <xf numFmtId="1" fontId="0" fillId="0" borderId="0" xfId="0" applyNumberFormat="1"/>
    <xf numFmtId="166" fontId="0" fillId="0" borderId="0" xfId="0" applyNumberFormat="1"/>
    <xf numFmtId="40" fontId="0" fillId="0" borderId="0" xfId="0" applyNumberFormat="1"/>
    <xf numFmtId="167" fontId="0" fillId="0" borderId="0" xfId="0" applyNumberFormat="1"/>
    <xf numFmtId="0" fontId="2" fillId="0" borderId="0" xfId="0" applyFont="1"/>
    <xf numFmtId="17" fontId="0" fillId="0" borderId="0" xfId="0" applyNumberFormat="1"/>
    <xf numFmtId="16" fontId="0" fillId="0" borderId="0" xfId="0" applyNumberFormat="1"/>
    <xf numFmtId="0" fontId="1" fillId="0" borderId="0" xfId="0" applyFont="1"/>
    <xf numFmtId="0" fontId="4" fillId="0" borderId="0" xfId="0" applyFont="1"/>
    <xf numFmtId="10" fontId="4" fillId="0" borderId="0" xfId="0" applyNumberFormat="1" applyFont="1"/>
    <xf numFmtId="164" fontId="1" fillId="0" borderId="0" xfId="0" applyNumberFormat="1" applyFont="1"/>
    <xf numFmtId="49" fontId="0" fillId="0" borderId="0" xfId="0" applyNumberFormat="1"/>
    <xf numFmtId="2" fontId="0" fillId="0" borderId="0" xfId="0" applyNumberFormat="1"/>
    <xf numFmtId="0" fontId="0" fillId="2" borderId="0" xfId="0" applyFill="1"/>
    <xf numFmtId="2" fontId="2" fillId="0" borderId="0" xfId="0" applyNumberFormat="1" applyFont="1"/>
    <xf numFmtId="2" fontId="4" fillId="0" borderId="0" xfId="0" applyNumberFormat="1" applyFont="1"/>
    <xf numFmtId="10" fontId="1" fillId="0" borderId="0" xfId="0" applyNumberFormat="1" applyFont="1"/>
    <xf numFmtId="164" fontId="0" fillId="4" borderId="0" xfId="0" applyNumberFormat="1" applyFill="1"/>
    <xf numFmtId="0" fontId="0" fillId="4" borderId="0" xfId="0" applyFill="1"/>
    <xf numFmtId="0" fontId="5" fillId="0" borderId="0" xfId="0" applyFont="1"/>
    <xf numFmtId="0" fontId="6" fillId="0" borderId="0" xfId="0" applyFont="1"/>
    <xf numFmtId="10" fontId="6" fillId="0" borderId="0" xfId="0" applyNumberFormat="1" applyFont="1"/>
    <xf numFmtId="164" fontId="6" fillId="0" borderId="0" xfId="0" applyNumberFormat="1" applyFont="1"/>
    <xf numFmtId="0" fontId="0" fillId="2" borderId="1" xfId="0" applyFill="1" applyBorder="1"/>
    <xf numFmtId="0" fontId="0" fillId="0" borderId="1" xfId="0" applyBorder="1"/>
    <xf numFmtId="0" fontId="4" fillId="0" borderId="1" xfId="0" applyFont="1" applyBorder="1"/>
    <xf numFmtId="2" fontId="6" fillId="0" borderId="0" xfId="0" applyNumberFormat="1" applyFont="1"/>
    <xf numFmtId="2" fontId="1" fillId="0" borderId="0" xfId="0" applyNumberFormat="1" applyFont="1"/>
    <xf numFmtId="2" fontId="8" fillId="0" borderId="0" xfId="0" applyNumberFormat="1" applyFont="1"/>
    <xf numFmtId="2" fontId="7" fillId="0" borderId="0" xfId="0" applyNumberFormat="1" applyFont="1"/>
    <xf numFmtId="168" fontId="3" fillId="0" borderId="0" xfId="0" applyNumberFormat="1" applyFont="1"/>
    <xf numFmtId="168" fontId="0" fillId="0" borderId="0" xfId="0" applyNumberFormat="1"/>
    <xf numFmtId="0" fontId="0" fillId="0" borderId="2" xfId="0" applyBorder="1"/>
    <xf numFmtId="0" fontId="0" fillId="6" borderId="1" xfId="0" applyFill="1" applyBorder="1"/>
    <xf numFmtId="0" fontId="4" fillId="5" borderId="0" xfId="0" applyFont="1" applyFill="1"/>
    <xf numFmtId="0" fontId="0" fillId="7" borderId="1" xfId="0" applyFill="1" applyBorder="1"/>
    <xf numFmtId="164" fontId="0" fillId="3" borderId="0" xfId="0" applyNumberFormat="1" applyFill="1"/>
    <xf numFmtId="164" fontId="9" fillId="0" borderId="0" xfId="0" applyNumberFormat="1" applyFont="1"/>
    <xf numFmtId="9" fontId="10" fillId="0" borderId="0" xfId="0" applyNumberFormat="1" applyFont="1"/>
    <xf numFmtId="1" fontId="3" fillId="0" borderId="0" xfId="0" applyNumberFormat="1" applyFont="1"/>
    <xf numFmtId="4" fontId="3" fillId="0" borderId="0" xfId="0" applyNumberFormat="1" applyFont="1"/>
    <xf numFmtId="4" fontId="0" fillId="0" borderId="0" xfId="0" applyNumberFormat="1"/>
    <xf numFmtId="0" fontId="7" fillId="0" borderId="0" xfId="0" applyFont="1"/>
    <xf numFmtId="1" fontId="4" fillId="0" borderId="0" xfId="0" applyNumberFormat="1" applyFont="1"/>
    <xf numFmtId="9" fontId="0" fillId="0" borderId="0" xfId="0" applyNumberFormat="1"/>
    <xf numFmtId="0" fontId="11" fillId="0" borderId="0" xfId="0" applyFont="1"/>
    <xf numFmtId="164" fontId="0" fillId="2" borderId="0" xfId="0" applyNumberFormat="1" applyFill="1"/>
    <xf numFmtId="4" fontId="1" fillId="0" borderId="0" xfId="0" applyNumberFormat="1" applyFont="1"/>
    <xf numFmtId="1" fontId="0" fillId="2" borderId="0" xfId="0" applyNumberFormat="1" applyFill="1"/>
    <xf numFmtId="9" fontId="12" fillId="0" borderId="0" xfId="0" applyNumberFormat="1" applyFont="1"/>
    <xf numFmtId="14" fontId="4" fillId="0" borderId="0" xfId="0" applyNumberFormat="1" applyFont="1"/>
    <xf numFmtId="0" fontId="0" fillId="8" borderId="1" xfId="0" applyFill="1" applyBorder="1"/>
    <xf numFmtId="0" fontId="0" fillId="8" borderId="0" xfId="0" applyFill="1"/>
    <xf numFmtId="0" fontId="1" fillId="0" borderId="1" xfId="0" applyFont="1" applyBorder="1"/>
    <xf numFmtId="2" fontId="5" fillId="0" borderId="0" xfId="0" applyNumberFormat="1" applyFont="1"/>
    <xf numFmtId="0" fontId="6" fillId="0" borderId="1" xfId="0" applyFont="1" applyBorder="1"/>
    <xf numFmtId="0" fontId="13" fillId="0" borderId="0" xfId="0" applyFont="1"/>
    <xf numFmtId="0" fontId="1" fillId="3" borderId="0" xfId="0" applyFont="1" applyFill="1"/>
    <xf numFmtId="0" fontId="0" fillId="0" borderId="0" xfId="0" applyAlignment="1">
      <alignment wrapText="1"/>
    </xf>
    <xf numFmtId="0" fontId="7" fillId="0" borderId="1" xfId="0" applyFont="1" applyBorder="1"/>
    <xf numFmtId="0" fontId="14" fillId="10" borderId="0" xfId="0" applyFont="1" applyFill="1" applyAlignment="1">
      <alignment vertical="center" wrapText="1"/>
    </xf>
    <xf numFmtId="0" fontId="14" fillId="9" borderId="0" xfId="0" applyFont="1" applyFill="1" applyAlignment="1">
      <alignment vertical="center" wrapText="1"/>
    </xf>
    <xf numFmtId="164" fontId="0" fillId="8" borderId="0" xfId="0" applyNumberFormat="1" applyFill="1"/>
    <xf numFmtId="0" fontId="0" fillId="0" borderId="0" xfId="0" applyAlignment="1">
      <alignment horizontal="left" vertical="center" wrapText="1" indent="1"/>
    </xf>
    <xf numFmtId="0" fontId="15" fillId="0" borderId="0" xfId="0" applyFont="1" applyAlignment="1">
      <alignment horizontal="left" vertical="center"/>
    </xf>
    <xf numFmtId="0" fontId="0" fillId="0" borderId="0" xfId="0" applyAlignment="1">
      <alignment horizontal="left" vertical="center" indent="1"/>
    </xf>
    <xf numFmtId="4" fontId="4" fillId="0" borderId="0" xfId="0" applyNumberFormat="1" applyFont="1"/>
    <xf numFmtId="1" fontId="0" fillId="11" borderId="0" xfId="0" applyNumberFormat="1" applyFill="1"/>
    <xf numFmtId="164" fontId="3" fillId="8" borderId="0" xfId="0" applyNumberFormat="1" applyFont="1" applyFill="1"/>
    <xf numFmtId="0" fontId="8" fillId="0" borderId="0" xfId="0" applyFont="1"/>
    <xf numFmtId="10" fontId="5" fillId="0" borderId="0" xfId="0" applyNumberFormat="1" applyFont="1"/>
    <xf numFmtId="164" fontId="3" fillId="3" borderId="0" xfId="0" applyNumberFormat="1" applyFont="1" applyFill="1"/>
    <xf numFmtId="164" fontId="0" fillId="6" borderId="0" xfId="0" applyNumberFormat="1" applyFill="1"/>
    <xf numFmtId="164" fontId="3" fillId="5" borderId="0" xfId="0" applyNumberFormat="1" applyFont="1" applyFill="1"/>
    <xf numFmtId="164" fontId="3" fillId="6" borderId="0" xfId="0" applyNumberFormat="1" applyFont="1" applyFill="1"/>
    <xf numFmtId="0" fontId="16" fillId="0" borderId="0" xfId="0" applyFont="1" applyAlignment="1">
      <alignment horizontal="left" vertical="center"/>
    </xf>
    <xf numFmtId="2" fontId="17" fillId="0" borderId="0" xfId="0" applyNumberFormat="1" applyFont="1"/>
    <xf numFmtId="0" fontId="18" fillId="0" borderId="0" xfId="0" applyFont="1"/>
    <xf numFmtId="0" fontId="0" fillId="12" borderId="1" xfId="0" applyFill="1" applyBorder="1"/>
    <xf numFmtId="10" fontId="0" fillId="8" borderId="0" xfId="0" applyNumberFormat="1" applyFill="1"/>
    <xf numFmtId="0" fontId="2" fillId="8" borderId="0" xfId="0" applyFont="1" applyFill="1"/>
    <xf numFmtId="0" fontId="15" fillId="0" borderId="0" xfId="0" applyFont="1"/>
    <xf numFmtId="164" fontId="2" fillId="2" borderId="0" xfId="0" applyNumberFormat="1" applyFont="1" applyFill="1"/>
    <xf numFmtId="0" fontId="2" fillId="2" borderId="0" xfId="0" applyFont="1" applyFill="1"/>
    <xf numFmtId="164" fontId="2" fillId="0" borderId="0" xfId="0" applyNumberFormat="1" applyFont="1"/>
    <xf numFmtId="0" fontId="11" fillId="8" borderId="0" xfId="0" applyFont="1" applyFill="1"/>
    <xf numFmtId="0" fontId="19" fillId="0" borderId="0" xfId="0" applyFont="1"/>
    <xf numFmtId="10" fontId="0" fillId="3" borderId="0" xfId="0" applyNumberFormat="1" applyFill="1"/>
    <xf numFmtId="0" fontId="20" fillId="0" borderId="0" xfId="0" applyFont="1"/>
    <xf numFmtId="1" fontId="21" fillId="0" borderId="0" xfId="0" applyNumberFormat="1" applyFont="1"/>
    <xf numFmtId="0" fontId="21" fillId="0" borderId="0" xfId="0" applyFont="1"/>
    <xf numFmtId="0" fontId="22" fillId="0" borderId="0" xfId="0" applyFont="1"/>
    <xf numFmtId="164" fontId="0" fillId="12" borderId="0" xfId="0" applyNumberFormat="1" applyFill="1"/>
    <xf numFmtId="10" fontId="3" fillId="12" borderId="0" xfId="0" applyNumberFormat="1" applyFont="1" applyFill="1"/>
    <xf numFmtId="164" fontId="3" fillId="12" borderId="0" xfId="0" applyNumberFormat="1" applyFont="1" applyFill="1"/>
    <xf numFmtId="10" fontId="0" fillId="12" borderId="0" xfId="0" applyNumberFormat="1" applyFill="1"/>
    <xf numFmtId="10" fontId="3" fillId="5" borderId="0" xfId="0" applyNumberFormat="1" applyFont="1" applyFill="1"/>
    <xf numFmtId="0" fontId="23" fillId="9" borderId="0" xfId="0" applyFont="1" applyFill="1" applyAlignment="1">
      <alignment vertical="center" wrapText="1"/>
    </xf>
    <xf numFmtId="10" fontId="23" fillId="9" borderId="0" xfId="0" applyNumberFormat="1" applyFont="1" applyFill="1" applyAlignment="1">
      <alignment vertical="center" wrapText="1"/>
    </xf>
    <xf numFmtId="10" fontId="3" fillId="3" borderId="0" xfId="0" applyNumberFormat="1" applyFont="1" applyFill="1"/>
    <xf numFmtId="10" fontId="0" fillId="6" borderId="0" xfId="0" applyNumberFormat="1" applyFill="1"/>
    <xf numFmtId="0" fontId="14" fillId="0" borderId="0" xfId="0" applyFont="1"/>
    <xf numFmtId="10" fontId="0" fillId="0" borderId="0" xfId="1" applyNumberFormat="1" applyFont="1"/>
    <xf numFmtId="0" fontId="25" fillId="0" borderId="0" xfId="0" applyFont="1"/>
    <xf numFmtId="164" fontId="4" fillId="0" borderId="0" xfId="0" applyNumberFormat="1" applyFont="1"/>
    <xf numFmtId="0" fontId="27" fillId="0" borderId="0" xfId="0" applyFont="1"/>
    <xf numFmtId="0" fontId="29" fillId="0" borderId="0" xfId="0" applyFont="1"/>
    <xf numFmtId="0" fontId="28" fillId="0" borderId="0" xfId="0" applyFont="1"/>
    <xf numFmtId="0" fontId="26" fillId="0" borderId="0" xfId="2"/>
    <xf numFmtId="0" fontId="30" fillId="0" borderId="0" xfId="0" applyFont="1" applyAlignment="1">
      <alignment vertical="center" wrapText="1"/>
    </xf>
    <xf numFmtId="0" fontId="0" fillId="11" borderId="0" xfId="0" applyFill="1"/>
    <xf numFmtId="0" fontId="4" fillId="8" borderId="0" xfId="0" applyFont="1" applyFill="1"/>
    <xf numFmtId="0" fontId="1" fillId="8" borderId="0" xfId="0" applyFont="1" applyFill="1"/>
    <xf numFmtId="10" fontId="31" fillId="0" borderId="0" xfId="0" applyNumberFormat="1" applyFont="1"/>
    <xf numFmtId="0" fontId="32" fillId="0" borderId="0" xfId="0" applyFont="1" applyAlignment="1">
      <alignment horizontal="left" vertical="center" wrapText="1"/>
    </xf>
    <xf numFmtId="0" fontId="33" fillId="0" borderId="0" xfId="0" applyFont="1"/>
    <xf numFmtId="10" fontId="31" fillId="8" borderId="0" xfId="0" applyNumberFormat="1" applyFont="1" applyFill="1"/>
    <xf numFmtId="10" fontId="31" fillId="6" borderId="0" xfId="0" applyNumberFormat="1" applyFont="1" applyFill="1"/>
    <xf numFmtId="0" fontId="34" fillId="0" borderId="0" xfId="0" applyFont="1"/>
    <xf numFmtId="0" fontId="35" fillId="0" borderId="0" xfId="0" applyFont="1"/>
    <xf numFmtId="0" fontId="36" fillId="0" borderId="0" xfId="0" applyFont="1"/>
    <xf numFmtId="0" fontId="37" fillId="0" borderId="0" xfId="0" applyFont="1"/>
    <xf numFmtId="164" fontId="2" fillId="6" borderId="0" xfId="0" applyNumberFormat="1" applyFont="1" applyFill="1"/>
    <xf numFmtId="0" fontId="38" fillId="0" borderId="0" xfId="0" applyFont="1"/>
    <xf numFmtId="0" fontId="4" fillId="0" borderId="2" xfId="0" applyFont="1" applyBorder="1"/>
    <xf numFmtId="0" fontId="14" fillId="10" borderId="0" xfId="0" applyFont="1" applyFill="1" applyAlignment="1">
      <alignment vertical="center" wrapText="1"/>
    </xf>
    <xf numFmtId="0" fontId="14" fillId="9" borderId="0" xfId="0" applyFont="1" applyFill="1" applyAlignment="1">
      <alignment vertical="center" wrapText="1"/>
    </xf>
    <xf numFmtId="0" fontId="0" fillId="0" borderId="0" xfId="0" applyFont="1"/>
    <xf numFmtId="0" fontId="0" fillId="8" borderId="0" xfId="0" applyFont="1" applyFill="1"/>
    <xf numFmtId="0" fontId="4" fillId="0" borderId="0" xfId="0" applyFont="1" applyBorder="1"/>
    <xf numFmtId="0" fontId="1" fillId="0" borderId="0" xfId="0" applyFont="1" applyBorder="1"/>
    <xf numFmtId="0" fontId="0" fillId="0" borderId="0" xfId="0" applyBorder="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841060719676919E-2"/>
          <c:y val="0.11391688115829592"/>
          <c:w val="0.92574257830299755"/>
          <c:h val="0.85229811768933805"/>
        </c:manualLayout>
      </c:layout>
      <c:lineChart>
        <c:grouping val="standard"/>
        <c:varyColors val="0"/>
        <c:ser>
          <c:idx val="0"/>
          <c:order val="0"/>
          <c:tx>
            <c:v>Indi_main</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'2022'!$A$6:$A$18</c:f>
              <c:numCache>
                <c:formatCode>m/d/yyyy</c:formatCode>
                <c:ptCount val="1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numCache>
            </c:numRef>
          </c:cat>
          <c:val>
            <c:numRef>
              <c:f>'2022'!$E$6:$E$18</c:f>
              <c:numCache>
                <c:formatCode>0.00%</c:formatCode>
                <c:ptCount val="13"/>
                <c:pt idx="0">
                  <c:v>2.9963315256309464E-3</c:v>
                </c:pt>
                <c:pt idx="1">
                  <c:v>-0.12186475618516557</c:v>
                </c:pt>
                <c:pt idx="2">
                  <c:v>-1.1020774043102644E-2</c:v>
                </c:pt>
                <c:pt idx="3">
                  <c:v>2.9570020263944619E-2</c:v>
                </c:pt>
                <c:pt idx="4">
                  <c:v>-0.12335047474929672</c:v>
                </c:pt>
                <c:pt idx="5">
                  <c:v>-4.3540273699782528E-4</c:v>
                </c:pt>
                <c:pt idx="6">
                  <c:v>-0.19339880802248777</c:v>
                </c:pt>
                <c:pt idx="7">
                  <c:v>6.0329682294275155E-2</c:v>
                </c:pt>
                <c:pt idx="8">
                  <c:v>-6.1837386165551234E-2</c:v>
                </c:pt>
                <c:pt idx="9">
                  <c:v>-0.15092889083858052</c:v>
                </c:pt>
                <c:pt idx="10">
                  <c:v>0.10653496835589893</c:v>
                </c:pt>
                <c:pt idx="11">
                  <c:v>2.6658042846345431E-2</c:v>
                </c:pt>
                <c:pt idx="12">
                  <c:v>-7.688355402727487E-2</c:v>
                </c:pt>
              </c:numCache>
            </c:numRef>
          </c:val>
          <c:smooth val="0"/>
          <c:extLst>
            <c:ext xmlns:c16="http://schemas.microsoft.com/office/drawing/2014/chart" uri="{C3380CC4-5D6E-409C-BE32-E72D297353CC}">
              <c16:uniqueId val="{00000000-A4CE-46E7-A431-F78BD5527CBB}"/>
            </c:ext>
          </c:extLst>
        </c:ser>
        <c:ser>
          <c:idx val="1"/>
          <c:order val="1"/>
          <c:tx>
            <c:v>Indi_trade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'2022'!$A$6:$A$18</c:f>
              <c:numCache>
                <c:formatCode>m/d/yyyy</c:formatCode>
                <c:ptCount val="1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numCache>
            </c:numRef>
          </c:cat>
          <c:val>
            <c:numRef>
              <c:f>'2022'!$G$6:$G$18</c:f>
              <c:numCache>
                <c:formatCode>0.00%</c:formatCode>
                <c:ptCount val="13"/>
                <c:pt idx="0">
                  <c:v>0.12882153640364519</c:v>
                </c:pt>
                <c:pt idx="1">
                  <c:v>-4.6279267550897396E-2</c:v>
                </c:pt>
                <c:pt idx="2">
                  <c:v>-1.8867770770908818E-2</c:v>
                </c:pt>
                <c:pt idx="3">
                  <c:v>-0.19236486002539172</c:v>
                </c:pt>
                <c:pt idx="4">
                  <c:v>-6.642119124735045E-2</c:v>
                </c:pt>
                <c:pt idx="5">
                  <c:v>-0.17624611209935048</c:v>
                </c:pt>
                <c:pt idx="6">
                  <c:v>-7.8511313809894831E-2</c:v>
                </c:pt>
                <c:pt idx="7">
                  <c:v>-3.1755765085033645E-2</c:v>
                </c:pt>
                <c:pt idx="8">
                  <c:v>-1.4100438826357184E-2</c:v>
                </c:pt>
                <c:pt idx="9">
                  <c:v>-0.19771710968153192</c:v>
                </c:pt>
                <c:pt idx="10">
                  <c:v>-1.3019611401982694E-2</c:v>
                </c:pt>
                <c:pt idx="11">
                  <c:v>-2.2349549905544937E-2</c:v>
                </c:pt>
                <c:pt idx="12">
                  <c:v>-0.15113457594900515</c:v>
                </c:pt>
              </c:numCache>
            </c:numRef>
          </c:val>
          <c:smooth val="0"/>
          <c:extLst>
            <c:ext xmlns:c16="http://schemas.microsoft.com/office/drawing/2014/chart" uri="{C3380CC4-5D6E-409C-BE32-E72D297353CC}">
              <c16:uniqueId val="{00000002-A4CE-46E7-A431-F78BD5527CBB}"/>
            </c:ext>
          </c:extLst>
        </c:ser>
        <c:ser>
          <c:idx val="2"/>
          <c:order val="2"/>
          <c:tx>
            <c:v>Intel</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'2022'!$A$6:$A$18</c:f>
              <c:numCache>
                <c:formatCode>m/d/yyyy</c:formatCode>
                <c:ptCount val="1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numCache>
            </c:numRef>
          </c:cat>
          <c:val>
            <c:numRef>
              <c:f>'2022'!$K$6:$K$18</c:f>
              <c:numCache>
                <c:formatCode>0.00%</c:formatCode>
                <c:ptCount val="13"/>
                <c:pt idx="0">
                  <c:v>0.25667345395207808</c:v>
                </c:pt>
                <c:pt idx="1">
                  <c:v>-5.2038834951456336E-2</c:v>
                </c:pt>
                <c:pt idx="2">
                  <c:v>5.6335512648923336E-2</c:v>
                </c:pt>
                <c:pt idx="3">
                  <c:v>3.8993710691823891E-2</c:v>
                </c:pt>
                <c:pt idx="4">
                  <c:v>-0.10674676441398956</c:v>
                </c:pt>
                <c:pt idx="5">
                  <c:v>5.9992284796226647E-2</c:v>
                </c:pt>
                <c:pt idx="6">
                  <c:v>-0.18941507311586048</c:v>
                </c:pt>
                <c:pt idx="7">
                  <c:v>-6.1555056300631517E-2</c:v>
                </c:pt>
                <c:pt idx="8">
                  <c:v>-3.7358047588946452E-2</c:v>
                </c:pt>
                <c:pt idx="9">
                  <c:v>-0.19266917293233088</c:v>
                </c:pt>
                <c:pt idx="10">
                  <c:v>0.10322079937912298</c:v>
                </c:pt>
                <c:pt idx="11">
                  <c:v>7.6247350998803309E-2</c:v>
                </c:pt>
                <c:pt idx="12">
                  <c:v>-0.12105088127702024</c:v>
                </c:pt>
              </c:numCache>
            </c:numRef>
          </c:val>
          <c:smooth val="0"/>
          <c:extLst>
            <c:ext xmlns:c16="http://schemas.microsoft.com/office/drawing/2014/chart" uri="{C3380CC4-5D6E-409C-BE32-E72D297353CC}">
              <c16:uniqueId val="{00000003-A4CE-46E7-A431-F78BD5527CBB}"/>
            </c:ext>
          </c:extLst>
        </c:ser>
        <c:ser>
          <c:idx val="3"/>
          <c:order val="3"/>
          <c:tx>
            <c:v>Long</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'2022'!$A$6:$A$18</c:f>
              <c:numCache>
                <c:formatCode>m/d/yyyy</c:formatCode>
                <c:ptCount val="1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numCache>
            </c:numRef>
          </c:cat>
          <c:val>
            <c:numRef>
              <c:f>'2022'!$O$6:$O$18</c:f>
              <c:numCache>
                <c:formatCode>0.00%</c:formatCode>
                <c:ptCount val="13"/>
                <c:pt idx="0">
                  <c:v>3.5487860456007055E-2</c:v>
                </c:pt>
                <c:pt idx="1">
                  <c:v>-8.8366310558055994E-2</c:v>
                </c:pt>
                <c:pt idx="2">
                  <c:v>-2.9720988435613105E-2</c:v>
                </c:pt>
                <c:pt idx="3">
                  <c:v>3.1681536108637554E-2</c:v>
                </c:pt>
                <c:pt idx="4">
                  <c:v>-5.2150199249477058E-2</c:v>
                </c:pt>
                <c:pt idx="5">
                  <c:v>2.0010425936060283E-2</c:v>
                </c:pt>
                <c:pt idx="6">
                  <c:v>-0.11104148415868986</c:v>
                </c:pt>
                <c:pt idx="7">
                  <c:v>-1.1921365609988799E-2</c:v>
                </c:pt>
                <c:pt idx="8">
                  <c:v>-3.0158556829880445E-2</c:v>
                </c:pt>
                <c:pt idx="9">
                  <c:v>-8.2324091231262386E-2</c:v>
                </c:pt>
                <c:pt idx="10">
                  <c:v>2.8655317415939185E-2</c:v>
                </c:pt>
                <c:pt idx="11">
                  <c:v>2.4387892663560118E-2</c:v>
                </c:pt>
                <c:pt idx="12">
                  <c:v>-7.6578035079238327E-2</c:v>
                </c:pt>
              </c:numCache>
            </c:numRef>
          </c:val>
          <c:smooth val="0"/>
          <c:extLst>
            <c:ext xmlns:c16="http://schemas.microsoft.com/office/drawing/2014/chart" uri="{C3380CC4-5D6E-409C-BE32-E72D297353CC}">
              <c16:uniqueId val="{00000004-A4CE-46E7-A431-F78BD5527CBB}"/>
            </c:ext>
          </c:extLst>
        </c:ser>
        <c:ser>
          <c:idx val="4"/>
          <c:order val="4"/>
          <c:tx>
            <c:v>401K</c:v>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'2022'!$A$6:$A$18</c:f>
              <c:numCache>
                <c:formatCode>m/d/yyyy</c:formatCode>
                <c:ptCount val="1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numCache>
            </c:numRef>
          </c:cat>
          <c:val>
            <c:numRef>
              <c:f>'2022'!$R$6:$R$18</c:f>
              <c:numCache>
                <c:formatCode>0.00%</c:formatCode>
                <c:ptCount val="13"/>
                <c:pt idx="0">
                  <c:v>0.32107700417757523</c:v>
                </c:pt>
                <c:pt idx="1">
                  <c:v>-5.1548015090956745E-2</c:v>
                </c:pt>
                <c:pt idx="2">
                  <c:v>7.8589987863715294E-3</c:v>
                </c:pt>
                <c:pt idx="3">
                  <c:v>1.5614610294799158E-2</c:v>
                </c:pt>
                <c:pt idx="4">
                  <c:v>-6.5262283071011895E-2</c:v>
                </c:pt>
                <c:pt idx="5">
                  <c:v>1.6238509332212603E-2</c:v>
                </c:pt>
                <c:pt idx="6">
                  <c:v>-5.6180324677577609E-2</c:v>
                </c:pt>
                <c:pt idx="7">
                  <c:v>5.8466292493435379E-2</c:v>
                </c:pt>
                <c:pt idx="8">
                  <c:v>-1.5583718443620498E-2</c:v>
                </c:pt>
                <c:pt idx="9">
                  <c:v>-5.3056673104008412E-2</c:v>
                </c:pt>
                <c:pt idx="10">
                  <c:v>5.812248706976475E-2</c:v>
                </c:pt>
                <c:pt idx="11">
                  <c:v>5.0783161809876631E-2</c:v>
                </c:pt>
                <c:pt idx="12">
                  <c:v>-3.2780392882437615E-2</c:v>
                </c:pt>
              </c:numCache>
            </c:numRef>
          </c:val>
          <c:smooth val="0"/>
          <c:extLst>
            <c:ext xmlns:c16="http://schemas.microsoft.com/office/drawing/2014/chart" uri="{C3380CC4-5D6E-409C-BE32-E72D297353CC}">
              <c16:uniqueId val="{00000005-A4CE-46E7-A431-F78BD5527CBB}"/>
            </c:ext>
          </c:extLst>
        </c:ser>
        <c:ser>
          <c:idx val="5"/>
          <c:order val="5"/>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'2022'!$A$6:$A$18</c:f>
              <c:numCache>
                <c:formatCode>m/d/yyyy</c:formatCode>
                <c:ptCount val="1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numCache>
            </c:numRef>
          </c:cat>
          <c:val>
            <c:numRef>
              <c:f>'2022'!$U$6:$U$18</c:f>
              <c:numCache>
                <c:formatCode>0.00%</c:formatCode>
                <c:ptCount val="13"/>
                <c:pt idx="0">
                  <c:v>0.31507133819355859</c:v>
                </c:pt>
                <c:pt idx="1">
                  <c:v>-6.5013016391105349E-2</c:v>
                </c:pt>
                <c:pt idx="2">
                  <c:v>7.1230309285628124E-3</c:v>
                </c:pt>
                <c:pt idx="3">
                  <c:v>2.6399402076255019E-2</c:v>
                </c:pt>
                <c:pt idx="4">
                  <c:v>-7.2910088197832401E-2</c:v>
                </c:pt>
                <c:pt idx="5">
                  <c:v>3.0402982586799521E-2</c:v>
                </c:pt>
                <c:pt idx="6">
                  <c:v>-9.53686826247232E-2</c:v>
                </c:pt>
                <c:pt idx="7">
                  <c:v>2.7032605097114359E-2</c:v>
                </c:pt>
                <c:pt idx="8">
                  <c:v>-2.3818080827238131E-2</c:v>
                </c:pt>
                <c:pt idx="9">
                  <c:v>-8.9232124964099824E-2</c:v>
                </c:pt>
                <c:pt idx="10">
                  <c:v>6.2269680372623482E-2</c:v>
                </c:pt>
                <c:pt idx="11">
                  <c:v>5.0591174543170636E-2</c:v>
                </c:pt>
                <c:pt idx="12">
                  <c:v>-5.8169144006501861E-2</c:v>
                </c:pt>
              </c:numCache>
            </c:numRef>
          </c:val>
          <c:smooth val="0"/>
          <c:extLst>
            <c:ext xmlns:c16="http://schemas.microsoft.com/office/drawing/2014/chart" uri="{C3380CC4-5D6E-409C-BE32-E72D297353CC}">
              <c16:uniqueId val="{00000006-A4CE-46E7-A431-F78BD5527CBB}"/>
            </c:ext>
          </c:extLst>
        </c:ser>
        <c:ser>
          <c:idx val="6"/>
          <c:order val="6"/>
          <c:tx>
            <c:v>Total_Continues</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'2022'!$V$6:$V$18</c:f>
              <c:numCache>
                <c:formatCode>0.00%</c:formatCode>
                <c:ptCount val="13"/>
                <c:pt idx="0">
                  <c:v>0.31507133819355859</c:v>
                </c:pt>
                <c:pt idx="1">
                  <c:v>-6.5013016391105349E-2</c:v>
                </c:pt>
                <c:pt idx="2">
                  <c:v>-5.8353075189055637E-2</c:v>
                </c:pt>
                <c:pt idx="3">
                  <c:v>-3.3494159407102542E-2</c:v>
                </c:pt>
                <c:pt idx="4">
                  <c:v>-7.2910088197832401E-2</c:v>
                </c:pt>
                <c:pt idx="5">
                  <c:v>-8.2130996196401518E-2</c:v>
                </c:pt>
                <c:pt idx="6">
                  <c:v>-0.15824657076338022</c:v>
                </c:pt>
                <c:pt idx="7">
                  <c:v>-0.13438136010888202</c:v>
                </c:pt>
                <c:pt idx="8">
                  <c:v>-0.15034217905727743</c:v>
                </c:pt>
                <c:pt idx="9">
                  <c:v>-0.20871361824068302</c:v>
                </c:pt>
                <c:pt idx="10">
                  <c:v>-0.17161450696767289</c:v>
                </c:pt>
                <c:pt idx="11">
                  <c:v>-0.13959634349411887</c:v>
                </c:pt>
                <c:pt idx="12">
                  <c:v>-0.17827292457841448</c:v>
                </c:pt>
              </c:numCache>
            </c:numRef>
          </c:val>
          <c:smooth val="0"/>
          <c:extLst>
            <c:ext xmlns:c16="http://schemas.microsoft.com/office/drawing/2014/chart" uri="{C3380CC4-5D6E-409C-BE32-E72D297353CC}">
              <c16:uniqueId val="{00000007-A4CE-46E7-A431-F78BD5527CBB}"/>
            </c:ext>
          </c:extLst>
        </c:ser>
        <c:dLbls>
          <c:showLegendKey val="0"/>
          <c:showVal val="0"/>
          <c:showCatName val="0"/>
          <c:showSerName val="0"/>
          <c:showPercent val="0"/>
          <c:showBubbleSize val="0"/>
        </c:dLbls>
        <c:marker val="1"/>
        <c:smooth val="0"/>
        <c:axId val="432141920"/>
        <c:axId val="432144216"/>
      </c:lineChart>
      <c:dateAx>
        <c:axId val="432141920"/>
        <c:scaling>
          <c:orientation val="minMax"/>
          <c:min val="44562"/>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4216"/>
        <c:crosses val="autoZero"/>
        <c:auto val="1"/>
        <c:lblOffset val="100"/>
        <c:baseTimeUnit val="months"/>
      </c:dateAx>
      <c:valAx>
        <c:axId val="432144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841060719676919E-2"/>
          <c:y val="0.11391688115829592"/>
          <c:w val="0.92574257830299755"/>
          <c:h val="0.85229811768933805"/>
        </c:manualLayout>
      </c:layout>
      <c:lineChart>
        <c:grouping val="standard"/>
        <c:varyColors val="0"/>
        <c:ser>
          <c:idx val="0"/>
          <c:order val="0"/>
          <c:tx>
            <c:v>Indi_main</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'2023'!$A$6:$A$19</c:f>
              <c:numCache>
                <c:formatCode>m/d/yyyy</c:formatCode>
                <c:ptCount val="14"/>
                <c:pt idx="0">
                  <c:v>44562</c:v>
                </c:pt>
                <c:pt idx="1">
                  <c:v>44927</c:v>
                </c:pt>
                <c:pt idx="2">
                  <c:v>44958</c:v>
                </c:pt>
                <c:pt idx="3">
                  <c:v>44986</c:v>
                </c:pt>
                <c:pt idx="4">
                  <c:v>45017</c:v>
                </c:pt>
                <c:pt idx="5">
                  <c:v>45047</c:v>
                </c:pt>
                <c:pt idx="6">
                  <c:v>45078</c:v>
                </c:pt>
                <c:pt idx="7">
                  <c:v>45108</c:v>
                </c:pt>
                <c:pt idx="8">
                  <c:v>45139</c:v>
                </c:pt>
                <c:pt idx="9">
                  <c:v>45170</c:v>
                </c:pt>
                <c:pt idx="10">
                  <c:v>45200</c:v>
                </c:pt>
                <c:pt idx="11">
                  <c:v>45231</c:v>
                </c:pt>
                <c:pt idx="12">
                  <c:v>45261</c:v>
                </c:pt>
                <c:pt idx="13">
                  <c:v>45292</c:v>
                </c:pt>
              </c:numCache>
            </c:numRef>
          </c:cat>
          <c:val>
            <c:numRef>
              <c:f>'2023'!$E$6:$E$19</c:f>
              <c:numCache>
                <c:formatCode>0.00%</c:formatCode>
                <c:ptCount val="14"/>
                <c:pt idx="0">
                  <c:v>2.9963315256309464E-3</c:v>
                </c:pt>
                <c:pt idx="1">
                  <c:v>-0.44022855318457932</c:v>
                </c:pt>
                <c:pt idx="2">
                  <c:v>5.1302676943591807E-2</c:v>
                </c:pt>
                <c:pt idx="3">
                  <c:v>-0.22303091641754191</c:v>
                </c:pt>
                <c:pt idx="4">
                  <c:v>-0.21243283785134093</c:v>
                </c:pt>
                <c:pt idx="5">
                  <c:v>-0.10147909456666637</c:v>
                </c:pt>
                <c:pt idx="6">
                  <c:v>0.17857325135505753</c:v>
                </c:pt>
                <c:pt idx="7">
                  <c:v>0.20934143422786744</c:v>
                </c:pt>
                <c:pt idx="8">
                  <c:v>0.10477245409632752</c:v>
                </c:pt>
                <c:pt idx="9">
                  <c:v>-8.0559529108737982E-2</c:v>
                </c:pt>
                <c:pt idx="10">
                  <c:v>5.1774322239339421E-2</c:v>
                </c:pt>
                <c:pt idx="11">
                  <c:v>-8.7686761014053816E-2</c:v>
                </c:pt>
                <c:pt idx="12">
                  <c:v>0.12470364056744243</c:v>
                </c:pt>
                <c:pt idx="13">
                  <c:v>0.11001343632336913</c:v>
                </c:pt>
              </c:numCache>
            </c:numRef>
          </c:val>
          <c:smooth val="0"/>
          <c:extLst>
            <c:ext xmlns:c16="http://schemas.microsoft.com/office/drawing/2014/chart" uri="{C3380CC4-5D6E-409C-BE32-E72D297353CC}">
              <c16:uniqueId val="{00000000-F9ED-4699-8BA2-0A5900B801BE}"/>
            </c:ext>
          </c:extLst>
        </c:ser>
        <c:ser>
          <c:idx val="1"/>
          <c:order val="1"/>
          <c:tx>
            <c:v>Indi_trade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'2023'!$A$6:$A$19</c:f>
              <c:numCache>
                <c:formatCode>m/d/yyyy</c:formatCode>
                <c:ptCount val="14"/>
                <c:pt idx="0">
                  <c:v>44562</c:v>
                </c:pt>
                <c:pt idx="1">
                  <c:v>44927</c:v>
                </c:pt>
                <c:pt idx="2">
                  <c:v>44958</c:v>
                </c:pt>
                <c:pt idx="3">
                  <c:v>44986</c:v>
                </c:pt>
                <c:pt idx="4">
                  <c:v>45017</c:v>
                </c:pt>
                <c:pt idx="5">
                  <c:v>45047</c:v>
                </c:pt>
                <c:pt idx="6">
                  <c:v>45078</c:v>
                </c:pt>
                <c:pt idx="7">
                  <c:v>45108</c:v>
                </c:pt>
                <c:pt idx="8">
                  <c:v>45139</c:v>
                </c:pt>
                <c:pt idx="9">
                  <c:v>45170</c:v>
                </c:pt>
                <c:pt idx="10">
                  <c:v>45200</c:v>
                </c:pt>
                <c:pt idx="11">
                  <c:v>45231</c:v>
                </c:pt>
                <c:pt idx="12">
                  <c:v>45261</c:v>
                </c:pt>
                <c:pt idx="13">
                  <c:v>45292</c:v>
                </c:pt>
              </c:numCache>
            </c:numRef>
          </c:cat>
          <c:val>
            <c:numRef>
              <c:f>'2023'!$G$6:$G$19</c:f>
              <c:numCache>
                <c:formatCode>0.00%</c:formatCode>
                <c:ptCount val="14"/>
                <c:pt idx="0">
                  <c:v>0.12882153640364519</c:v>
                </c:pt>
                <c:pt idx="1">
                  <c:v>-1.3480046336632885</c:v>
                </c:pt>
                <c:pt idx="2">
                  <c:v>4.9753861222177863E-2</c:v>
                </c:pt>
                <c:pt idx="3">
                  <c:v>-8.6086489641522213E-2</c:v>
                </c:pt>
                <c:pt idx="4">
                  <c:v>-0.23911831734363545</c:v>
                </c:pt>
                <c:pt idx="5">
                  <c:v>-4.4753463857263399E-2</c:v>
                </c:pt>
                <c:pt idx="6">
                  <c:v>-0.13219677508259639</c:v>
                </c:pt>
                <c:pt idx="7">
                  <c:v>3.8155906132400254E-2</c:v>
                </c:pt>
                <c:pt idx="8">
                  <c:v>5.8798954865616197E-2</c:v>
                </c:pt>
                <c:pt idx="9">
                  <c:v>-8.6400292146194116E-2</c:v>
                </c:pt>
                <c:pt idx="10">
                  <c:v>-1.4659207215972719E-2</c:v>
                </c:pt>
                <c:pt idx="11">
                  <c:v>-5.5657659086922565E-2</c:v>
                </c:pt>
                <c:pt idx="12">
                  <c:v>2.1161533035504349E-2</c:v>
                </c:pt>
                <c:pt idx="13">
                  <c:v>9.4766366944466829E-2</c:v>
                </c:pt>
              </c:numCache>
            </c:numRef>
          </c:val>
          <c:smooth val="0"/>
          <c:extLst>
            <c:ext xmlns:c16="http://schemas.microsoft.com/office/drawing/2014/chart" uri="{C3380CC4-5D6E-409C-BE32-E72D297353CC}">
              <c16:uniqueId val="{00000001-F9ED-4699-8BA2-0A5900B801BE}"/>
            </c:ext>
          </c:extLst>
        </c:ser>
        <c:ser>
          <c:idx val="2"/>
          <c:order val="2"/>
          <c:tx>
            <c:v>Intel</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'2023'!$A$6:$A$19</c:f>
              <c:numCache>
                <c:formatCode>m/d/yyyy</c:formatCode>
                <c:ptCount val="14"/>
                <c:pt idx="0">
                  <c:v>44562</c:v>
                </c:pt>
                <c:pt idx="1">
                  <c:v>44927</c:v>
                </c:pt>
                <c:pt idx="2">
                  <c:v>44958</c:v>
                </c:pt>
                <c:pt idx="3">
                  <c:v>44986</c:v>
                </c:pt>
                <c:pt idx="4">
                  <c:v>45017</c:v>
                </c:pt>
                <c:pt idx="5">
                  <c:v>45047</c:v>
                </c:pt>
                <c:pt idx="6">
                  <c:v>45078</c:v>
                </c:pt>
                <c:pt idx="7">
                  <c:v>45108</c:v>
                </c:pt>
                <c:pt idx="8">
                  <c:v>45139</c:v>
                </c:pt>
                <c:pt idx="9">
                  <c:v>45170</c:v>
                </c:pt>
                <c:pt idx="10">
                  <c:v>45200</c:v>
                </c:pt>
                <c:pt idx="11">
                  <c:v>45231</c:v>
                </c:pt>
                <c:pt idx="12">
                  <c:v>45261</c:v>
                </c:pt>
                <c:pt idx="13">
                  <c:v>45292</c:v>
                </c:pt>
              </c:numCache>
            </c:numRef>
          </c:cat>
          <c:val>
            <c:numRef>
              <c:f>'2023'!$K$6:$K$19</c:f>
              <c:numCache>
                <c:formatCode>0.00%</c:formatCode>
                <c:ptCount val="14"/>
                <c:pt idx="0">
                  <c:v>0.25667345395207808</c:v>
                </c:pt>
                <c:pt idx="1">
                  <c:v>-0.35291160056843174</c:v>
                </c:pt>
                <c:pt idx="2">
                  <c:v>7.0678423406604907E-2</c:v>
                </c:pt>
                <c:pt idx="3">
                  <c:v>1.4165392849343927E-2</c:v>
                </c:pt>
                <c:pt idx="4">
                  <c:v>0.30451417816038751</c:v>
                </c:pt>
                <c:pt idx="5">
                  <c:v>-4.8096075153893469E-2</c:v>
                </c:pt>
                <c:pt idx="6">
                  <c:v>6.3726687468734999E-2</c:v>
                </c:pt>
                <c:pt idx="7">
                  <c:v>6.2708395937689065E-2</c:v>
                </c:pt>
                <c:pt idx="8">
                  <c:v>6.9677033492822948E-2</c:v>
                </c:pt>
                <c:pt idx="9">
                  <c:v>0.12030119724098087</c:v>
                </c:pt>
                <c:pt idx="10">
                  <c:v>1.2351000447149652E-2</c:v>
                </c:pt>
                <c:pt idx="11">
                  <c:v>2.6367055898995906E-2</c:v>
                </c:pt>
                <c:pt idx="12">
                  <c:v>0.27134117800261159</c:v>
                </c:pt>
                <c:pt idx="13">
                  <c:v>0.12416107382550345</c:v>
                </c:pt>
              </c:numCache>
            </c:numRef>
          </c:val>
          <c:smooth val="0"/>
          <c:extLst>
            <c:ext xmlns:c16="http://schemas.microsoft.com/office/drawing/2014/chart" uri="{C3380CC4-5D6E-409C-BE32-E72D297353CC}">
              <c16:uniqueId val="{00000002-F9ED-4699-8BA2-0A5900B801BE}"/>
            </c:ext>
          </c:extLst>
        </c:ser>
        <c:ser>
          <c:idx val="3"/>
          <c:order val="3"/>
          <c:tx>
            <c:v>Long</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'2023'!$A$6:$A$19</c:f>
              <c:numCache>
                <c:formatCode>m/d/yyyy</c:formatCode>
                <c:ptCount val="14"/>
                <c:pt idx="0">
                  <c:v>44562</c:v>
                </c:pt>
                <c:pt idx="1">
                  <c:v>44927</c:v>
                </c:pt>
                <c:pt idx="2">
                  <c:v>44958</c:v>
                </c:pt>
                <c:pt idx="3">
                  <c:v>44986</c:v>
                </c:pt>
                <c:pt idx="4">
                  <c:v>45017</c:v>
                </c:pt>
                <c:pt idx="5">
                  <c:v>45047</c:v>
                </c:pt>
                <c:pt idx="6">
                  <c:v>45078</c:v>
                </c:pt>
                <c:pt idx="7">
                  <c:v>45108</c:v>
                </c:pt>
                <c:pt idx="8">
                  <c:v>45139</c:v>
                </c:pt>
                <c:pt idx="9">
                  <c:v>45170</c:v>
                </c:pt>
                <c:pt idx="10">
                  <c:v>45200</c:v>
                </c:pt>
                <c:pt idx="11">
                  <c:v>45231</c:v>
                </c:pt>
                <c:pt idx="12">
                  <c:v>45261</c:v>
                </c:pt>
                <c:pt idx="13">
                  <c:v>45292</c:v>
                </c:pt>
              </c:numCache>
            </c:numRef>
          </c:cat>
          <c:val>
            <c:numRef>
              <c:f>'2023'!$O$6:$O$19</c:f>
              <c:numCache>
                <c:formatCode>0.00%</c:formatCode>
                <c:ptCount val="14"/>
                <c:pt idx="0">
                  <c:v>3.5487860456007055E-2</c:v>
                </c:pt>
                <c:pt idx="1">
                  <c:v>-0.41714817765656831</c:v>
                </c:pt>
                <c:pt idx="2">
                  <c:v>-4.9050239142586549E-2</c:v>
                </c:pt>
                <c:pt idx="3">
                  <c:v>-0.17635778121450962</c:v>
                </c:pt>
                <c:pt idx="4">
                  <c:v>7.256538450403216E-2</c:v>
                </c:pt>
                <c:pt idx="5">
                  <c:v>-0.15465173796856657</c:v>
                </c:pt>
                <c:pt idx="6">
                  <c:v>-0.10959425578808835</c:v>
                </c:pt>
                <c:pt idx="7">
                  <c:v>0.29268730015703337</c:v>
                </c:pt>
                <c:pt idx="8">
                  <c:v>0.16099873656475694</c:v>
                </c:pt>
                <c:pt idx="9">
                  <c:v>-0.1143168486747379</c:v>
                </c:pt>
                <c:pt idx="10">
                  <c:v>-9.1809816151863011E-2</c:v>
                </c:pt>
                <c:pt idx="11">
                  <c:v>-0.22134187374094694</c:v>
                </c:pt>
                <c:pt idx="12">
                  <c:v>0.29075269199262821</c:v>
                </c:pt>
                <c:pt idx="13">
                  <c:v>0.24629912649655816</c:v>
                </c:pt>
              </c:numCache>
            </c:numRef>
          </c:val>
          <c:smooth val="0"/>
          <c:extLst>
            <c:ext xmlns:c16="http://schemas.microsoft.com/office/drawing/2014/chart" uri="{C3380CC4-5D6E-409C-BE32-E72D297353CC}">
              <c16:uniqueId val="{00000003-F9ED-4699-8BA2-0A5900B801BE}"/>
            </c:ext>
          </c:extLst>
        </c:ser>
        <c:ser>
          <c:idx val="4"/>
          <c:order val="4"/>
          <c:tx>
            <c:v>401K</c:v>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'2023'!$A$6:$A$19</c:f>
              <c:numCache>
                <c:formatCode>m/d/yyyy</c:formatCode>
                <c:ptCount val="14"/>
                <c:pt idx="0">
                  <c:v>44562</c:v>
                </c:pt>
                <c:pt idx="1">
                  <c:v>44927</c:v>
                </c:pt>
                <c:pt idx="2">
                  <c:v>44958</c:v>
                </c:pt>
                <c:pt idx="3">
                  <c:v>44986</c:v>
                </c:pt>
                <c:pt idx="4">
                  <c:v>45017</c:v>
                </c:pt>
                <c:pt idx="5">
                  <c:v>45047</c:v>
                </c:pt>
                <c:pt idx="6">
                  <c:v>45078</c:v>
                </c:pt>
                <c:pt idx="7">
                  <c:v>45108</c:v>
                </c:pt>
                <c:pt idx="8">
                  <c:v>45139</c:v>
                </c:pt>
                <c:pt idx="9">
                  <c:v>45170</c:v>
                </c:pt>
                <c:pt idx="10">
                  <c:v>45200</c:v>
                </c:pt>
                <c:pt idx="11">
                  <c:v>45231</c:v>
                </c:pt>
                <c:pt idx="12">
                  <c:v>45261</c:v>
                </c:pt>
                <c:pt idx="13">
                  <c:v>45292</c:v>
                </c:pt>
              </c:numCache>
            </c:numRef>
          </c:cat>
          <c:val>
            <c:numRef>
              <c:f>'2023'!$R$6:$R$19</c:f>
              <c:numCache>
                <c:formatCode>0.00%</c:formatCode>
                <c:ptCount val="14"/>
                <c:pt idx="0">
                  <c:v>0.32107700417757523</c:v>
                </c:pt>
                <c:pt idx="1">
                  <c:v>-7.6424384838198578E-2</c:v>
                </c:pt>
                <c:pt idx="2">
                  <c:v>5.3517208666983507E-2</c:v>
                </c:pt>
                <c:pt idx="3">
                  <c:v>1.0518491537429897E-2</c:v>
                </c:pt>
                <c:pt idx="4">
                  <c:v>1.441554939962697E-2</c:v>
                </c:pt>
                <c:pt idx="5">
                  <c:v>1.1587120229017867E-2</c:v>
                </c:pt>
                <c:pt idx="6">
                  <c:v>4.1195664701585422E-3</c:v>
                </c:pt>
                <c:pt idx="7">
                  <c:v>5.2025376068628226E-2</c:v>
                </c:pt>
                <c:pt idx="8">
                  <c:v>4.0294872281488647E-2</c:v>
                </c:pt>
                <c:pt idx="9">
                  <c:v>-5.7300984065713489E-3</c:v>
                </c:pt>
                <c:pt idx="10">
                  <c:v>-2.5715874244899739E-2</c:v>
                </c:pt>
                <c:pt idx="11">
                  <c:v>-1.5053832331234362E-2</c:v>
                </c:pt>
                <c:pt idx="12">
                  <c:v>9.8314813920705735E-2</c:v>
                </c:pt>
                <c:pt idx="13">
                  <c:v>7.6015370888006251E-2</c:v>
                </c:pt>
              </c:numCache>
            </c:numRef>
          </c:val>
          <c:smooth val="0"/>
          <c:extLst>
            <c:ext xmlns:c16="http://schemas.microsoft.com/office/drawing/2014/chart" uri="{C3380CC4-5D6E-409C-BE32-E72D297353CC}">
              <c16:uniqueId val="{00000004-F9ED-4699-8BA2-0A5900B801BE}"/>
            </c:ext>
          </c:extLst>
        </c:ser>
        <c:ser>
          <c:idx val="5"/>
          <c:order val="5"/>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'2023'!$A$6:$A$19</c:f>
              <c:numCache>
                <c:formatCode>m/d/yyyy</c:formatCode>
                <c:ptCount val="14"/>
                <c:pt idx="0">
                  <c:v>44562</c:v>
                </c:pt>
                <c:pt idx="1">
                  <c:v>44927</c:v>
                </c:pt>
                <c:pt idx="2">
                  <c:v>44958</c:v>
                </c:pt>
                <c:pt idx="3">
                  <c:v>44986</c:v>
                </c:pt>
                <c:pt idx="4">
                  <c:v>45017</c:v>
                </c:pt>
                <c:pt idx="5">
                  <c:v>45047</c:v>
                </c:pt>
                <c:pt idx="6">
                  <c:v>45078</c:v>
                </c:pt>
                <c:pt idx="7">
                  <c:v>45108</c:v>
                </c:pt>
                <c:pt idx="8">
                  <c:v>45139</c:v>
                </c:pt>
                <c:pt idx="9">
                  <c:v>45170</c:v>
                </c:pt>
                <c:pt idx="10">
                  <c:v>45200</c:v>
                </c:pt>
                <c:pt idx="11">
                  <c:v>45231</c:v>
                </c:pt>
                <c:pt idx="12">
                  <c:v>45261</c:v>
                </c:pt>
                <c:pt idx="13">
                  <c:v>45292</c:v>
                </c:pt>
              </c:numCache>
            </c:numRef>
          </c:cat>
          <c:val>
            <c:numRef>
              <c:f>'2023'!$U$6:$U$19</c:f>
              <c:numCache>
                <c:formatCode>0.00%</c:formatCode>
                <c:ptCount val="14"/>
                <c:pt idx="0">
                  <c:v>0.31507133819355859</c:v>
                </c:pt>
                <c:pt idx="1">
                  <c:v>-0.17827292457841448</c:v>
                </c:pt>
                <c:pt idx="2">
                  <c:v>3.1349926146937879E-2</c:v>
                </c:pt>
                <c:pt idx="3">
                  <c:v>-2.1180990255917798E-2</c:v>
                </c:pt>
                <c:pt idx="4">
                  <c:v>6.8623018697049787E-2</c:v>
                </c:pt>
                <c:pt idx="5">
                  <c:v>-2.7947484132262446E-2</c:v>
                </c:pt>
                <c:pt idx="6">
                  <c:v>1.037274686266132E-3</c:v>
                </c:pt>
                <c:pt idx="7">
                  <c:v>7.1338439829521594E-2</c:v>
                </c:pt>
                <c:pt idx="8">
                  <c:v>5.3556018659005833E-2</c:v>
                </c:pt>
                <c:pt idx="9">
                  <c:v>1.7065575159911361E-3</c:v>
                </c:pt>
                <c:pt idx="10">
                  <c:v>-2.8399278731084276E-2</c:v>
                </c:pt>
                <c:pt idx="11">
                  <c:v>-2.9058304742179852E-2</c:v>
                </c:pt>
                <c:pt idx="12">
                  <c:v>0.15132199967774085</c:v>
                </c:pt>
                <c:pt idx="13">
                  <c:v>9.6922596322728038E-2</c:v>
                </c:pt>
              </c:numCache>
            </c:numRef>
          </c:val>
          <c:smooth val="0"/>
          <c:extLst>
            <c:ext xmlns:c16="http://schemas.microsoft.com/office/drawing/2014/chart" uri="{C3380CC4-5D6E-409C-BE32-E72D297353CC}">
              <c16:uniqueId val="{00000005-F9ED-4699-8BA2-0A5900B801BE}"/>
            </c:ext>
          </c:extLst>
        </c:ser>
        <c:ser>
          <c:idx val="6"/>
          <c:order val="6"/>
          <c:tx>
            <c:v>Total_Continues</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'2023'!$V$6:$V$19</c:f>
              <c:numCache>
                <c:formatCode>0.00%</c:formatCode>
                <c:ptCount val="14"/>
                <c:pt idx="2">
                  <c:v>3.1349926146937879E-2</c:v>
                </c:pt>
                <c:pt idx="3">
                  <c:v>9.5049134107780819E-3</c:v>
                </c:pt>
                <c:pt idx="4">
                  <c:v>7.878018795852948E-2</c:v>
                </c:pt>
                <c:pt idx="5">
                  <c:v>4.8630995773359498E-2</c:v>
                </c:pt>
                <c:pt idx="6">
                  <c:v>4.9718714160509103E-2</c:v>
                </c:pt>
                <c:pt idx="7">
                  <c:v>0.12460400948857142</c:v>
                </c:pt>
                <c:pt idx="8">
                  <c:v>0.1848333228047343</c:v>
                </c:pt>
                <c:pt idx="9">
                  <c:v>0.18685530901696334</c:v>
                </c:pt>
                <c:pt idx="10">
                  <c:v>0.1531494742827233</c:v>
                </c:pt>
                <c:pt idx="11">
                  <c:v>0.11964090544573147</c:v>
                </c:pt>
                <c:pt idx="12">
                  <c:v>0.28906720617877601</c:v>
                </c:pt>
                <c:pt idx="13">
                  <c:v>0.41400694663610826</c:v>
                </c:pt>
              </c:numCache>
            </c:numRef>
          </c:val>
          <c:smooth val="0"/>
          <c:extLst>
            <c:ext xmlns:c16="http://schemas.microsoft.com/office/drawing/2014/chart" uri="{C3380CC4-5D6E-409C-BE32-E72D297353CC}">
              <c16:uniqueId val="{00000006-F9ED-4699-8BA2-0A5900B801BE}"/>
            </c:ext>
          </c:extLst>
        </c:ser>
        <c:dLbls>
          <c:showLegendKey val="0"/>
          <c:showVal val="0"/>
          <c:showCatName val="0"/>
          <c:showSerName val="0"/>
          <c:showPercent val="0"/>
          <c:showBubbleSize val="0"/>
        </c:dLbls>
        <c:marker val="1"/>
        <c:smooth val="0"/>
        <c:axId val="432141920"/>
        <c:axId val="432144216"/>
      </c:lineChart>
      <c:dateAx>
        <c:axId val="432141920"/>
        <c:scaling>
          <c:orientation val="minMax"/>
          <c:min val="44562"/>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4216"/>
        <c:crosses val="autoZero"/>
        <c:auto val="1"/>
        <c:lblOffset val="100"/>
        <c:baseTimeUnit val="months"/>
      </c:dateAx>
      <c:valAx>
        <c:axId val="432144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841060719676919E-2"/>
          <c:y val="0.11391688115829592"/>
          <c:w val="0.92574257830299755"/>
          <c:h val="0.85229811768933805"/>
        </c:manualLayout>
      </c:layout>
      <c:lineChart>
        <c:grouping val="standard"/>
        <c:varyColors val="0"/>
        <c:ser>
          <c:idx val="0"/>
          <c:order val="0"/>
          <c:tx>
            <c:v>Indi_main</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'2024'!$A$6:$A$20</c:f>
              <c:numCache>
                <c:formatCode>m/d/yyyy</c:formatCode>
                <c:ptCount val="15"/>
                <c:pt idx="0">
                  <c:v>44562</c:v>
                </c:pt>
                <c:pt idx="1">
                  <c:v>44927</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45292</c:v>
                </c:pt>
              </c:numCache>
            </c:numRef>
          </c:cat>
          <c:val>
            <c:numRef>
              <c:f>'2024'!$E$6:$E$20</c:f>
              <c:numCache>
                <c:formatCode>0.00%</c:formatCode>
                <c:ptCount val="15"/>
                <c:pt idx="0">
                  <c:v>2.9963315256309464E-3</c:v>
                </c:pt>
                <c:pt idx="1">
                  <c:v>-0.44022855318457932</c:v>
                </c:pt>
                <c:pt idx="2">
                  <c:v>2.4948225303027538E-3</c:v>
                </c:pt>
                <c:pt idx="3">
                  <c:v>-5.8015014081218896E-2</c:v>
                </c:pt>
                <c:pt idx="4">
                  <c:v>7.9333541601582791E-2</c:v>
                </c:pt>
                <c:pt idx="5">
                  <c:v>5.0242936697527441E-2</c:v>
                </c:pt>
                <c:pt idx="6">
                  <c:v>-0.11631696920702583</c:v>
                </c:pt>
                <c:pt idx="7">
                  <c:v>8.6770304238717122E-2</c:v>
                </c:pt>
                <c:pt idx="8">
                  <c:v>-6.8453525411082849E-2</c:v>
                </c:pt>
                <c:pt idx="9">
                  <c:v>9.4538367383821598E-2</c:v>
                </c:pt>
                <c:pt idx="10">
                  <c:v>2.6102481063200456E-2</c:v>
                </c:pt>
                <c:pt idx="11">
                  <c:v>6.5650151727517647E-2</c:v>
                </c:pt>
                <c:pt idx="12">
                  <c:v>-3.3562954885328011E-2</c:v>
                </c:pt>
                <c:pt idx="13">
                  <c:v>0.13679952983872834</c:v>
                </c:pt>
                <c:pt idx="14">
                  <c:v>-3.5909742635000241E-2</c:v>
                </c:pt>
              </c:numCache>
            </c:numRef>
          </c:val>
          <c:smooth val="0"/>
          <c:extLst>
            <c:ext xmlns:c16="http://schemas.microsoft.com/office/drawing/2014/chart" uri="{C3380CC4-5D6E-409C-BE32-E72D297353CC}">
              <c16:uniqueId val="{00000000-99B5-4EF8-8375-5CDFA18B4097}"/>
            </c:ext>
          </c:extLst>
        </c:ser>
        <c:ser>
          <c:idx val="1"/>
          <c:order val="1"/>
          <c:tx>
            <c:v>Indi_trade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'2024'!$A$6:$A$20</c:f>
              <c:numCache>
                <c:formatCode>m/d/yyyy</c:formatCode>
                <c:ptCount val="15"/>
                <c:pt idx="0">
                  <c:v>44562</c:v>
                </c:pt>
                <c:pt idx="1">
                  <c:v>44927</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45292</c:v>
                </c:pt>
              </c:numCache>
            </c:numRef>
          </c:cat>
          <c:val>
            <c:numRef>
              <c:f>'2024'!$G$6:$G$20</c:f>
              <c:numCache>
                <c:formatCode>0.00%</c:formatCode>
                <c:ptCount val="15"/>
                <c:pt idx="0">
                  <c:v>0.12882153640364519</c:v>
                </c:pt>
                <c:pt idx="1">
                  <c:v>-1.3480046336632885</c:v>
                </c:pt>
                <c:pt idx="2">
                  <c:v>-0.30339508927914555</c:v>
                </c:pt>
                <c:pt idx="3">
                  <c:v>1.9680354860448303E-2</c:v>
                </c:pt>
                <c:pt idx="4">
                  <c:v>4.1618244298656674E-2</c:v>
                </c:pt>
                <c:pt idx="5">
                  <c:v>0.11739399739889858</c:v>
                </c:pt>
                <c:pt idx="6">
                  <c:v>-4.5615308297199973E-2</c:v>
                </c:pt>
                <c:pt idx="7">
                  <c:v>-2.6230271679581512E-2</c:v>
                </c:pt>
                <c:pt idx="8">
                  <c:v>-4.9412192345586893E-2</c:v>
                </c:pt>
                <c:pt idx="9">
                  <c:v>0.10374719668777879</c:v>
                </c:pt>
                <c:pt idx="10">
                  <c:v>4.1206889111129047E-2</c:v>
                </c:pt>
                <c:pt idx="11">
                  <c:v>4.9656361629898227E-2</c:v>
                </c:pt>
                <c:pt idx="12">
                  <c:v>1.5437466378274124E-2</c:v>
                </c:pt>
                <c:pt idx="13">
                  <c:v>3.3167853610813709E-2</c:v>
                </c:pt>
                <c:pt idx="14">
                  <c:v>7.6633169753443139E-3</c:v>
                </c:pt>
              </c:numCache>
            </c:numRef>
          </c:val>
          <c:smooth val="0"/>
          <c:extLst>
            <c:ext xmlns:c16="http://schemas.microsoft.com/office/drawing/2014/chart" uri="{C3380CC4-5D6E-409C-BE32-E72D297353CC}">
              <c16:uniqueId val="{00000001-99B5-4EF8-8375-5CDFA18B4097}"/>
            </c:ext>
          </c:extLst>
        </c:ser>
        <c:ser>
          <c:idx val="2"/>
          <c:order val="2"/>
          <c:tx>
            <c:v>Intel</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'2024'!$A$6:$A$20</c:f>
              <c:numCache>
                <c:formatCode>m/d/yyyy</c:formatCode>
                <c:ptCount val="15"/>
                <c:pt idx="0">
                  <c:v>44562</c:v>
                </c:pt>
                <c:pt idx="1">
                  <c:v>44927</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45292</c:v>
                </c:pt>
              </c:numCache>
            </c:numRef>
          </c:cat>
          <c:val>
            <c:numRef>
              <c:f>'2024'!$K$6:$K$20</c:f>
              <c:numCache>
                <c:formatCode>0.00%</c:formatCode>
                <c:ptCount val="15"/>
                <c:pt idx="0">
                  <c:v>0.25667345395207808</c:v>
                </c:pt>
                <c:pt idx="1">
                  <c:v>-0.35291160056843174</c:v>
                </c:pt>
                <c:pt idx="2">
                  <c:v>1.5420414504218827</c:v>
                </c:pt>
                <c:pt idx="3">
                  <c:v>-0.14268656716417905</c:v>
                </c:pt>
                <c:pt idx="4">
                  <c:v>0.12246636638416408</c:v>
                </c:pt>
                <c:pt idx="5">
                  <c:v>2.6038474818962376E-2</c:v>
                </c:pt>
                <c:pt idx="6">
                  <c:v>-0.31016527054561915</c:v>
                </c:pt>
                <c:pt idx="7">
                  <c:v>6.7991429592042518E-2</c:v>
                </c:pt>
                <c:pt idx="8">
                  <c:v>1.2967194923063419E-2</c:v>
                </c:pt>
                <c:pt idx="9">
                  <c:v>-7.4265418146592932E-3</c:v>
                </c:pt>
                <c:pt idx="10">
                  <c:v>-0.21122285105761718</c:v>
                </c:pt>
                <c:pt idx="11">
                  <c:v>7.3676551528908618E-2</c:v>
                </c:pt>
                <c:pt idx="12">
                  <c:v>-8.1622009291643427E-2</c:v>
                </c:pt>
                <c:pt idx="13">
                  <c:v>0.13036334161169383</c:v>
                </c:pt>
                <c:pt idx="14">
                  <c:v>-0.12170576320790916</c:v>
                </c:pt>
              </c:numCache>
            </c:numRef>
          </c:val>
          <c:smooth val="0"/>
          <c:extLst>
            <c:ext xmlns:c16="http://schemas.microsoft.com/office/drawing/2014/chart" uri="{C3380CC4-5D6E-409C-BE32-E72D297353CC}">
              <c16:uniqueId val="{00000002-99B5-4EF8-8375-5CDFA18B4097}"/>
            </c:ext>
          </c:extLst>
        </c:ser>
        <c:ser>
          <c:idx val="3"/>
          <c:order val="3"/>
          <c:tx>
            <c:v>Long</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'2024'!$A$6:$A$20</c:f>
              <c:numCache>
                <c:formatCode>m/d/yyyy</c:formatCode>
                <c:ptCount val="15"/>
                <c:pt idx="0">
                  <c:v>44562</c:v>
                </c:pt>
                <c:pt idx="1">
                  <c:v>44927</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45292</c:v>
                </c:pt>
              </c:numCache>
            </c:numRef>
          </c:cat>
          <c:val>
            <c:numRef>
              <c:f>'2024'!$O$6:$O$20</c:f>
              <c:numCache>
                <c:formatCode>0.00%</c:formatCode>
                <c:ptCount val="15"/>
                <c:pt idx="0">
                  <c:v>3.5487860456007055E-2</c:v>
                </c:pt>
                <c:pt idx="1">
                  <c:v>-0.41714817765656831</c:v>
                </c:pt>
                <c:pt idx="2">
                  <c:v>-7.6588469644023105E-2</c:v>
                </c:pt>
                <c:pt idx="3">
                  <c:v>-0.15722106717735196</c:v>
                </c:pt>
                <c:pt idx="4">
                  <c:v>8.2139704268868963E-2</c:v>
                </c:pt>
                <c:pt idx="5">
                  <c:v>6.8942640228378149E-2</c:v>
                </c:pt>
                <c:pt idx="6">
                  <c:v>-0.19009557849906178</c:v>
                </c:pt>
                <c:pt idx="7">
                  <c:v>1.6136750311772863E-2</c:v>
                </c:pt>
                <c:pt idx="8">
                  <c:v>-6.7259876995218959E-2</c:v>
                </c:pt>
                <c:pt idx="9">
                  <c:v>6.1181811567842859E-2</c:v>
                </c:pt>
                <c:pt idx="10">
                  <c:v>-0.10453324104356909</c:v>
                </c:pt>
                <c:pt idx="11">
                  <c:v>3.6012846571547463E-2</c:v>
                </c:pt>
                <c:pt idx="12">
                  <c:v>-0.14273640958940559</c:v>
                </c:pt>
                <c:pt idx="13">
                  <c:v>0.11409056736450718</c:v>
                </c:pt>
                <c:pt idx="14">
                  <c:v>-0.1309017472527868</c:v>
                </c:pt>
              </c:numCache>
            </c:numRef>
          </c:val>
          <c:smooth val="0"/>
          <c:extLst>
            <c:ext xmlns:c16="http://schemas.microsoft.com/office/drawing/2014/chart" uri="{C3380CC4-5D6E-409C-BE32-E72D297353CC}">
              <c16:uniqueId val="{00000003-99B5-4EF8-8375-5CDFA18B4097}"/>
            </c:ext>
          </c:extLst>
        </c:ser>
        <c:ser>
          <c:idx val="4"/>
          <c:order val="4"/>
          <c:tx>
            <c:v>401K</c:v>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'2024'!$A$6:$A$20</c:f>
              <c:numCache>
                <c:formatCode>m/d/yyyy</c:formatCode>
                <c:ptCount val="15"/>
                <c:pt idx="0">
                  <c:v>44562</c:v>
                </c:pt>
                <c:pt idx="1">
                  <c:v>44927</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45292</c:v>
                </c:pt>
              </c:numCache>
            </c:numRef>
          </c:cat>
          <c:val>
            <c:numRef>
              <c:f>'2024'!$R$6:$R$20</c:f>
              <c:numCache>
                <c:formatCode>0.00%</c:formatCode>
                <c:ptCount val="15"/>
                <c:pt idx="0">
                  <c:v>0.32107700417757523</c:v>
                </c:pt>
                <c:pt idx="1">
                  <c:v>-7.6424384838198578E-2</c:v>
                </c:pt>
                <c:pt idx="2">
                  <c:v>0.35369530248296499</c:v>
                </c:pt>
                <c:pt idx="3">
                  <c:v>6.1063558610152668E-3</c:v>
                </c:pt>
                <c:pt idx="4">
                  <c:v>5.6029506492336623E-2</c:v>
                </c:pt>
                <c:pt idx="5">
                  <c:v>5.1572632796598405E-2</c:v>
                </c:pt>
                <c:pt idx="6">
                  <c:v>-4.8173669039984546E-2</c:v>
                </c:pt>
                <c:pt idx="7">
                  <c:v>4.1655957668659482E-2</c:v>
                </c:pt>
                <c:pt idx="8">
                  <c:v>2.2075107182764064E-2</c:v>
                </c:pt>
                <c:pt idx="9">
                  <c:v>2.3485560371087066E-2</c:v>
                </c:pt>
                <c:pt idx="10">
                  <c:v>-7.3256801111754033E-4</c:v>
                </c:pt>
                <c:pt idx="11">
                  <c:v>2.3661442563483792E-2</c:v>
                </c:pt>
                <c:pt idx="12">
                  <c:v>-1.3842568143697109E-3</c:v>
                </c:pt>
                <c:pt idx="13">
                  <c:v>4.0499493298968847E-2</c:v>
                </c:pt>
                <c:pt idx="14">
                  <c:v>-4.2727400304096053E-2</c:v>
                </c:pt>
              </c:numCache>
            </c:numRef>
          </c:val>
          <c:smooth val="0"/>
          <c:extLst>
            <c:ext xmlns:c16="http://schemas.microsoft.com/office/drawing/2014/chart" uri="{C3380CC4-5D6E-409C-BE32-E72D297353CC}">
              <c16:uniqueId val="{00000004-99B5-4EF8-8375-5CDFA18B4097}"/>
            </c:ext>
          </c:extLst>
        </c:ser>
        <c:ser>
          <c:idx val="5"/>
          <c:order val="5"/>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'2024'!$A$6:$A$20</c:f>
              <c:numCache>
                <c:formatCode>m/d/yyyy</c:formatCode>
                <c:ptCount val="15"/>
                <c:pt idx="0">
                  <c:v>44562</c:v>
                </c:pt>
                <c:pt idx="1">
                  <c:v>44927</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45292</c:v>
                </c:pt>
              </c:numCache>
            </c:numRef>
          </c:cat>
          <c:val>
            <c:numRef>
              <c:f>'2024'!$U$6:$U$20</c:f>
              <c:numCache>
                <c:formatCode>0.00%</c:formatCode>
                <c:ptCount val="15"/>
                <c:pt idx="0">
                  <c:v>0.31507133819355859</c:v>
                </c:pt>
                <c:pt idx="1">
                  <c:v>-0.17827292457841448</c:v>
                </c:pt>
                <c:pt idx="2">
                  <c:v>0.49471877724597957</c:v>
                </c:pt>
                <c:pt idx="3">
                  <c:v>-5.8261506233082128E-2</c:v>
                </c:pt>
                <c:pt idx="4">
                  <c:v>7.597532202501478E-2</c:v>
                </c:pt>
                <c:pt idx="5">
                  <c:v>3.9560258970040563E-2</c:v>
                </c:pt>
                <c:pt idx="6">
                  <c:v>-0.13042663043352576</c:v>
                </c:pt>
                <c:pt idx="7">
                  <c:v>4.3226986299618853E-2</c:v>
                </c:pt>
                <c:pt idx="8">
                  <c:v>6.9218893740603527E-3</c:v>
                </c:pt>
                <c:pt idx="9">
                  <c:v>1.9973487224411057E-2</c:v>
                </c:pt>
                <c:pt idx="10">
                  <c:v>-5.0273140939744443E-2</c:v>
                </c:pt>
                <c:pt idx="11">
                  <c:v>3.3775763768485456E-2</c:v>
                </c:pt>
                <c:pt idx="12">
                  <c:v>-3.0359151670869111E-2</c:v>
                </c:pt>
                <c:pt idx="13">
                  <c:v>5.4057100373632538E-2</c:v>
                </c:pt>
                <c:pt idx="14">
                  <c:v>-6.4196790457342279E-2</c:v>
                </c:pt>
              </c:numCache>
            </c:numRef>
          </c:val>
          <c:smooth val="0"/>
          <c:extLst>
            <c:ext xmlns:c16="http://schemas.microsoft.com/office/drawing/2014/chart" uri="{C3380CC4-5D6E-409C-BE32-E72D297353CC}">
              <c16:uniqueId val="{00000005-99B5-4EF8-8375-5CDFA18B4097}"/>
            </c:ext>
          </c:extLst>
        </c:ser>
        <c:ser>
          <c:idx val="6"/>
          <c:order val="6"/>
          <c:tx>
            <c:v>Total_Continues</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'2024'!$V$6:$V$20</c:f>
              <c:numCache>
                <c:formatCode>0.00%</c:formatCode>
                <c:ptCount val="15"/>
                <c:pt idx="0">
                  <c:v>2.6906481836860894</c:v>
                </c:pt>
                <c:pt idx="1">
                  <c:v>1.3111650723856862</c:v>
                </c:pt>
                <c:pt idx="2">
                  <c:v>2.2680034671761042</c:v>
                </c:pt>
                <c:pt idx="3">
                  <c:v>-5.8261506233082128E-2</c:v>
                </c:pt>
                <c:pt idx="4">
                  <c:v>1.3287379094211849E-2</c:v>
                </c:pt>
                <c:pt idx="5">
                  <c:v>5.3373290222252567E-2</c:v>
                </c:pt>
                <c:pt idx="6">
                  <c:v>-8.401463861011238E-2</c:v>
                </c:pt>
                <c:pt idx="7">
                  <c:v>-4.4419351942660223E-2</c:v>
                </c:pt>
                <c:pt idx="8">
                  <c:v>-3.7804928408814331E-2</c:v>
                </c:pt>
                <c:pt idx="9">
                  <c:v>-1.858653743899652E-2</c:v>
                </c:pt>
                <c:pt idx="10">
                  <c:v>-6.7925274762488441E-2</c:v>
                </c:pt>
                <c:pt idx="11">
                  <c:v>-3.6443739028290345E-2</c:v>
                </c:pt>
                <c:pt idx="12">
                  <c:v>-6.5696489698546134E-2</c:v>
                </c:pt>
                <c:pt idx="13">
                  <c:v>-1.5190751062743146E-2</c:v>
                </c:pt>
                <c:pt idx="14">
                  <c:v>-7.8412344057220751E-2</c:v>
                </c:pt>
              </c:numCache>
            </c:numRef>
          </c:val>
          <c:smooth val="0"/>
          <c:extLst>
            <c:ext xmlns:c16="http://schemas.microsoft.com/office/drawing/2014/chart" uri="{C3380CC4-5D6E-409C-BE32-E72D297353CC}">
              <c16:uniqueId val="{00000006-99B5-4EF8-8375-5CDFA18B4097}"/>
            </c:ext>
          </c:extLst>
        </c:ser>
        <c:dLbls>
          <c:showLegendKey val="0"/>
          <c:showVal val="0"/>
          <c:showCatName val="0"/>
          <c:showSerName val="0"/>
          <c:showPercent val="0"/>
          <c:showBubbleSize val="0"/>
        </c:dLbls>
        <c:marker val="1"/>
        <c:smooth val="0"/>
        <c:axId val="432141920"/>
        <c:axId val="432144216"/>
      </c:lineChart>
      <c:dateAx>
        <c:axId val="432141920"/>
        <c:scaling>
          <c:orientation val="minMax"/>
          <c:min val="44562"/>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4216"/>
        <c:crosses val="autoZero"/>
        <c:auto val="1"/>
        <c:lblOffset val="100"/>
        <c:baseTimeUnit val="months"/>
      </c:dateAx>
      <c:valAx>
        <c:axId val="432144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841060719676919E-2"/>
          <c:y val="0.11391688115829592"/>
          <c:w val="0.92574257830299755"/>
          <c:h val="0.85229811768933805"/>
        </c:manualLayout>
      </c:layout>
      <c:lineChart>
        <c:grouping val="standard"/>
        <c:varyColors val="0"/>
        <c:ser>
          <c:idx val="0"/>
          <c:order val="0"/>
          <c:tx>
            <c:v>Indi_main</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'2025'!$A$6:$A$21</c:f>
              <c:numCache>
                <c:formatCode>m/d/yyyy</c:formatCode>
                <c:ptCount val="16"/>
                <c:pt idx="0">
                  <c:v>44562</c:v>
                </c:pt>
                <c:pt idx="1">
                  <c:v>44927</c:v>
                </c:pt>
                <c:pt idx="2">
                  <c:v>45292</c:v>
                </c:pt>
                <c:pt idx="3">
                  <c:v>45658</c:v>
                </c:pt>
                <c:pt idx="4">
                  <c:v>45689</c:v>
                </c:pt>
                <c:pt idx="5">
                  <c:v>45717</c:v>
                </c:pt>
                <c:pt idx="6">
                  <c:v>45748</c:v>
                </c:pt>
                <c:pt idx="7">
                  <c:v>45778</c:v>
                </c:pt>
                <c:pt idx="8">
                  <c:v>45809</c:v>
                </c:pt>
                <c:pt idx="9">
                  <c:v>45839</c:v>
                </c:pt>
                <c:pt idx="10">
                  <c:v>45870</c:v>
                </c:pt>
                <c:pt idx="11">
                  <c:v>45901</c:v>
                </c:pt>
                <c:pt idx="12">
                  <c:v>45931</c:v>
                </c:pt>
                <c:pt idx="13">
                  <c:v>45962</c:v>
                </c:pt>
                <c:pt idx="14">
                  <c:v>45992</c:v>
                </c:pt>
                <c:pt idx="15">
                  <c:v>46023</c:v>
                </c:pt>
              </c:numCache>
            </c:numRef>
          </c:cat>
          <c:val>
            <c:numRef>
              <c:f>'2025'!$E$6:$E$21</c:f>
              <c:numCache>
                <c:formatCode>0.00%</c:formatCode>
                <c:ptCount val="16"/>
                <c:pt idx="0">
                  <c:v>2.9963315256309464E-3</c:v>
                </c:pt>
                <c:pt idx="1">
                  <c:v>-0.44022855318457932</c:v>
                </c:pt>
                <c:pt idx="2">
                  <c:v>2.4948225303027538E-3</c:v>
                </c:pt>
                <c:pt idx="3">
                  <c:v>0.2109877648872962</c:v>
                </c:pt>
                <c:pt idx="4">
                  <c:v>1.8493632814999605E-2</c:v>
                </c:pt>
                <c:pt idx="5">
                  <c:v>-4.1881269067668425E-3</c:v>
                </c:pt>
                <c:pt idx="6">
                  <c:v>-9.0116748050072748E-2</c:v>
                </c:pt>
                <c:pt idx="7">
                  <c:v>-1.4094199495638837E-2</c:v>
                </c:pt>
                <c:pt idx="8">
                  <c:v>9.1518385763608823E-2</c:v>
                </c:pt>
                <c:pt idx="9">
                  <c:v>7.3839314845024484E-2</c:v>
                </c:pt>
                <c:pt idx="10">
                  <c:v>5.1299365679549291E-2</c:v>
                </c:pt>
                <c:pt idx="11">
                  <c:v>4.8708007722186419E-2</c:v>
                </c:pt>
                <c:pt idx="12">
                  <c:v>0.10010272280894172</c:v>
                </c:pt>
                <c:pt idx="13">
                  <c:v>7.740910434525583E-2</c:v>
                </c:pt>
                <c:pt idx="14">
                  <c:v>-2.3139641742148997E-2</c:v>
                </c:pt>
                <c:pt idx="15">
                  <c:v>3.2455451895347931E-2</c:v>
                </c:pt>
              </c:numCache>
            </c:numRef>
          </c:val>
          <c:smooth val="0"/>
          <c:extLst>
            <c:ext xmlns:c16="http://schemas.microsoft.com/office/drawing/2014/chart" uri="{C3380CC4-5D6E-409C-BE32-E72D297353CC}">
              <c16:uniqueId val="{00000000-5E38-4A88-9302-7B88EE3CC381}"/>
            </c:ext>
          </c:extLst>
        </c:ser>
        <c:ser>
          <c:idx val="1"/>
          <c:order val="1"/>
          <c:tx>
            <c:v>Indi_trade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'2025'!$A$6:$A$21</c:f>
              <c:numCache>
                <c:formatCode>m/d/yyyy</c:formatCode>
                <c:ptCount val="16"/>
                <c:pt idx="0">
                  <c:v>44562</c:v>
                </c:pt>
                <c:pt idx="1">
                  <c:v>44927</c:v>
                </c:pt>
                <c:pt idx="2">
                  <c:v>45292</c:v>
                </c:pt>
                <c:pt idx="3">
                  <c:v>45658</c:v>
                </c:pt>
                <c:pt idx="4">
                  <c:v>45689</c:v>
                </c:pt>
                <c:pt idx="5">
                  <c:v>45717</c:v>
                </c:pt>
                <c:pt idx="6">
                  <c:v>45748</c:v>
                </c:pt>
                <c:pt idx="7">
                  <c:v>45778</c:v>
                </c:pt>
                <c:pt idx="8">
                  <c:v>45809</c:v>
                </c:pt>
                <c:pt idx="9">
                  <c:v>45839</c:v>
                </c:pt>
                <c:pt idx="10">
                  <c:v>45870</c:v>
                </c:pt>
                <c:pt idx="11">
                  <c:v>45901</c:v>
                </c:pt>
                <c:pt idx="12">
                  <c:v>45931</c:v>
                </c:pt>
                <c:pt idx="13">
                  <c:v>45962</c:v>
                </c:pt>
                <c:pt idx="14">
                  <c:v>45992</c:v>
                </c:pt>
                <c:pt idx="15">
                  <c:v>46023</c:v>
                </c:pt>
              </c:numCache>
            </c:numRef>
          </c:cat>
          <c:val>
            <c:numRef>
              <c:f>'2025'!$G$6:$G$21</c:f>
              <c:numCache>
                <c:formatCode>0.00%</c:formatCode>
                <c:ptCount val="16"/>
                <c:pt idx="0">
                  <c:v>0.12882153640364519</c:v>
                </c:pt>
                <c:pt idx="1">
                  <c:v>-1.3480046336632885</c:v>
                </c:pt>
                <c:pt idx="2">
                  <c:v>-0.30339508927914555</c:v>
                </c:pt>
                <c:pt idx="3">
                  <c:v>0.25888169858561899</c:v>
                </c:pt>
                <c:pt idx="4">
                  <c:v>3.8982071582226766E-3</c:v>
                </c:pt>
                <c:pt idx="5">
                  <c:v>1.5064805882062285E-2</c:v>
                </c:pt>
                <c:pt idx="6">
                  <c:v>-1.9195714208455152E-2</c:v>
                </c:pt>
                <c:pt idx="7">
                  <c:v>-1.0400144397642997E-2</c:v>
                </c:pt>
                <c:pt idx="8">
                  <c:v>-5.5544681078908038E-3</c:v>
                </c:pt>
                <c:pt idx="9">
                  <c:v>1.3518446304595953E-2</c:v>
                </c:pt>
                <c:pt idx="10">
                  <c:v>9.9301794453507342E-2</c:v>
                </c:pt>
                <c:pt idx="11">
                  <c:v>-3.6779344441853448E-2</c:v>
                </c:pt>
                <c:pt idx="12">
                  <c:v>8.7366624664755393E-2</c:v>
                </c:pt>
                <c:pt idx="13">
                  <c:v>0.14562663324788025</c:v>
                </c:pt>
                <c:pt idx="14">
                  <c:v>-6.2288010340836785E-3</c:v>
                </c:pt>
                <c:pt idx="15">
                  <c:v>-1.0602302629475679E-3</c:v>
                </c:pt>
              </c:numCache>
            </c:numRef>
          </c:val>
          <c:smooth val="0"/>
          <c:extLst>
            <c:ext xmlns:c16="http://schemas.microsoft.com/office/drawing/2014/chart" uri="{C3380CC4-5D6E-409C-BE32-E72D297353CC}">
              <c16:uniqueId val="{00000001-5E38-4A88-9302-7B88EE3CC381}"/>
            </c:ext>
          </c:extLst>
        </c:ser>
        <c:ser>
          <c:idx val="2"/>
          <c:order val="2"/>
          <c:tx>
            <c:v>Intel</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'2025'!$A$6:$A$21</c:f>
              <c:numCache>
                <c:formatCode>m/d/yyyy</c:formatCode>
                <c:ptCount val="16"/>
                <c:pt idx="0">
                  <c:v>44562</c:v>
                </c:pt>
                <c:pt idx="1">
                  <c:v>44927</c:v>
                </c:pt>
                <c:pt idx="2">
                  <c:v>45292</c:v>
                </c:pt>
                <c:pt idx="3">
                  <c:v>45658</c:v>
                </c:pt>
                <c:pt idx="4">
                  <c:v>45689</c:v>
                </c:pt>
                <c:pt idx="5">
                  <c:v>45717</c:v>
                </c:pt>
                <c:pt idx="6">
                  <c:v>45748</c:v>
                </c:pt>
                <c:pt idx="7">
                  <c:v>45778</c:v>
                </c:pt>
                <c:pt idx="8">
                  <c:v>45809</c:v>
                </c:pt>
                <c:pt idx="9">
                  <c:v>45839</c:v>
                </c:pt>
                <c:pt idx="10">
                  <c:v>45870</c:v>
                </c:pt>
                <c:pt idx="11">
                  <c:v>45901</c:v>
                </c:pt>
                <c:pt idx="12">
                  <c:v>45931</c:v>
                </c:pt>
                <c:pt idx="13">
                  <c:v>45962</c:v>
                </c:pt>
                <c:pt idx="14">
                  <c:v>45992</c:v>
                </c:pt>
                <c:pt idx="15">
                  <c:v>46023</c:v>
                </c:pt>
              </c:numCache>
            </c:numRef>
          </c:cat>
          <c:val>
            <c:numRef>
              <c:f>'2025'!$K$6:$K$21</c:f>
              <c:numCache>
                <c:formatCode>0.00%</c:formatCode>
                <c:ptCount val="16"/>
                <c:pt idx="0">
                  <c:v>0.25667345395207808</c:v>
                </c:pt>
                <c:pt idx="1">
                  <c:v>-0.35291160056843174</c:v>
                </c:pt>
                <c:pt idx="2">
                  <c:v>1.5420414504218827</c:v>
                </c:pt>
                <c:pt idx="3">
                  <c:v>-0.42291593408153838</c:v>
                </c:pt>
                <c:pt idx="4">
                  <c:v>-2.9715602389181583E-2</c:v>
                </c:pt>
                <c:pt idx="5">
                  <c:v>0.3493649744688978</c:v>
                </c:pt>
                <c:pt idx="6">
                  <c:v>-1.8276854987926527E-2</c:v>
                </c:pt>
                <c:pt idx="7">
                  <c:v>-0.11456042723717652</c:v>
                </c:pt>
                <c:pt idx="8">
                  <c:v>-8.3539954948383954E-3</c:v>
                </c:pt>
                <c:pt idx="9">
                  <c:v>0.19207636969955932</c:v>
                </c:pt>
                <c:pt idx="10">
                  <c:v>-0.10808796965317913</c:v>
                </c:pt>
                <c:pt idx="11">
                  <c:v>0.32270430766671354</c:v>
                </c:pt>
                <c:pt idx="12">
                  <c:v>0.42731115528371499</c:v>
                </c:pt>
                <c:pt idx="13">
                  <c:v>0.20248043782899794</c:v>
                </c:pt>
                <c:pt idx="14">
                  <c:v>1.4507253626813377E-2</c:v>
                </c:pt>
                <c:pt idx="15">
                  <c:v>-5.5824605047026576E-2</c:v>
                </c:pt>
              </c:numCache>
            </c:numRef>
          </c:val>
          <c:smooth val="0"/>
          <c:extLst>
            <c:ext xmlns:c16="http://schemas.microsoft.com/office/drawing/2014/chart" uri="{C3380CC4-5D6E-409C-BE32-E72D297353CC}">
              <c16:uniqueId val="{00000002-5E38-4A88-9302-7B88EE3CC381}"/>
            </c:ext>
          </c:extLst>
        </c:ser>
        <c:ser>
          <c:idx val="3"/>
          <c:order val="3"/>
          <c:tx>
            <c:v>Long</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'2025'!$A$6:$A$21</c:f>
              <c:numCache>
                <c:formatCode>m/d/yyyy</c:formatCode>
                <c:ptCount val="16"/>
                <c:pt idx="0">
                  <c:v>44562</c:v>
                </c:pt>
                <c:pt idx="1">
                  <c:v>44927</c:v>
                </c:pt>
                <c:pt idx="2">
                  <c:v>45292</c:v>
                </c:pt>
                <c:pt idx="3">
                  <c:v>45658</c:v>
                </c:pt>
                <c:pt idx="4">
                  <c:v>45689</c:v>
                </c:pt>
                <c:pt idx="5">
                  <c:v>45717</c:v>
                </c:pt>
                <c:pt idx="6">
                  <c:v>45748</c:v>
                </c:pt>
                <c:pt idx="7">
                  <c:v>45778</c:v>
                </c:pt>
                <c:pt idx="8">
                  <c:v>45809</c:v>
                </c:pt>
                <c:pt idx="9">
                  <c:v>45839</c:v>
                </c:pt>
                <c:pt idx="10">
                  <c:v>45870</c:v>
                </c:pt>
                <c:pt idx="11">
                  <c:v>45901</c:v>
                </c:pt>
                <c:pt idx="12">
                  <c:v>45931</c:v>
                </c:pt>
                <c:pt idx="13">
                  <c:v>45962</c:v>
                </c:pt>
                <c:pt idx="14">
                  <c:v>45992</c:v>
                </c:pt>
                <c:pt idx="15">
                  <c:v>46023</c:v>
                </c:pt>
              </c:numCache>
            </c:numRef>
          </c:cat>
          <c:val>
            <c:numRef>
              <c:f>'2025'!$O$6:$O$21</c:f>
              <c:numCache>
                <c:formatCode>0.00%</c:formatCode>
                <c:ptCount val="16"/>
                <c:pt idx="0">
                  <c:v>3.5487860456007055E-2</c:v>
                </c:pt>
                <c:pt idx="1">
                  <c:v>-0.41714817765656831</c:v>
                </c:pt>
                <c:pt idx="2">
                  <c:v>-7.6588469644023105E-2</c:v>
                </c:pt>
                <c:pt idx="3">
                  <c:v>-0.41411633472267773</c:v>
                </c:pt>
                <c:pt idx="4">
                  <c:v>8.1414454748840015E-2</c:v>
                </c:pt>
                <c:pt idx="5">
                  <c:v>-5.9488983047749189E-2</c:v>
                </c:pt>
                <c:pt idx="6">
                  <c:v>-8.33564349759226E-2</c:v>
                </c:pt>
                <c:pt idx="7">
                  <c:v>-0.14088370802238992</c:v>
                </c:pt>
                <c:pt idx="8">
                  <c:v>0.20656524079353411</c:v>
                </c:pt>
                <c:pt idx="9">
                  <c:v>9.7400866264642394E-2</c:v>
                </c:pt>
                <c:pt idx="10">
                  <c:v>5.2823517294072309E-2</c:v>
                </c:pt>
                <c:pt idx="11">
                  <c:v>0.10634527989882714</c:v>
                </c:pt>
                <c:pt idx="12">
                  <c:v>6.8188847363120031E-2</c:v>
                </c:pt>
                <c:pt idx="13">
                  <c:v>-2.7514929109381026E-2</c:v>
                </c:pt>
                <c:pt idx="14">
                  <c:v>-5.2668885052309378E-2</c:v>
                </c:pt>
                <c:pt idx="15">
                  <c:v>-4.6873405632352871E-2</c:v>
                </c:pt>
              </c:numCache>
            </c:numRef>
          </c:val>
          <c:smooth val="0"/>
          <c:extLst>
            <c:ext xmlns:c16="http://schemas.microsoft.com/office/drawing/2014/chart" uri="{C3380CC4-5D6E-409C-BE32-E72D297353CC}">
              <c16:uniqueId val="{00000003-5E38-4A88-9302-7B88EE3CC381}"/>
            </c:ext>
          </c:extLst>
        </c:ser>
        <c:ser>
          <c:idx val="4"/>
          <c:order val="4"/>
          <c:tx>
            <c:v>401K</c:v>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'2025'!$A$6:$A$21</c:f>
              <c:numCache>
                <c:formatCode>m/d/yyyy</c:formatCode>
                <c:ptCount val="16"/>
                <c:pt idx="0">
                  <c:v>44562</c:v>
                </c:pt>
                <c:pt idx="1">
                  <c:v>44927</c:v>
                </c:pt>
                <c:pt idx="2">
                  <c:v>45292</c:v>
                </c:pt>
                <c:pt idx="3">
                  <c:v>45658</c:v>
                </c:pt>
                <c:pt idx="4">
                  <c:v>45689</c:v>
                </c:pt>
                <c:pt idx="5">
                  <c:v>45717</c:v>
                </c:pt>
                <c:pt idx="6">
                  <c:v>45748</c:v>
                </c:pt>
                <c:pt idx="7">
                  <c:v>45778</c:v>
                </c:pt>
                <c:pt idx="8">
                  <c:v>45809</c:v>
                </c:pt>
                <c:pt idx="9">
                  <c:v>45839</c:v>
                </c:pt>
                <c:pt idx="10">
                  <c:v>45870</c:v>
                </c:pt>
                <c:pt idx="11">
                  <c:v>45901</c:v>
                </c:pt>
                <c:pt idx="12">
                  <c:v>45931</c:v>
                </c:pt>
                <c:pt idx="13">
                  <c:v>45962</c:v>
                </c:pt>
                <c:pt idx="14">
                  <c:v>45992</c:v>
                </c:pt>
                <c:pt idx="15">
                  <c:v>46023</c:v>
                </c:pt>
              </c:numCache>
            </c:numRef>
          </c:cat>
          <c:val>
            <c:numRef>
              <c:f>'2025'!$R$6:$R$21</c:f>
              <c:numCache>
                <c:formatCode>0.00%</c:formatCode>
                <c:ptCount val="16"/>
                <c:pt idx="0">
                  <c:v>0.32107700417757523</c:v>
                </c:pt>
                <c:pt idx="1">
                  <c:v>-7.6424384838198578E-2</c:v>
                </c:pt>
                <c:pt idx="2">
                  <c:v>0.35369530248296499</c:v>
                </c:pt>
                <c:pt idx="3">
                  <c:v>0.17901615711734098</c:v>
                </c:pt>
                <c:pt idx="4">
                  <c:v>4.1095644337124204E-2</c:v>
                </c:pt>
                <c:pt idx="5">
                  <c:v>2.3213013190483078E-2</c:v>
                </c:pt>
                <c:pt idx="6">
                  <c:v>-4.1101371221119565E-2</c:v>
                </c:pt>
                <c:pt idx="7">
                  <c:v>-6.0917592781108976E-3</c:v>
                </c:pt>
                <c:pt idx="8">
                  <c:v>5.7368711167972153E-2</c:v>
                </c:pt>
                <c:pt idx="9">
                  <c:v>6.2591458596122251E-2</c:v>
                </c:pt>
                <c:pt idx="10">
                  <c:v>1.2669057275682682E-4</c:v>
                </c:pt>
                <c:pt idx="11">
                  <c:v>5.3779373004708475E-2</c:v>
                </c:pt>
                <c:pt idx="12">
                  <c:v>6.9423218092033334E-2</c:v>
                </c:pt>
                <c:pt idx="13">
                  <c:v>4.677401115472879E-2</c:v>
                </c:pt>
                <c:pt idx="14">
                  <c:v>1.0969927300128468E-2</c:v>
                </c:pt>
                <c:pt idx="15">
                  <c:v>2.578220275357701E-3</c:v>
                </c:pt>
              </c:numCache>
            </c:numRef>
          </c:val>
          <c:smooth val="0"/>
          <c:extLst>
            <c:ext xmlns:c16="http://schemas.microsoft.com/office/drawing/2014/chart" uri="{C3380CC4-5D6E-409C-BE32-E72D297353CC}">
              <c16:uniqueId val="{00000004-5E38-4A88-9302-7B88EE3CC381}"/>
            </c:ext>
          </c:extLst>
        </c:ser>
        <c:ser>
          <c:idx val="5"/>
          <c:order val="5"/>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'2025'!$A$6:$A$21</c:f>
              <c:numCache>
                <c:formatCode>m/d/yyyy</c:formatCode>
                <c:ptCount val="16"/>
                <c:pt idx="0">
                  <c:v>44562</c:v>
                </c:pt>
                <c:pt idx="1">
                  <c:v>44927</c:v>
                </c:pt>
                <c:pt idx="2">
                  <c:v>45292</c:v>
                </c:pt>
                <c:pt idx="3">
                  <c:v>45658</c:v>
                </c:pt>
                <c:pt idx="4">
                  <c:v>45689</c:v>
                </c:pt>
                <c:pt idx="5">
                  <c:v>45717</c:v>
                </c:pt>
                <c:pt idx="6">
                  <c:v>45748</c:v>
                </c:pt>
                <c:pt idx="7">
                  <c:v>45778</c:v>
                </c:pt>
                <c:pt idx="8">
                  <c:v>45809</c:v>
                </c:pt>
                <c:pt idx="9">
                  <c:v>45839</c:v>
                </c:pt>
                <c:pt idx="10">
                  <c:v>45870</c:v>
                </c:pt>
                <c:pt idx="11">
                  <c:v>45901</c:v>
                </c:pt>
                <c:pt idx="12">
                  <c:v>45931</c:v>
                </c:pt>
                <c:pt idx="13">
                  <c:v>45962</c:v>
                </c:pt>
                <c:pt idx="14">
                  <c:v>45992</c:v>
                </c:pt>
                <c:pt idx="15">
                  <c:v>46023</c:v>
                </c:pt>
              </c:numCache>
            </c:numRef>
          </c:cat>
          <c:val>
            <c:numRef>
              <c:f>'2025'!$U$6:$U$21</c:f>
              <c:numCache>
                <c:formatCode>0.00%</c:formatCode>
                <c:ptCount val="16"/>
                <c:pt idx="0">
                  <c:v>0.31507133819355859</c:v>
                </c:pt>
                <c:pt idx="1">
                  <c:v>-0.17827292457841448</c:v>
                </c:pt>
                <c:pt idx="2">
                  <c:v>0.49471877724597957</c:v>
                </c:pt>
                <c:pt idx="3">
                  <c:v>-4.1195522427876829E-2</c:v>
                </c:pt>
                <c:pt idx="4">
                  <c:v>2.7037181167572477E-2</c:v>
                </c:pt>
                <c:pt idx="5">
                  <c:v>6.645707071271767E-2</c:v>
                </c:pt>
                <c:pt idx="6">
                  <c:v>-3.9638597690614064E-2</c:v>
                </c:pt>
                <c:pt idx="7">
                  <c:v>-2.3327626088714082E-2</c:v>
                </c:pt>
                <c:pt idx="8">
                  <c:v>5.1220978471466339E-2</c:v>
                </c:pt>
                <c:pt idx="9">
                  <c:v>8.0544144921559591E-2</c:v>
                </c:pt>
                <c:pt idx="10">
                  <c:v>-1.6908635338261924E-2</c:v>
                </c:pt>
                <c:pt idx="11">
                  <c:v>9.8312626636175349E-2</c:v>
                </c:pt>
                <c:pt idx="12">
                  <c:v>0.1340072221480606</c:v>
                </c:pt>
                <c:pt idx="13">
                  <c:v>7.9061837644441635E-2</c:v>
                </c:pt>
                <c:pt idx="14">
                  <c:v>1.002124609577093E-2</c:v>
                </c:pt>
                <c:pt idx="15">
                  <c:v>-1.5459676190488825E-2</c:v>
                </c:pt>
              </c:numCache>
            </c:numRef>
          </c:val>
          <c:smooth val="0"/>
          <c:extLst>
            <c:ext xmlns:c16="http://schemas.microsoft.com/office/drawing/2014/chart" uri="{C3380CC4-5D6E-409C-BE32-E72D297353CC}">
              <c16:uniqueId val="{00000005-5E38-4A88-9302-7B88EE3CC381}"/>
            </c:ext>
          </c:extLst>
        </c:ser>
        <c:ser>
          <c:idx val="6"/>
          <c:order val="6"/>
          <c:tx>
            <c:v>Total_Continues</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'2025'!$V$6:$V$21</c:f>
              <c:numCache>
                <c:formatCode>0.00%</c:formatCode>
                <c:ptCount val="16"/>
                <c:pt idx="0">
                  <c:v>2.6906481836860894</c:v>
                </c:pt>
                <c:pt idx="1">
                  <c:v>1.3111650723856862</c:v>
                </c:pt>
                <c:pt idx="2">
                  <c:v>2.2680034671761042</c:v>
                </c:pt>
                <c:pt idx="3">
                  <c:v>2.0117516549277012</c:v>
                </c:pt>
                <c:pt idx="4">
                  <c:v>2.7037181167572477E-2</c:v>
                </c:pt>
                <c:pt idx="5">
                  <c:v>9.5291063741016035E-2</c:v>
                </c:pt>
                <c:pt idx="6">
                  <c:v>5.1875261911261239E-2</c:v>
                </c:pt>
                <c:pt idx="7">
                  <c:v>2.7337509109427005E-2</c:v>
                </c:pt>
                <c:pt idx="8">
                  <c:v>7.9958741546450662E-2</c:v>
                </c:pt>
                <c:pt idx="9">
                  <c:v>0.16694309493487336</c:v>
                </c:pt>
                <c:pt idx="10">
                  <c:v>0.14721167968211679</c:v>
                </c:pt>
                <c:pt idx="11">
                  <c:v>0.25999707321936416</c:v>
                </c:pt>
                <c:pt idx="12">
                  <c:v>0.42884578091617764</c:v>
                </c:pt>
                <c:pt idx="13">
                  <c:v>0.54181295406591778</c:v>
                </c:pt>
                <c:pt idx="14">
                  <c:v>0.55726384111225991</c:v>
                </c:pt>
                <c:pt idx="15">
                  <c:v>0.53318904638550757</c:v>
                </c:pt>
              </c:numCache>
            </c:numRef>
          </c:val>
          <c:smooth val="0"/>
          <c:extLst>
            <c:ext xmlns:c16="http://schemas.microsoft.com/office/drawing/2014/chart" uri="{C3380CC4-5D6E-409C-BE32-E72D297353CC}">
              <c16:uniqueId val="{00000006-5E38-4A88-9302-7B88EE3CC381}"/>
            </c:ext>
          </c:extLst>
        </c:ser>
        <c:dLbls>
          <c:showLegendKey val="0"/>
          <c:showVal val="0"/>
          <c:showCatName val="0"/>
          <c:showSerName val="0"/>
          <c:showPercent val="0"/>
          <c:showBubbleSize val="0"/>
        </c:dLbls>
        <c:marker val="1"/>
        <c:smooth val="0"/>
        <c:axId val="432141920"/>
        <c:axId val="432144216"/>
      </c:lineChart>
      <c:dateAx>
        <c:axId val="432141920"/>
        <c:scaling>
          <c:orientation val="minMax"/>
          <c:min val="44562"/>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4216"/>
        <c:crosses val="autoZero"/>
        <c:auto val="1"/>
        <c:lblOffset val="100"/>
        <c:baseTimeUnit val="months"/>
      </c:dateAx>
      <c:valAx>
        <c:axId val="432144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841060719676919E-2"/>
          <c:y val="0.11391688115829592"/>
          <c:w val="0.92574257830299755"/>
          <c:h val="0.85229811768933805"/>
        </c:manualLayout>
      </c:layout>
      <c:lineChart>
        <c:grouping val="standard"/>
        <c:varyColors val="0"/>
        <c:ser>
          <c:idx val="0"/>
          <c:order val="0"/>
          <c:tx>
            <c:v>Indi_main</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'2026'!$A$6:$A$22</c:f>
              <c:numCache>
                <c:formatCode>m/d/yyyy</c:formatCode>
                <c:ptCount val="17"/>
                <c:pt idx="0">
                  <c:v>44562</c:v>
                </c:pt>
                <c:pt idx="1">
                  <c:v>44927</c:v>
                </c:pt>
                <c:pt idx="2">
                  <c:v>45292</c:v>
                </c:pt>
                <c:pt idx="3">
                  <c:v>45658</c:v>
                </c:pt>
                <c:pt idx="4">
                  <c:v>46023</c:v>
                </c:pt>
                <c:pt idx="5">
                  <c:v>46054</c:v>
                </c:pt>
                <c:pt idx="6">
                  <c:v>46082</c:v>
                </c:pt>
                <c:pt idx="7">
                  <c:v>46113</c:v>
                </c:pt>
                <c:pt idx="8">
                  <c:v>46143</c:v>
                </c:pt>
                <c:pt idx="9">
                  <c:v>46174</c:v>
                </c:pt>
                <c:pt idx="10">
                  <c:v>46204</c:v>
                </c:pt>
                <c:pt idx="11">
                  <c:v>46235</c:v>
                </c:pt>
                <c:pt idx="12">
                  <c:v>46266</c:v>
                </c:pt>
                <c:pt idx="13">
                  <c:v>46296</c:v>
                </c:pt>
                <c:pt idx="14">
                  <c:v>46327</c:v>
                </c:pt>
                <c:pt idx="15">
                  <c:v>46357</c:v>
                </c:pt>
                <c:pt idx="16">
                  <c:v>46388</c:v>
                </c:pt>
              </c:numCache>
            </c:numRef>
          </c:cat>
          <c:val>
            <c:numRef>
              <c:f>'2026'!$E$6:$E$22</c:f>
              <c:numCache>
                <c:formatCode>0.00%</c:formatCode>
                <c:ptCount val="17"/>
                <c:pt idx="0">
                  <c:v>2.9963315256309464E-3</c:v>
                </c:pt>
                <c:pt idx="1">
                  <c:v>-0.44022855318457932</c:v>
                </c:pt>
                <c:pt idx="2">
                  <c:v>2.4948225303027538E-3</c:v>
                </c:pt>
                <c:pt idx="3">
                  <c:v>0.2109877648872962</c:v>
                </c:pt>
                <c:pt idx="4">
                  <c:v>0.40163203413760518</c:v>
                </c:pt>
                <c:pt idx="5">
                  <c:v>4.9697144121949144E-2</c:v>
                </c:pt>
                <c:pt idx="6">
                  <c:v>1.4953024050915253E-2</c:v>
                </c:pt>
                <c:pt idx="7">
                  <c:v>-4.4734650924999397E-2</c:v>
                </c:pt>
                <c:pt idx="8">
                  <c:v>0.19267923722605773</c:v>
                </c:pt>
                <c:pt idx="9">
                  <c:v>0.14713599506371033</c:v>
                </c:pt>
                <c:pt idx="10">
                  <c:v>-5.7902334272156297E-3</c:v>
                </c:pt>
              </c:numCache>
            </c:numRef>
          </c:val>
          <c:smooth val="0"/>
          <c:extLst>
            <c:ext xmlns:c16="http://schemas.microsoft.com/office/drawing/2014/chart" uri="{C3380CC4-5D6E-409C-BE32-E72D297353CC}">
              <c16:uniqueId val="{00000000-B06C-457C-A61D-77E70FE2E9A7}"/>
            </c:ext>
          </c:extLst>
        </c:ser>
        <c:ser>
          <c:idx val="1"/>
          <c:order val="1"/>
          <c:tx>
            <c:v>Indi_trade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'2026'!$A$6:$A$22</c:f>
              <c:numCache>
                <c:formatCode>m/d/yyyy</c:formatCode>
                <c:ptCount val="17"/>
                <c:pt idx="0">
                  <c:v>44562</c:v>
                </c:pt>
                <c:pt idx="1">
                  <c:v>44927</c:v>
                </c:pt>
                <c:pt idx="2">
                  <c:v>45292</c:v>
                </c:pt>
                <c:pt idx="3">
                  <c:v>45658</c:v>
                </c:pt>
                <c:pt idx="4">
                  <c:v>46023</c:v>
                </c:pt>
                <c:pt idx="5">
                  <c:v>46054</c:v>
                </c:pt>
                <c:pt idx="6">
                  <c:v>46082</c:v>
                </c:pt>
                <c:pt idx="7">
                  <c:v>46113</c:v>
                </c:pt>
                <c:pt idx="8">
                  <c:v>46143</c:v>
                </c:pt>
                <c:pt idx="9">
                  <c:v>46174</c:v>
                </c:pt>
                <c:pt idx="10">
                  <c:v>46204</c:v>
                </c:pt>
                <c:pt idx="11">
                  <c:v>46235</c:v>
                </c:pt>
                <c:pt idx="12">
                  <c:v>46266</c:v>
                </c:pt>
                <c:pt idx="13">
                  <c:v>46296</c:v>
                </c:pt>
                <c:pt idx="14">
                  <c:v>46327</c:v>
                </c:pt>
                <c:pt idx="15">
                  <c:v>46357</c:v>
                </c:pt>
                <c:pt idx="16">
                  <c:v>46388</c:v>
                </c:pt>
              </c:numCache>
            </c:numRef>
          </c:cat>
          <c:val>
            <c:numRef>
              <c:f>'2026'!$G$6:$G$22</c:f>
              <c:numCache>
                <c:formatCode>0.00%</c:formatCode>
                <c:ptCount val="17"/>
                <c:pt idx="0">
                  <c:v>0.12882153640364519</c:v>
                </c:pt>
                <c:pt idx="1">
                  <c:v>-1.3480046336632885</c:v>
                </c:pt>
                <c:pt idx="2">
                  <c:v>-0.30339508927914555</c:v>
                </c:pt>
                <c:pt idx="3">
                  <c:v>0.25888169858561899</c:v>
                </c:pt>
                <c:pt idx="4">
                  <c:v>0.22429886018004333</c:v>
                </c:pt>
                <c:pt idx="5">
                  <c:v>6.108551914889436E-2</c:v>
                </c:pt>
                <c:pt idx="6">
                  <c:v>3.3195385240420926E-3</c:v>
                </c:pt>
                <c:pt idx="7">
                  <c:v>2.3923909519458657E-2</c:v>
                </c:pt>
                <c:pt idx="8">
                  <c:v>0.13543878994036504</c:v>
                </c:pt>
                <c:pt idx="9">
                  <c:v>7.9422800058358639E-2</c:v>
                </c:pt>
                <c:pt idx="10">
                  <c:v>5.6351046777487562E-2</c:v>
                </c:pt>
              </c:numCache>
            </c:numRef>
          </c:val>
          <c:smooth val="0"/>
          <c:extLst>
            <c:ext xmlns:c16="http://schemas.microsoft.com/office/drawing/2014/chart" uri="{C3380CC4-5D6E-409C-BE32-E72D297353CC}">
              <c16:uniqueId val="{00000001-B06C-457C-A61D-77E70FE2E9A7}"/>
            </c:ext>
          </c:extLst>
        </c:ser>
        <c:ser>
          <c:idx val="2"/>
          <c:order val="2"/>
          <c:tx>
            <c:v>Intel</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'2026'!$A$6:$A$22</c:f>
              <c:numCache>
                <c:formatCode>m/d/yyyy</c:formatCode>
                <c:ptCount val="17"/>
                <c:pt idx="0">
                  <c:v>44562</c:v>
                </c:pt>
                <c:pt idx="1">
                  <c:v>44927</c:v>
                </c:pt>
                <c:pt idx="2">
                  <c:v>45292</c:v>
                </c:pt>
                <c:pt idx="3">
                  <c:v>45658</c:v>
                </c:pt>
                <c:pt idx="4">
                  <c:v>46023</c:v>
                </c:pt>
                <c:pt idx="5">
                  <c:v>46054</c:v>
                </c:pt>
                <c:pt idx="6">
                  <c:v>46082</c:v>
                </c:pt>
                <c:pt idx="7">
                  <c:v>46113</c:v>
                </c:pt>
                <c:pt idx="8">
                  <c:v>46143</c:v>
                </c:pt>
                <c:pt idx="9">
                  <c:v>46174</c:v>
                </c:pt>
                <c:pt idx="10">
                  <c:v>46204</c:v>
                </c:pt>
                <c:pt idx="11">
                  <c:v>46235</c:v>
                </c:pt>
                <c:pt idx="12">
                  <c:v>46266</c:v>
                </c:pt>
                <c:pt idx="13">
                  <c:v>46296</c:v>
                </c:pt>
                <c:pt idx="14">
                  <c:v>46327</c:v>
                </c:pt>
                <c:pt idx="15">
                  <c:v>46357</c:v>
                </c:pt>
                <c:pt idx="16">
                  <c:v>46388</c:v>
                </c:pt>
              </c:numCache>
            </c:numRef>
          </c:cat>
          <c:val>
            <c:numRef>
              <c:f>'2026'!$K$6:$K$22</c:f>
              <c:numCache>
                <c:formatCode>0.00%</c:formatCode>
                <c:ptCount val="17"/>
                <c:pt idx="0">
                  <c:v>0.25667345395207808</c:v>
                </c:pt>
                <c:pt idx="1">
                  <c:v>-0.35291160056843174</c:v>
                </c:pt>
                <c:pt idx="2">
                  <c:v>1.5420414504218827</c:v>
                </c:pt>
                <c:pt idx="3">
                  <c:v>-0.42291593408153838</c:v>
                </c:pt>
                <c:pt idx="4">
                  <c:v>1.5491592655787434</c:v>
                </c:pt>
                <c:pt idx="5">
                  <c:v>0.2589060711649418</c:v>
                </c:pt>
                <c:pt idx="6">
                  <c:v>3.6401096725254156E-2</c:v>
                </c:pt>
                <c:pt idx="7">
                  <c:v>-1.9201925540274223E-3</c:v>
                </c:pt>
                <c:pt idx="8">
                  <c:v>1.1409472014502606</c:v>
                </c:pt>
                <c:pt idx="9">
                  <c:v>0.22260879055669802</c:v>
                </c:pt>
                <c:pt idx="10">
                  <c:v>2.0996339113110718E-2</c:v>
                </c:pt>
              </c:numCache>
            </c:numRef>
          </c:val>
          <c:smooth val="0"/>
          <c:extLst>
            <c:ext xmlns:c16="http://schemas.microsoft.com/office/drawing/2014/chart" uri="{C3380CC4-5D6E-409C-BE32-E72D297353CC}">
              <c16:uniqueId val="{00000002-B06C-457C-A61D-77E70FE2E9A7}"/>
            </c:ext>
          </c:extLst>
        </c:ser>
        <c:ser>
          <c:idx val="3"/>
          <c:order val="3"/>
          <c:tx>
            <c:v>Long</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'2026'!$A$6:$A$22</c:f>
              <c:numCache>
                <c:formatCode>m/d/yyyy</c:formatCode>
                <c:ptCount val="17"/>
                <c:pt idx="0">
                  <c:v>44562</c:v>
                </c:pt>
                <c:pt idx="1">
                  <c:v>44927</c:v>
                </c:pt>
                <c:pt idx="2">
                  <c:v>45292</c:v>
                </c:pt>
                <c:pt idx="3">
                  <c:v>45658</c:v>
                </c:pt>
                <c:pt idx="4">
                  <c:v>46023</c:v>
                </c:pt>
                <c:pt idx="5">
                  <c:v>46054</c:v>
                </c:pt>
                <c:pt idx="6">
                  <c:v>46082</c:v>
                </c:pt>
                <c:pt idx="7">
                  <c:v>46113</c:v>
                </c:pt>
                <c:pt idx="8">
                  <c:v>46143</c:v>
                </c:pt>
                <c:pt idx="9">
                  <c:v>46174</c:v>
                </c:pt>
                <c:pt idx="10">
                  <c:v>46204</c:v>
                </c:pt>
                <c:pt idx="11">
                  <c:v>46235</c:v>
                </c:pt>
                <c:pt idx="12">
                  <c:v>46266</c:v>
                </c:pt>
                <c:pt idx="13">
                  <c:v>46296</c:v>
                </c:pt>
                <c:pt idx="14">
                  <c:v>46327</c:v>
                </c:pt>
                <c:pt idx="15">
                  <c:v>46357</c:v>
                </c:pt>
                <c:pt idx="16">
                  <c:v>46388</c:v>
                </c:pt>
              </c:numCache>
            </c:numRef>
          </c:cat>
          <c:val>
            <c:numRef>
              <c:f>'2026'!$O$6:$O$22</c:f>
              <c:numCache>
                <c:formatCode>0.00%</c:formatCode>
                <c:ptCount val="17"/>
                <c:pt idx="0">
                  <c:v>3.5487860456007055E-2</c:v>
                </c:pt>
                <c:pt idx="1">
                  <c:v>-0.41714817765656831</c:v>
                </c:pt>
                <c:pt idx="2">
                  <c:v>-7.6588469644023105E-2</c:v>
                </c:pt>
                <c:pt idx="3">
                  <c:v>-0.41411633472267773</c:v>
                </c:pt>
                <c:pt idx="4">
                  <c:v>0.282909129093041</c:v>
                </c:pt>
                <c:pt idx="5">
                  <c:v>-1.0903563389751181E-2</c:v>
                </c:pt>
                <c:pt idx="6">
                  <c:v>4.5768806399495432E-2</c:v>
                </c:pt>
                <c:pt idx="7">
                  <c:v>-8.6725656491816627E-2</c:v>
                </c:pt>
                <c:pt idx="8">
                  <c:v>0.23093612926848772</c:v>
                </c:pt>
                <c:pt idx="9">
                  <c:v>0.27796734508844878</c:v>
                </c:pt>
                <c:pt idx="10">
                  <c:v>-6.2519834312847022E-2</c:v>
                </c:pt>
                <c:pt idx="13">
                  <c:v>0</c:v>
                </c:pt>
              </c:numCache>
            </c:numRef>
          </c:val>
          <c:smooth val="0"/>
          <c:extLst>
            <c:ext xmlns:c16="http://schemas.microsoft.com/office/drawing/2014/chart" uri="{C3380CC4-5D6E-409C-BE32-E72D297353CC}">
              <c16:uniqueId val="{00000003-B06C-457C-A61D-77E70FE2E9A7}"/>
            </c:ext>
          </c:extLst>
        </c:ser>
        <c:ser>
          <c:idx val="4"/>
          <c:order val="4"/>
          <c:tx>
            <c:v>401K</c:v>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'2026'!$A$6:$A$22</c:f>
              <c:numCache>
                <c:formatCode>m/d/yyyy</c:formatCode>
                <c:ptCount val="17"/>
                <c:pt idx="0">
                  <c:v>44562</c:v>
                </c:pt>
                <c:pt idx="1">
                  <c:v>44927</c:v>
                </c:pt>
                <c:pt idx="2">
                  <c:v>45292</c:v>
                </c:pt>
                <c:pt idx="3">
                  <c:v>45658</c:v>
                </c:pt>
                <c:pt idx="4">
                  <c:v>46023</c:v>
                </c:pt>
                <c:pt idx="5">
                  <c:v>46054</c:v>
                </c:pt>
                <c:pt idx="6">
                  <c:v>46082</c:v>
                </c:pt>
                <c:pt idx="7">
                  <c:v>46113</c:v>
                </c:pt>
                <c:pt idx="8">
                  <c:v>46143</c:v>
                </c:pt>
                <c:pt idx="9">
                  <c:v>46174</c:v>
                </c:pt>
                <c:pt idx="10">
                  <c:v>46204</c:v>
                </c:pt>
                <c:pt idx="11">
                  <c:v>46235</c:v>
                </c:pt>
                <c:pt idx="12">
                  <c:v>46266</c:v>
                </c:pt>
                <c:pt idx="13">
                  <c:v>46296</c:v>
                </c:pt>
                <c:pt idx="14">
                  <c:v>46327</c:v>
                </c:pt>
                <c:pt idx="15">
                  <c:v>46357</c:v>
                </c:pt>
                <c:pt idx="16">
                  <c:v>46388</c:v>
                </c:pt>
              </c:numCache>
            </c:numRef>
          </c:cat>
          <c:val>
            <c:numRef>
              <c:f>'2026'!$R$6:$R$22</c:f>
              <c:numCache>
                <c:formatCode>0.00%</c:formatCode>
                <c:ptCount val="17"/>
                <c:pt idx="0">
                  <c:v>0.32107700417757523</c:v>
                </c:pt>
                <c:pt idx="1">
                  <c:v>-7.6424384838198578E-2</c:v>
                </c:pt>
                <c:pt idx="2">
                  <c:v>0.35369530248296499</c:v>
                </c:pt>
                <c:pt idx="3">
                  <c:v>0.17901615711734098</c:v>
                </c:pt>
                <c:pt idx="4">
                  <c:v>0.36405600929708526</c:v>
                </c:pt>
                <c:pt idx="5">
                  <c:v>5.7210528728142362E-2</c:v>
                </c:pt>
                <c:pt idx="6">
                  <c:v>3.396555097624665E-2</c:v>
                </c:pt>
                <c:pt idx="7">
                  <c:v>-5.2912909463802671E-2</c:v>
                </c:pt>
                <c:pt idx="8">
                  <c:v>0.19271158994040194</c:v>
                </c:pt>
                <c:pt idx="9">
                  <c:v>6.8949746187415561E-2</c:v>
                </c:pt>
                <c:pt idx="10">
                  <c:v>-4.2359732268923977E-3</c:v>
                </c:pt>
              </c:numCache>
            </c:numRef>
          </c:val>
          <c:smooth val="0"/>
          <c:extLst>
            <c:ext xmlns:c16="http://schemas.microsoft.com/office/drawing/2014/chart" uri="{C3380CC4-5D6E-409C-BE32-E72D297353CC}">
              <c16:uniqueId val="{00000004-B06C-457C-A61D-77E70FE2E9A7}"/>
            </c:ext>
          </c:extLst>
        </c:ser>
        <c:ser>
          <c:idx val="5"/>
          <c:order val="5"/>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'2026'!$A$6:$A$22</c:f>
              <c:numCache>
                <c:formatCode>m/d/yyyy</c:formatCode>
                <c:ptCount val="17"/>
                <c:pt idx="0">
                  <c:v>44562</c:v>
                </c:pt>
                <c:pt idx="1">
                  <c:v>44927</c:v>
                </c:pt>
                <c:pt idx="2">
                  <c:v>45292</c:v>
                </c:pt>
                <c:pt idx="3">
                  <c:v>45658</c:v>
                </c:pt>
                <c:pt idx="4">
                  <c:v>46023</c:v>
                </c:pt>
                <c:pt idx="5">
                  <c:v>46054</c:v>
                </c:pt>
                <c:pt idx="6">
                  <c:v>46082</c:v>
                </c:pt>
                <c:pt idx="7">
                  <c:v>46113</c:v>
                </c:pt>
                <c:pt idx="8">
                  <c:v>46143</c:v>
                </c:pt>
                <c:pt idx="9">
                  <c:v>46174</c:v>
                </c:pt>
                <c:pt idx="10">
                  <c:v>46204</c:v>
                </c:pt>
                <c:pt idx="11">
                  <c:v>46235</c:v>
                </c:pt>
                <c:pt idx="12">
                  <c:v>46266</c:v>
                </c:pt>
                <c:pt idx="13">
                  <c:v>46296</c:v>
                </c:pt>
                <c:pt idx="14">
                  <c:v>46327</c:v>
                </c:pt>
                <c:pt idx="15">
                  <c:v>46357</c:v>
                </c:pt>
                <c:pt idx="16">
                  <c:v>46388</c:v>
                </c:pt>
              </c:numCache>
            </c:numRef>
          </c:cat>
          <c:val>
            <c:numRef>
              <c:f>'2026'!$U$6:$U$22</c:f>
              <c:numCache>
                <c:formatCode>0.00%</c:formatCode>
                <c:ptCount val="17"/>
                <c:pt idx="0">
                  <c:v>0.31507133819355859</c:v>
                </c:pt>
                <c:pt idx="1">
                  <c:v>-0.17827292457841448</c:v>
                </c:pt>
                <c:pt idx="2">
                  <c:v>0.49471877724597957</c:v>
                </c:pt>
                <c:pt idx="3">
                  <c:v>-4.1195522427876829E-2</c:v>
                </c:pt>
                <c:pt idx="4">
                  <c:v>0.54807901395679792</c:v>
                </c:pt>
                <c:pt idx="5">
                  <c:v>0.10658488795783749</c:v>
                </c:pt>
                <c:pt idx="6">
                  <c:v>3.4690537058794879E-2</c:v>
                </c:pt>
                <c:pt idx="7">
                  <c:v>-3.99979203211559E-2</c:v>
                </c:pt>
                <c:pt idx="8">
                  <c:v>0.48212873985117355</c:v>
                </c:pt>
                <c:pt idx="9">
                  <c:v>0.14188678437014857</c:v>
                </c:pt>
                <c:pt idx="10">
                  <c:v>6.1496110097201129E-3</c:v>
                </c:pt>
              </c:numCache>
            </c:numRef>
          </c:val>
          <c:smooth val="0"/>
          <c:extLst>
            <c:ext xmlns:c16="http://schemas.microsoft.com/office/drawing/2014/chart" uri="{C3380CC4-5D6E-409C-BE32-E72D297353CC}">
              <c16:uniqueId val="{00000005-B06C-457C-A61D-77E70FE2E9A7}"/>
            </c:ext>
          </c:extLst>
        </c:ser>
        <c:ser>
          <c:idx val="6"/>
          <c:order val="6"/>
          <c:tx>
            <c:v>Total_Continues</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'2026'!$V$6:$V$22</c:f>
              <c:numCache>
                <c:formatCode>0.00%</c:formatCode>
                <c:ptCount val="17"/>
                <c:pt idx="0">
                  <c:v>2.6906481836860894</c:v>
                </c:pt>
                <c:pt idx="1">
                  <c:v>1.3111650723856862</c:v>
                </c:pt>
                <c:pt idx="2">
                  <c:v>2.2680034671761042</c:v>
                </c:pt>
                <c:pt idx="3">
                  <c:v>2.0117516549277012</c:v>
                </c:pt>
                <c:pt idx="4">
                  <c:v>3.6175846477685756</c:v>
                </c:pt>
                <c:pt idx="5">
                  <c:v>0.10658488795783749</c:v>
                </c:pt>
                <c:pt idx="6">
                  <c:v>0.14497291202224138</c:v>
                </c:pt>
                <c:pt idx="7">
                  <c:v>9.9176376717293735E-2</c:v>
                </c:pt>
                <c:pt idx="8">
                  <c:v>0.6291208980981815</c:v>
                </c:pt>
                <c:pt idx="9">
                  <c:v>0.86027162367954091</c:v>
                </c:pt>
                <c:pt idx="10">
                  <c:v>0.87171157053759041</c:v>
                </c:pt>
              </c:numCache>
            </c:numRef>
          </c:val>
          <c:smooth val="0"/>
          <c:extLst>
            <c:ext xmlns:c16="http://schemas.microsoft.com/office/drawing/2014/chart" uri="{C3380CC4-5D6E-409C-BE32-E72D297353CC}">
              <c16:uniqueId val="{00000006-B06C-457C-A61D-77E70FE2E9A7}"/>
            </c:ext>
          </c:extLst>
        </c:ser>
        <c:dLbls>
          <c:showLegendKey val="0"/>
          <c:showVal val="0"/>
          <c:showCatName val="0"/>
          <c:showSerName val="0"/>
          <c:showPercent val="0"/>
          <c:showBubbleSize val="0"/>
        </c:dLbls>
        <c:marker val="1"/>
        <c:smooth val="0"/>
        <c:axId val="432141920"/>
        <c:axId val="432144216"/>
      </c:lineChart>
      <c:dateAx>
        <c:axId val="432141920"/>
        <c:scaling>
          <c:orientation val="minMax"/>
          <c:min val="44562"/>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4216"/>
        <c:crosses val="autoZero"/>
        <c:auto val="1"/>
        <c:lblOffset val="100"/>
        <c:baseTimeUnit val="months"/>
      </c:dateAx>
      <c:valAx>
        <c:axId val="432144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515471</xdr:colOff>
      <xdr:row>35</xdr:row>
      <xdr:rowOff>123265</xdr:rowOff>
    </xdr:from>
    <xdr:to>
      <xdr:col>17</xdr:col>
      <xdr:colOff>369795</xdr:colOff>
      <xdr:row>63</xdr:row>
      <xdr:rowOff>56030</xdr:rowOff>
    </xdr:to>
    <xdr:graphicFrame macro="">
      <xdr:nvGraphicFramePr>
        <xdr:cNvPr id="2" name="Chart 1">
          <a:extLst>
            <a:ext uri="{FF2B5EF4-FFF2-40B4-BE49-F238E27FC236}">
              <a16:creationId xmlns:a16="http://schemas.microsoft.com/office/drawing/2014/main" id="{F0B87AEE-4D8D-D955-850E-4A2979729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515471</xdr:colOff>
      <xdr:row>36</xdr:row>
      <xdr:rowOff>123265</xdr:rowOff>
    </xdr:from>
    <xdr:to>
      <xdr:col>17</xdr:col>
      <xdr:colOff>369795</xdr:colOff>
      <xdr:row>64</xdr:row>
      <xdr:rowOff>56030</xdr:rowOff>
    </xdr:to>
    <xdr:graphicFrame macro="">
      <xdr:nvGraphicFramePr>
        <xdr:cNvPr id="2" name="Chart 1">
          <a:extLst>
            <a:ext uri="{FF2B5EF4-FFF2-40B4-BE49-F238E27FC236}">
              <a16:creationId xmlns:a16="http://schemas.microsoft.com/office/drawing/2014/main" id="{87AE6C5E-7BEA-4E9E-B869-6FFC286B7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515471</xdr:colOff>
      <xdr:row>37</xdr:row>
      <xdr:rowOff>123265</xdr:rowOff>
    </xdr:from>
    <xdr:to>
      <xdr:col>17</xdr:col>
      <xdr:colOff>369795</xdr:colOff>
      <xdr:row>65</xdr:row>
      <xdr:rowOff>56030</xdr:rowOff>
    </xdr:to>
    <xdr:graphicFrame macro="">
      <xdr:nvGraphicFramePr>
        <xdr:cNvPr id="2" name="Chart 1">
          <a:extLst>
            <a:ext uri="{FF2B5EF4-FFF2-40B4-BE49-F238E27FC236}">
              <a16:creationId xmlns:a16="http://schemas.microsoft.com/office/drawing/2014/main" id="{AB5C9834-C2D5-428D-B3DD-E9DF73DE4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515471</xdr:colOff>
      <xdr:row>38</xdr:row>
      <xdr:rowOff>123265</xdr:rowOff>
    </xdr:from>
    <xdr:to>
      <xdr:col>17</xdr:col>
      <xdr:colOff>369795</xdr:colOff>
      <xdr:row>66</xdr:row>
      <xdr:rowOff>56030</xdr:rowOff>
    </xdr:to>
    <xdr:graphicFrame macro="">
      <xdr:nvGraphicFramePr>
        <xdr:cNvPr id="2" name="Chart 1">
          <a:extLst>
            <a:ext uri="{FF2B5EF4-FFF2-40B4-BE49-F238E27FC236}">
              <a16:creationId xmlns:a16="http://schemas.microsoft.com/office/drawing/2014/main" id="{E792DB40-442E-4D56-A93D-0E6A14A39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515471</xdr:colOff>
      <xdr:row>39</xdr:row>
      <xdr:rowOff>123265</xdr:rowOff>
    </xdr:from>
    <xdr:to>
      <xdr:col>17</xdr:col>
      <xdr:colOff>369795</xdr:colOff>
      <xdr:row>67</xdr:row>
      <xdr:rowOff>56030</xdr:rowOff>
    </xdr:to>
    <xdr:graphicFrame macro="">
      <xdr:nvGraphicFramePr>
        <xdr:cNvPr id="2" name="Chart 1">
          <a:extLst>
            <a:ext uri="{FF2B5EF4-FFF2-40B4-BE49-F238E27FC236}">
              <a16:creationId xmlns:a16="http://schemas.microsoft.com/office/drawing/2014/main" id="{2A150E60-C787-48FF-95CA-0BF17D4EE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ufa/Downloads/ByStatus.xlsx" TargetMode="External"/><Relationship Id="rId1" Type="http://schemas.openxmlformats.org/officeDocument/2006/relationships/externalLinkPath" Target="/Users/yufa/Downloads/ByStat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llable"/>
      <sheetName val="Unvested"/>
    </sheetNames>
    <sheetDataSet>
      <sheetData sheetId="0">
        <row r="40">
          <cell r="A40" t="str">
            <v>Overall Total</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j.thetradingpub.com/go/6/5SFFKLVA-5SD8IHU5-5SD8IHT9-BKNZB6.html?email=bilyky%40gmail.com&amp;opt_domain=j.TheTradingPub.com&amp;banner=SAM_453571086029&amp;SCID=YmlseWt5QGdtYWlsLmNvbQ%3D%3D&amp;opt_mandator=354988191864&amp;opt_affiliate=LI_DED_MKB_NON_EXT_LMIC22__28_INDICT&amp;bmMailId=5SFFKLVA-5SD8IHU5-113SK9R"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32585-D4FF-42D1-B8AC-06D1F16DA055}">
  <dimension ref="A2:Q40"/>
  <sheetViews>
    <sheetView workbookViewId="0">
      <selection activeCell="H29" sqref="H29"/>
    </sheetView>
  </sheetViews>
  <sheetFormatPr defaultRowHeight="15"/>
  <cols>
    <col min="1" max="1" width="9.7109375" bestFit="1" customWidth="1"/>
    <col min="5" max="5" width="8.140625" bestFit="1" customWidth="1"/>
    <col min="6" max="6" width="9.140625" style="1" bestFit="1" customWidth="1"/>
    <col min="9" max="9" width="11.140625" bestFit="1" customWidth="1"/>
    <col min="10" max="10" width="9.85546875" bestFit="1" customWidth="1"/>
    <col min="11" max="11" width="7.140625" bestFit="1" customWidth="1"/>
    <col min="14" max="14" width="11.140625" style="1" bestFit="1" customWidth="1"/>
    <col min="16" max="16" width="11.140625" bestFit="1" customWidth="1"/>
    <col min="17" max="17" width="7.140625" bestFit="1" customWidth="1"/>
    <col min="18" max="18" width="11.140625" bestFit="1" customWidth="1"/>
    <col min="261" max="261" width="11.85546875" bestFit="1" customWidth="1"/>
    <col min="262" max="262" width="11.85546875" customWidth="1"/>
    <col min="265" max="265" width="12.7109375" bestFit="1" customWidth="1"/>
    <col min="266" max="266" width="9.7109375" bestFit="1" customWidth="1"/>
    <col min="270" max="270" width="11.7109375" customWidth="1"/>
    <col min="272" max="272" width="12.7109375" bestFit="1" customWidth="1"/>
    <col min="274" max="274" width="11.140625" bestFit="1" customWidth="1"/>
    <col min="517" max="517" width="11.85546875" bestFit="1" customWidth="1"/>
    <col min="518" max="518" width="11.85546875" customWidth="1"/>
    <col min="521" max="521" width="12.7109375" bestFit="1" customWidth="1"/>
    <col min="522" max="522" width="9.7109375" bestFit="1" customWidth="1"/>
    <col min="526" max="526" width="11.7109375" customWidth="1"/>
    <col min="528" max="528" width="12.7109375" bestFit="1" customWidth="1"/>
    <col min="530" max="530" width="11.140625" bestFit="1" customWidth="1"/>
    <col min="773" max="773" width="11.85546875" bestFit="1" customWidth="1"/>
    <col min="774" max="774" width="11.85546875" customWidth="1"/>
    <col min="777" max="777" width="12.7109375" bestFit="1" customWidth="1"/>
    <col min="778" max="778" width="9.7109375" bestFit="1" customWidth="1"/>
    <col min="782" max="782" width="11.7109375" customWidth="1"/>
    <col min="784" max="784" width="12.7109375" bestFit="1" customWidth="1"/>
    <col min="786" max="786" width="11.140625" bestFit="1" customWidth="1"/>
    <col min="1029" max="1029" width="11.85546875" bestFit="1" customWidth="1"/>
    <col min="1030" max="1030" width="11.85546875" customWidth="1"/>
    <col min="1033" max="1033" width="12.7109375" bestFit="1" customWidth="1"/>
    <col min="1034" max="1034" width="9.7109375" bestFit="1" customWidth="1"/>
    <col min="1038" max="1038" width="11.7109375" customWidth="1"/>
    <col min="1040" max="1040" width="12.7109375" bestFit="1" customWidth="1"/>
    <col min="1042" max="1042" width="11.140625" bestFit="1" customWidth="1"/>
    <col min="1285" max="1285" width="11.85546875" bestFit="1" customWidth="1"/>
    <col min="1286" max="1286" width="11.85546875" customWidth="1"/>
    <col min="1289" max="1289" width="12.7109375" bestFit="1" customWidth="1"/>
    <col min="1290" max="1290" width="9.7109375" bestFit="1" customWidth="1"/>
    <col min="1294" max="1294" width="11.7109375" customWidth="1"/>
    <col min="1296" max="1296" width="12.7109375" bestFit="1" customWidth="1"/>
    <col min="1298" max="1298" width="11.140625" bestFit="1" customWidth="1"/>
    <col min="1541" max="1541" width="11.85546875" bestFit="1" customWidth="1"/>
    <col min="1542" max="1542" width="11.85546875" customWidth="1"/>
    <col min="1545" max="1545" width="12.7109375" bestFit="1" customWidth="1"/>
    <col min="1546" max="1546" width="9.7109375" bestFit="1" customWidth="1"/>
    <col min="1550" max="1550" width="11.7109375" customWidth="1"/>
    <col min="1552" max="1552" width="12.7109375" bestFit="1" customWidth="1"/>
    <col min="1554" max="1554" width="11.140625" bestFit="1" customWidth="1"/>
    <col min="1797" max="1797" width="11.85546875" bestFit="1" customWidth="1"/>
    <col min="1798" max="1798" width="11.85546875" customWidth="1"/>
    <col min="1801" max="1801" width="12.7109375" bestFit="1" customWidth="1"/>
    <col min="1802" max="1802" width="9.7109375" bestFit="1" customWidth="1"/>
    <col min="1806" max="1806" width="11.7109375" customWidth="1"/>
    <col min="1808" max="1808" width="12.7109375" bestFit="1" customWidth="1"/>
    <col min="1810" max="1810" width="11.140625" bestFit="1" customWidth="1"/>
    <col min="2053" max="2053" width="11.85546875" bestFit="1" customWidth="1"/>
    <col min="2054" max="2054" width="11.85546875" customWidth="1"/>
    <col min="2057" max="2057" width="12.7109375" bestFit="1" customWidth="1"/>
    <col min="2058" max="2058" width="9.7109375" bestFit="1" customWidth="1"/>
    <col min="2062" max="2062" width="11.7109375" customWidth="1"/>
    <col min="2064" max="2064" width="12.7109375" bestFit="1" customWidth="1"/>
    <col min="2066" max="2066" width="11.140625" bestFit="1" customWidth="1"/>
    <col min="2309" max="2309" width="11.85546875" bestFit="1" customWidth="1"/>
    <col min="2310" max="2310" width="11.85546875" customWidth="1"/>
    <col min="2313" max="2313" width="12.7109375" bestFit="1" customWidth="1"/>
    <col min="2314" max="2314" width="9.7109375" bestFit="1" customWidth="1"/>
    <col min="2318" max="2318" width="11.7109375" customWidth="1"/>
    <col min="2320" max="2320" width="12.7109375" bestFit="1" customWidth="1"/>
    <col min="2322" max="2322" width="11.140625" bestFit="1" customWidth="1"/>
    <col min="2565" max="2565" width="11.85546875" bestFit="1" customWidth="1"/>
    <col min="2566" max="2566" width="11.85546875" customWidth="1"/>
    <col min="2569" max="2569" width="12.7109375" bestFit="1" customWidth="1"/>
    <col min="2570" max="2570" width="9.7109375" bestFit="1" customWidth="1"/>
    <col min="2574" max="2574" width="11.7109375" customWidth="1"/>
    <col min="2576" max="2576" width="12.7109375" bestFit="1" customWidth="1"/>
    <col min="2578" max="2578" width="11.140625" bestFit="1" customWidth="1"/>
    <col min="2821" max="2821" width="11.85546875" bestFit="1" customWidth="1"/>
    <col min="2822" max="2822" width="11.85546875" customWidth="1"/>
    <col min="2825" max="2825" width="12.7109375" bestFit="1" customWidth="1"/>
    <col min="2826" max="2826" width="9.7109375" bestFit="1" customWidth="1"/>
    <col min="2830" max="2830" width="11.7109375" customWidth="1"/>
    <col min="2832" max="2832" width="12.7109375" bestFit="1" customWidth="1"/>
    <col min="2834" max="2834" width="11.140625" bestFit="1" customWidth="1"/>
    <col min="3077" max="3077" width="11.85546875" bestFit="1" customWidth="1"/>
    <col min="3078" max="3078" width="11.85546875" customWidth="1"/>
    <col min="3081" max="3081" width="12.7109375" bestFit="1" customWidth="1"/>
    <col min="3082" max="3082" width="9.7109375" bestFit="1" customWidth="1"/>
    <col min="3086" max="3086" width="11.7109375" customWidth="1"/>
    <col min="3088" max="3088" width="12.7109375" bestFit="1" customWidth="1"/>
    <col min="3090" max="3090" width="11.140625" bestFit="1" customWidth="1"/>
    <col min="3333" max="3333" width="11.85546875" bestFit="1" customWidth="1"/>
    <col min="3334" max="3334" width="11.85546875" customWidth="1"/>
    <col min="3337" max="3337" width="12.7109375" bestFit="1" customWidth="1"/>
    <col min="3338" max="3338" width="9.7109375" bestFit="1" customWidth="1"/>
    <col min="3342" max="3342" width="11.7109375" customWidth="1"/>
    <col min="3344" max="3344" width="12.7109375" bestFit="1" customWidth="1"/>
    <col min="3346" max="3346" width="11.140625" bestFit="1" customWidth="1"/>
    <col min="3589" max="3589" width="11.85546875" bestFit="1" customWidth="1"/>
    <col min="3590" max="3590" width="11.85546875" customWidth="1"/>
    <col min="3593" max="3593" width="12.7109375" bestFit="1" customWidth="1"/>
    <col min="3594" max="3594" width="9.7109375" bestFit="1" customWidth="1"/>
    <col min="3598" max="3598" width="11.7109375" customWidth="1"/>
    <col min="3600" max="3600" width="12.7109375" bestFit="1" customWidth="1"/>
    <col min="3602" max="3602" width="11.140625" bestFit="1" customWidth="1"/>
    <col min="3845" max="3845" width="11.85546875" bestFit="1" customWidth="1"/>
    <col min="3846" max="3846" width="11.85546875" customWidth="1"/>
    <col min="3849" max="3849" width="12.7109375" bestFit="1" customWidth="1"/>
    <col min="3850" max="3850" width="9.7109375" bestFit="1" customWidth="1"/>
    <col min="3854" max="3854" width="11.7109375" customWidth="1"/>
    <col min="3856" max="3856" width="12.7109375" bestFit="1" customWidth="1"/>
    <col min="3858" max="3858" width="11.140625" bestFit="1" customWidth="1"/>
    <col min="4101" max="4101" width="11.85546875" bestFit="1" customWidth="1"/>
    <col min="4102" max="4102" width="11.85546875" customWidth="1"/>
    <col min="4105" max="4105" width="12.7109375" bestFit="1" customWidth="1"/>
    <col min="4106" max="4106" width="9.7109375" bestFit="1" customWidth="1"/>
    <col min="4110" max="4110" width="11.7109375" customWidth="1"/>
    <col min="4112" max="4112" width="12.7109375" bestFit="1" customWidth="1"/>
    <col min="4114" max="4114" width="11.140625" bestFit="1" customWidth="1"/>
    <col min="4357" max="4357" width="11.85546875" bestFit="1" customWidth="1"/>
    <col min="4358" max="4358" width="11.85546875" customWidth="1"/>
    <col min="4361" max="4361" width="12.7109375" bestFit="1" customWidth="1"/>
    <col min="4362" max="4362" width="9.7109375" bestFit="1" customWidth="1"/>
    <col min="4366" max="4366" width="11.7109375" customWidth="1"/>
    <col min="4368" max="4368" width="12.7109375" bestFit="1" customWidth="1"/>
    <col min="4370" max="4370" width="11.140625" bestFit="1" customWidth="1"/>
    <col min="4613" max="4613" width="11.85546875" bestFit="1" customWidth="1"/>
    <col min="4614" max="4614" width="11.85546875" customWidth="1"/>
    <col min="4617" max="4617" width="12.7109375" bestFit="1" customWidth="1"/>
    <col min="4618" max="4618" width="9.7109375" bestFit="1" customWidth="1"/>
    <col min="4622" max="4622" width="11.7109375" customWidth="1"/>
    <col min="4624" max="4624" width="12.7109375" bestFit="1" customWidth="1"/>
    <col min="4626" max="4626" width="11.140625" bestFit="1" customWidth="1"/>
    <col min="4869" max="4869" width="11.85546875" bestFit="1" customWidth="1"/>
    <col min="4870" max="4870" width="11.85546875" customWidth="1"/>
    <col min="4873" max="4873" width="12.7109375" bestFit="1" customWidth="1"/>
    <col min="4874" max="4874" width="9.7109375" bestFit="1" customWidth="1"/>
    <col min="4878" max="4878" width="11.7109375" customWidth="1"/>
    <col min="4880" max="4880" width="12.7109375" bestFit="1" customWidth="1"/>
    <col min="4882" max="4882" width="11.140625" bestFit="1" customWidth="1"/>
    <col min="5125" max="5125" width="11.85546875" bestFit="1" customWidth="1"/>
    <col min="5126" max="5126" width="11.85546875" customWidth="1"/>
    <col min="5129" max="5129" width="12.7109375" bestFit="1" customWidth="1"/>
    <col min="5130" max="5130" width="9.7109375" bestFit="1" customWidth="1"/>
    <col min="5134" max="5134" width="11.7109375" customWidth="1"/>
    <col min="5136" max="5136" width="12.7109375" bestFit="1" customWidth="1"/>
    <col min="5138" max="5138" width="11.140625" bestFit="1" customWidth="1"/>
    <col min="5381" max="5381" width="11.85546875" bestFit="1" customWidth="1"/>
    <col min="5382" max="5382" width="11.85546875" customWidth="1"/>
    <col min="5385" max="5385" width="12.7109375" bestFit="1" customWidth="1"/>
    <col min="5386" max="5386" width="9.7109375" bestFit="1" customWidth="1"/>
    <col min="5390" max="5390" width="11.7109375" customWidth="1"/>
    <col min="5392" max="5392" width="12.7109375" bestFit="1" customWidth="1"/>
    <col min="5394" max="5394" width="11.140625" bestFit="1" customWidth="1"/>
    <col min="5637" max="5637" width="11.85546875" bestFit="1" customWidth="1"/>
    <col min="5638" max="5638" width="11.85546875" customWidth="1"/>
    <col min="5641" max="5641" width="12.7109375" bestFit="1" customWidth="1"/>
    <col min="5642" max="5642" width="9.7109375" bestFit="1" customWidth="1"/>
    <col min="5646" max="5646" width="11.7109375" customWidth="1"/>
    <col min="5648" max="5648" width="12.7109375" bestFit="1" customWidth="1"/>
    <col min="5650" max="5650" width="11.140625" bestFit="1" customWidth="1"/>
    <col min="5893" max="5893" width="11.85546875" bestFit="1" customWidth="1"/>
    <col min="5894" max="5894" width="11.85546875" customWidth="1"/>
    <col min="5897" max="5897" width="12.7109375" bestFit="1" customWidth="1"/>
    <col min="5898" max="5898" width="9.7109375" bestFit="1" customWidth="1"/>
    <col min="5902" max="5902" width="11.7109375" customWidth="1"/>
    <col min="5904" max="5904" width="12.7109375" bestFit="1" customWidth="1"/>
    <col min="5906" max="5906" width="11.140625" bestFit="1" customWidth="1"/>
    <col min="6149" max="6149" width="11.85546875" bestFit="1" customWidth="1"/>
    <col min="6150" max="6150" width="11.85546875" customWidth="1"/>
    <col min="6153" max="6153" width="12.7109375" bestFit="1" customWidth="1"/>
    <col min="6154" max="6154" width="9.7109375" bestFit="1" customWidth="1"/>
    <col min="6158" max="6158" width="11.7109375" customWidth="1"/>
    <col min="6160" max="6160" width="12.7109375" bestFit="1" customWidth="1"/>
    <col min="6162" max="6162" width="11.140625" bestFit="1" customWidth="1"/>
    <col min="6405" max="6405" width="11.85546875" bestFit="1" customWidth="1"/>
    <col min="6406" max="6406" width="11.85546875" customWidth="1"/>
    <col min="6409" max="6409" width="12.7109375" bestFit="1" customWidth="1"/>
    <col min="6410" max="6410" width="9.7109375" bestFit="1" customWidth="1"/>
    <col min="6414" max="6414" width="11.7109375" customWidth="1"/>
    <col min="6416" max="6416" width="12.7109375" bestFit="1" customWidth="1"/>
    <col min="6418" max="6418" width="11.140625" bestFit="1" customWidth="1"/>
    <col min="6661" max="6661" width="11.85546875" bestFit="1" customWidth="1"/>
    <col min="6662" max="6662" width="11.85546875" customWidth="1"/>
    <col min="6665" max="6665" width="12.7109375" bestFit="1" customWidth="1"/>
    <col min="6666" max="6666" width="9.7109375" bestFit="1" customWidth="1"/>
    <col min="6670" max="6670" width="11.7109375" customWidth="1"/>
    <col min="6672" max="6672" width="12.7109375" bestFit="1" customWidth="1"/>
    <col min="6674" max="6674" width="11.140625" bestFit="1" customWidth="1"/>
    <col min="6917" max="6917" width="11.85546875" bestFit="1" customWidth="1"/>
    <col min="6918" max="6918" width="11.85546875" customWidth="1"/>
    <col min="6921" max="6921" width="12.7109375" bestFit="1" customWidth="1"/>
    <col min="6922" max="6922" width="9.7109375" bestFit="1" customWidth="1"/>
    <col min="6926" max="6926" width="11.7109375" customWidth="1"/>
    <col min="6928" max="6928" width="12.7109375" bestFit="1" customWidth="1"/>
    <col min="6930" max="6930" width="11.140625" bestFit="1" customWidth="1"/>
    <col min="7173" max="7173" width="11.85546875" bestFit="1" customWidth="1"/>
    <col min="7174" max="7174" width="11.85546875" customWidth="1"/>
    <col min="7177" max="7177" width="12.7109375" bestFit="1" customWidth="1"/>
    <col min="7178" max="7178" width="9.7109375" bestFit="1" customWidth="1"/>
    <col min="7182" max="7182" width="11.7109375" customWidth="1"/>
    <col min="7184" max="7184" width="12.7109375" bestFit="1" customWidth="1"/>
    <col min="7186" max="7186" width="11.140625" bestFit="1" customWidth="1"/>
    <col min="7429" max="7429" width="11.85546875" bestFit="1" customWidth="1"/>
    <col min="7430" max="7430" width="11.85546875" customWidth="1"/>
    <col min="7433" max="7433" width="12.7109375" bestFit="1" customWidth="1"/>
    <col min="7434" max="7434" width="9.7109375" bestFit="1" customWidth="1"/>
    <col min="7438" max="7438" width="11.7109375" customWidth="1"/>
    <col min="7440" max="7440" width="12.7109375" bestFit="1" customWidth="1"/>
    <col min="7442" max="7442" width="11.140625" bestFit="1" customWidth="1"/>
    <col min="7685" max="7685" width="11.85546875" bestFit="1" customWidth="1"/>
    <col min="7686" max="7686" width="11.85546875" customWidth="1"/>
    <col min="7689" max="7689" width="12.7109375" bestFit="1" customWidth="1"/>
    <col min="7690" max="7690" width="9.7109375" bestFit="1" customWidth="1"/>
    <col min="7694" max="7694" width="11.7109375" customWidth="1"/>
    <col min="7696" max="7696" width="12.7109375" bestFit="1" customWidth="1"/>
    <col min="7698" max="7698" width="11.140625" bestFit="1" customWidth="1"/>
    <col min="7941" max="7941" width="11.85546875" bestFit="1" customWidth="1"/>
    <col min="7942" max="7942" width="11.85546875" customWidth="1"/>
    <col min="7945" max="7945" width="12.7109375" bestFit="1" customWidth="1"/>
    <col min="7946" max="7946" width="9.7109375" bestFit="1" customWidth="1"/>
    <col min="7950" max="7950" width="11.7109375" customWidth="1"/>
    <col min="7952" max="7952" width="12.7109375" bestFit="1" customWidth="1"/>
    <col min="7954" max="7954" width="11.140625" bestFit="1" customWidth="1"/>
    <col min="8197" max="8197" width="11.85546875" bestFit="1" customWidth="1"/>
    <col min="8198" max="8198" width="11.85546875" customWidth="1"/>
    <col min="8201" max="8201" width="12.7109375" bestFit="1" customWidth="1"/>
    <col min="8202" max="8202" width="9.7109375" bestFit="1" customWidth="1"/>
    <col min="8206" max="8206" width="11.7109375" customWidth="1"/>
    <col min="8208" max="8208" width="12.7109375" bestFit="1" customWidth="1"/>
    <col min="8210" max="8210" width="11.140625" bestFit="1" customWidth="1"/>
    <col min="8453" max="8453" width="11.85546875" bestFit="1" customWidth="1"/>
    <col min="8454" max="8454" width="11.85546875" customWidth="1"/>
    <col min="8457" max="8457" width="12.7109375" bestFit="1" customWidth="1"/>
    <col min="8458" max="8458" width="9.7109375" bestFit="1" customWidth="1"/>
    <col min="8462" max="8462" width="11.7109375" customWidth="1"/>
    <col min="8464" max="8464" width="12.7109375" bestFit="1" customWidth="1"/>
    <col min="8466" max="8466" width="11.140625" bestFit="1" customWidth="1"/>
    <col min="8709" max="8709" width="11.85546875" bestFit="1" customWidth="1"/>
    <col min="8710" max="8710" width="11.85546875" customWidth="1"/>
    <col min="8713" max="8713" width="12.7109375" bestFit="1" customWidth="1"/>
    <col min="8714" max="8714" width="9.7109375" bestFit="1" customWidth="1"/>
    <col min="8718" max="8718" width="11.7109375" customWidth="1"/>
    <col min="8720" max="8720" width="12.7109375" bestFit="1" customWidth="1"/>
    <col min="8722" max="8722" width="11.140625" bestFit="1" customWidth="1"/>
    <col min="8965" max="8965" width="11.85546875" bestFit="1" customWidth="1"/>
    <col min="8966" max="8966" width="11.85546875" customWidth="1"/>
    <col min="8969" max="8969" width="12.7109375" bestFit="1" customWidth="1"/>
    <col min="8970" max="8970" width="9.7109375" bestFit="1" customWidth="1"/>
    <col min="8974" max="8974" width="11.7109375" customWidth="1"/>
    <col min="8976" max="8976" width="12.7109375" bestFit="1" customWidth="1"/>
    <col min="8978" max="8978" width="11.140625" bestFit="1" customWidth="1"/>
    <col min="9221" max="9221" width="11.85546875" bestFit="1" customWidth="1"/>
    <col min="9222" max="9222" width="11.85546875" customWidth="1"/>
    <col min="9225" max="9225" width="12.7109375" bestFit="1" customWidth="1"/>
    <col min="9226" max="9226" width="9.7109375" bestFit="1" customWidth="1"/>
    <col min="9230" max="9230" width="11.7109375" customWidth="1"/>
    <col min="9232" max="9232" width="12.7109375" bestFit="1" customWidth="1"/>
    <col min="9234" max="9234" width="11.140625" bestFit="1" customWidth="1"/>
    <col min="9477" max="9477" width="11.85546875" bestFit="1" customWidth="1"/>
    <col min="9478" max="9478" width="11.85546875" customWidth="1"/>
    <col min="9481" max="9481" width="12.7109375" bestFit="1" customWidth="1"/>
    <col min="9482" max="9482" width="9.7109375" bestFit="1" customWidth="1"/>
    <col min="9486" max="9486" width="11.7109375" customWidth="1"/>
    <col min="9488" max="9488" width="12.7109375" bestFit="1" customWidth="1"/>
    <col min="9490" max="9490" width="11.140625" bestFit="1" customWidth="1"/>
    <col min="9733" max="9733" width="11.85546875" bestFit="1" customWidth="1"/>
    <col min="9734" max="9734" width="11.85546875" customWidth="1"/>
    <col min="9737" max="9737" width="12.7109375" bestFit="1" customWidth="1"/>
    <col min="9738" max="9738" width="9.7109375" bestFit="1" customWidth="1"/>
    <col min="9742" max="9742" width="11.7109375" customWidth="1"/>
    <col min="9744" max="9744" width="12.7109375" bestFit="1" customWidth="1"/>
    <col min="9746" max="9746" width="11.140625" bestFit="1" customWidth="1"/>
    <col min="9989" max="9989" width="11.85546875" bestFit="1" customWidth="1"/>
    <col min="9990" max="9990" width="11.85546875" customWidth="1"/>
    <col min="9993" max="9993" width="12.7109375" bestFit="1" customWidth="1"/>
    <col min="9994" max="9994" width="9.7109375" bestFit="1" customWidth="1"/>
    <col min="9998" max="9998" width="11.7109375" customWidth="1"/>
    <col min="10000" max="10000" width="12.7109375" bestFit="1" customWidth="1"/>
    <col min="10002" max="10002" width="11.140625" bestFit="1" customWidth="1"/>
    <col min="10245" max="10245" width="11.85546875" bestFit="1" customWidth="1"/>
    <col min="10246" max="10246" width="11.85546875" customWidth="1"/>
    <col min="10249" max="10249" width="12.7109375" bestFit="1" customWidth="1"/>
    <col min="10250" max="10250" width="9.7109375" bestFit="1" customWidth="1"/>
    <col min="10254" max="10254" width="11.7109375" customWidth="1"/>
    <col min="10256" max="10256" width="12.7109375" bestFit="1" customWidth="1"/>
    <col min="10258" max="10258" width="11.140625" bestFit="1" customWidth="1"/>
    <col min="10501" max="10501" width="11.85546875" bestFit="1" customWidth="1"/>
    <col min="10502" max="10502" width="11.85546875" customWidth="1"/>
    <col min="10505" max="10505" width="12.7109375" bestFit="1" customWidth="1"/>
    <col min="10506" max="10506" width="9.7109375" bestFit="1" customWidth="1"/>
    <col min="10510" max="10510" width="11.7109375" customWidth="1"/>
    <col min="10512" max="10512" width="12.7109375" bestFit="1" customWidth="1"/>
    <col min="10514" max="10514" width="11.140625" bestFit="1" customWidth="1"/>
    <col min="10757" max="10757" width="11.85546875" bestFit="1" customWidth="1"/>
    <col min="10758" max="10758" width="11.85546875" customWidth="1"/>
    <col min="10761" max="10761" width="12.7109375" bestFit="1" customWidth="1"/>
    <col min="10762" max="10762" width="9.7109375" bestFit="1" customWidth="1"/>
    <col min="10766" max="10766" width="11.7109375" customWidth="1"/>
    <col min="10768" max="10768" width="12.7109375" bestFit="1" customWidth="1"/>
    <col min="10770" max="10770" width="11.140625" bestFit="1" customWidth="1"/>
    <col min="11013" max="11013" width="11.85546875" bestFit="1" customWidth="1"/>
    <col min="11014" max="11014" width="11.85546875" customWidth="1"/>
    <col min="11017" max="11017" width="12.7109375" bestFit="1" customWidth="1"/>
    <col min="11018" max="11018" width="9.7109375" bestFit="1" customWidth="1"/>
    <col min="11022" max="11022" width="11.7109375" customWidth="1"/>
    <col min="11024" max="11024" width="12.7109375" bestFit="1" customWidth="1"/>
    <col min="11026" max="11026" width="11.140625" bestFit="1" customWidth="1"/>
    <col min="11269" max="11269" width="11.85546875" bestFit="1" customWidth="1"/>
    <col min="11270" max="11270" width="11.85546875" customWidth="1"/>
    <col min="11273" max="11273" width="12.7109375" bestFit="1" customWidth="1"/>
    <col min="11274" max="11274" width="9.7109375" bestFit="1" customWidth="1"/>
    <col min="11278" max="11278" width="11.7109375" customWidth="1"/>
    <col min="11280" max="11280" width="12.7109375" bestFit="1" customWidth="1"/>
    <col min="11282" max="11282" width="11.140625" bestFit="1" customWidth="1"/>
    <col min="11525" max="11525" width="11.85546875" bestFit="1" customWidth="1"/>
    <col min="11526" max="11526" width="11.85546875" customWidth="1"/>
    <col min="11529" max="11529" width="12.7109375" bestFit="1" customWidth="1"/>
    <col min="11530" max="11530" width="9.7109375" bestFit="1" customWidth="1"/>
    <col min="11534" max="11534" width="11.7109375" customWidth="1"/>
    <col min="11536" max="11536" width="12.7109375" bestFit="1" customWidth="1"/>
    <col min="11538" max="11538" width="11.140625" bestFit="1" customWidth="1"/>
    <col min="11781" max="11781" width="11.85546875" bestFit="1" customWidth="1"/>
    <col min="11782" max="11782" width="11.85546875" customWidth="1"/>
    <col min="11785" max="11785" width="12.7109375" bestFit="1" customWidth="1"/>
    <col min="11786" max="11786" width="9.7109375" bestFit="1" customWidth="1"/>
    <col min="11790" max="11790" width="11.7109375" customWidth="1"/>
    <col min="11792" max="11792" width="12.7109375" bestFit="1" customWidth="1"/>
    <col min="11794" max="11794" width="11.140625" bestFit="1" customWidth="1"/>
    <col min="12037" max="12037" width="11.85546875" bestFit="1" customWidth="1"/>
    <col min="12038" max="12038" width="11.85546875" customWidth="1"/>
    <col min="12041" max="12041" width="12.7109375" bestFit="1" customWidth="1"/>
    <col min="12042" max="12042" width="9.7109375" bestFit="1" customWidth="1"/>
    <col min="12046" max="12046" width="11.7109375" customWidth="1"/>
    <col min="12048" max="12048" width="12.7109375" bestFit="1" customWidth="1"/>
    <col min="12050" max="12050" width="11.140625" bestFit="1" customWidth="1"/>
    <col min="12293" max="12293" width="11.85546875" bestFit="1" customWidth="1"/>
    <col min="12294" max="12294" width="11.85546875" customWidth="1"/>
    <col min="12297" max="12297" width="12.7109375" bestFit="1" customWidth="1"/>
    <col min="12298" max="12298" width="9.7109375" bestFit="1" customWidth="1"/>
    <col min="12302" max="12302" width="11.7109375" customWidth="1"/>
    <col min="12304" max="12304" width="12.7109375" bestFit="1" customWidth="1"/>
    <col min="12306" max="12306" width="11.140625" bestFit="1" customWidth="1"/>
    <col min="12549" max="12549" width="11.85546875" bestFit="1" customWidth="1"/>
    <col min="12550" max="12550" width="11.85546875" customWidth="1"/>
    <col min="12553" max="12553" width="12.7109375" bestFit="1" customWidth="1"/>
    <col min="12554" max="12554" width="9.7109375" bestFit="1" customWidth="1"/>
    <col min="12558" max="12558" width="11.7109375" customWidth="1"/>
    <col min="12560" max="12560" width="12.7109375" bestFit="1" customWidth="1"/>
    <col min="12562" max="12562" width="11.140625" bestFit="1" customWidth="1"/>
    <col min="12805" max="12805" width="11.85546875" bestFit="1" customWidth="1"/>
    <col min="12806" max="12806" width="11.85546875" customWidth="1"/>
    <col min="12809" max="12809" width="12.7109375" bestFit="1" customWidth="1"/>
    <col min="12810" max="12810" width="9.7109375" bestFit="1" customWidth="1"/>
    <col min="12814" max="12814" width="11.7109375" customWidth="1"/>
    <col min="12816" max="12816" width="12.7109375" bestFit="1" customWidth="1"/>
    <col min="12818" max="12818" width="11.140625" bestFit="1" customWidth="1"/>
    <col min="13061" max="13061" width="11.85546875" bestFit="1" customWidth="1"/>
    <col min="13062" max="13062" width="11.85546875" customWidth="1"/>
    <col min="13065" max="13065" width="12.7109375" bestFit="1" customWidth="1"/>
    <col min="13066" max="13066" width="9.7109375" bestFit="1" customWidth="1"/>
    <col min="13070" max="13070" width="11.7109375" customWidth="1"/>
    <col min="13072" max="13072" width="12.7109375" bestFit="1" customWidth="1"/>
    <col min="13074" max="13074" width="11.140625" bestFit="1" customWidth="1"/>
    <col min="13317" max="13317" width="11.85546875" bestFit="1" customWidth="1"/>
    <col min="13318" max="13318" width="11.85546875" customWidth="1"/>
    <col min="13321" max="13321" width="12.7109375" bestFit="1" customWidth="1"/>
    <col min="13322" max="13322" width="9.7109375" bestFit="1" customWidth="1"/>
    <col min="13326" max="13326" width="11.7109375" customWidth="1"/>
    <col min="13328" max="13328" width="12.7109375" bestFit="1" customWidth="1"/>
    <col min="13330" max="13330" width="11.140625" bestFit="1" customWidth="1"/>
    <col min="13573" max="13573" width="11.85546875" bestFit="1" customWidth="1"/>
    <col min="13574" max="13574" width="11.85546875" customWidth="1"/>
    <col min="13577" max="13577" width="12.7109375" bestFit="1" customWidth="1"/>
    <col min="13578" max="13578" width="9.7109375" bestFit="1" customWidth="1"/>
    <col min="13582" max="13582" width="11.7109375" customWidth="1"/>
    <col min="13584" max="13584" width="12.7109375" bestFit="1" customWidth="1"/>
    <col min="13586" max="13586" width="11.140625" bestFit="1" customWidth="1"/>
    <col min="13829" max="13829" width="11.85546875" bestFit="1" customWidth="1"/>
    <col min="13830" max="13830" width="11.85546875" customWidth="1"/>
    <col min="13833" max="13833" width="12.7109375" bestFit="1" customWidth="1"/>
    <col min="13834" max="13834" width="9.7109375" bestFit="1" customWidth="1"/>
    <col min="13838" max="13838" width="11.7109375" customWidth="1"/>
    <col min="13840" max="13840" width="12.7109375" bestFit="1" customWidth="1"/>
    <col min="13842" max="13842" width="11.140625" bestFit="1" customWidth="1"/>
    <col min="14085" max="14085" width="11.85546875" bestFit="1" customWidth="1"/>
    <col min="14086" max="14086" width="11.85546875" customWidth="1"/>
    <col min="14089" max="14089" width="12.7109375" bestFit="1" customWidth="1"/>
    <col min="14090" max="14090" width="9.7109375" bestFit="1" customWidth="1"/>
    <col min="14094" max="14094" width="11.7109375" customWidth="1"/>
    <col min="14096" max="14096" width="12.7109375" bestFit="1" customWidth="1"/>
    <col min="14098" max="14098" width="11.140625" bestFit="1" customWidth="1"/>
    <col min="14341" max="14341" width="11.85546875" bestFit="1" customWidth="1"/>
    <col min="14342" max="14342" width="11.85546875" customWidth="1"/>
    <col min="14345" max="14345" width="12.7109375" bestFit="1" customWidth="1"/>
    <col min="14346" max="14346" width="9.7109375" bestFit="1" customWidth="1"/>
    <col min="14350" max="14350" width="11.7109375" customWidth="1"/>
    <col min="14352" max="14352" width="12.7109375" bestFit="1" customWidth="1"/>
    <col min="14354" max="14354" width="11.140625" bestFit="1" customWidth="1"/>
    <col min="14597" max="14597" width="11.85546875" bestFit="1" customWidth="1"/>
    <col min="14598" max="14598" width="11.85546875" customWidth="1"/>
    <col min="14601" max="14601" width="12.7109375" bestFit="1" customWidth="1"/>
    <col min="14602" max="14602" width="9.7109375" bestFit="1" customWidth="1"/>
    <col min="14606" max="14606" width="11.7109375" customWidth="1"/>
    <col min="14608" max="14608" width="12.7109375" bestFit="1" customWidth="1"/>
    <col min="14610" max="14610" width="11.140625" bestFit="1" customWidth="1"/>
    <col min="14853" max="14853" width="11.85546875" bestFit="1" customWidth="1"/>
    <col min="14854" max="14854" width="11.85546875" customWidth="1"/>
    <col min="14857" max="14857" width="12.7109375" bestFit="1" customWidth="1"/>
    <col min="14858" max="14858" width="9.7109375" bestFit="1" customWidth="1"/>
    <col min="14862" max="14862" width="11.7109375" customWidth="1"/>
    <col min="14864" max="14864" width="12.7109375" bestFit="1" customWidth="1"/>
    <col min="14866" max="14866" width="11.140625" bestFit="1" customWidth="1"/>
    <col min="15109" max="15109" width="11.85546875" bestFit="1" customWidth="1"/>
    <col min="15110" max="15110" width="11.85546875" customWidth="1"/>
    <col min="15113" max="15113" width="12.7109375" bestFit="1" customWidth="1"/>
    <col min="15114" max="15114" width="9.7109375" bestFit="1" customWidth="1"/>
    <col min="15118" max="15118" width="11.7109375" customWidth="1"/>
    <col min="15120" max="15120" width="12.7109375" bestFit="1" customWidth="1"/>
    <col min="15122" max="15122" width="11.140625" bestFit="1" customWidth="1"/>
    <col min="15365" max="15365" width="11.85546875" bestFit="1" customWidth="1"/>
    <col min="15366" max="15366" width="11.85546875" customWidth="1"/>
    <col min="15369" max="15369" width="12.7109375" bestFit="1" customWidth="1"/>
    <col min="15370" max="15370" width="9.7109375" bestFit="1" customWidth="1"/>
    <col min="15374" max="15374" width="11.7109375" customWidth="1"/>
    <col min="15376" max="15376" width="12.7109375" bestFit="1" customWidth="1"/>
    <col min="15378" max="15378" width="11.140625" bestFit="1" customWidth="1"/>
    <col min="15621" max="15621" width="11.85546875" bestFit="1" customWidth="1"/>
    <col min="15622" max="15622" width="11.85546875" customWidth="1"/>
    <col min="15625" max="15625" width="12.7109375" bestFit="1" customWidth="1"/>
    <col min="15626" max="15626" width="9.7109375" bestFit="1" customWidth="1"/>
    <col min="15630" max="15630" width="11.7109375" customWidth="1"/>
    <col min="15632" max="15632" width="12.7109375" bestFit="1" customWidth="1"/>
    <col min="15634" max="15634" width="11.140625" bestFit="1" customWidth="1"/>
    <col min="15877" max="15877" width="11.85546875" bestFit="1" customWidth="1"/>
    <col min="15878" max="15878" width="11.85546875" customWidth="1"/>
    <col min="15881" max="15881" width="12.7109375" bestFit="1" customWidth="1"/>
    <col min="15882" max="15882" width="9.7109375" bestFit="1" customWidth="1"/>
    <col min="15886" max="15886" width="11.7109375" customWidth="1"/>
    <col min="15888" max="15888" width="12.7109375" bestFit="1" customWidth="1"/>
    <col min="15890" max="15890" width="11.140625" bestFit="1" customWidth="1"/>
    <col min="16133" max="16133" width="11.85546875" bestFit="1" customWidth="1"/>
    <col min="16134" max="16134" width="11.85546875" customWidth="1"/>
    <col min="16137" max="16137" width="12.7109375" bestFit="1" customWidth="1"/>
    <col min="16138" max="16138" width="9.7109375" bestFit="1" customWidth="1"/>
    <col min="16142" max="16142" width="11.7109375" customWidth="1"/>
    <col min="16144" max="16144" width="12.7109375" bestFit="1" customWidth="1"/>
    <col min="16146" max="16146" width="11.140625" bestFit="1" customWidth="1"/>
  </cols>
  <sheetData>
    <row r="2" spans="1:17">
      <c r="C2" t="s">
        <v>0</v>
      </c>
      <c r="E2" t="s">
        <v>1</v>
      </c>
      <c r="I2" t="s">
        <v>2</v>
      </c>
      <c r="K2" t="s">
        <v>1</v>
      </c>
    </row>
    <row r="3" spans="1:17">
      <c r="A3" s="14">
        <v>43374</v>
      </c>
      <c r="C3" s="1">
        <v>908.9</v>
      </c>
      <c r="D3" s="1"/>
      <c r="E3" s="7"/>
      <c r="I3" s="1">
        <v>75505.320000000007</v>
      </c>
      <c r="J3" s="1"/>
      <c r="K3" s="7"/>
      <c r="N3" s="1">
        <v>124544.71</v>
      </c>
      <c r="P3" s="1">
        <f t="shared" ref="P3:P18" si="0">C3 + I3 + N3</f>
        <v>200958.93</v>
      </c>
      <c r="Q3" s="7"/>
    </row>
    <row r="4" spans="1:17">
      <c r="A4" s="15">
        <v>43405</v>
      </c>
      <c r="C4" s="1">
        <v>748.05</v>
      </c>
      <c r="D4" s="1"/>
      <c r="E4" s="7">
        <f t="shared" ref="E4:E11" si="1">( C4/C3 -1)</f>
        <v>-0.17697216415447248</v>
      </c>
      <c r="I4" s="1">
        <v>75523.679999999993</v>
      </c>
      <c r="J4" s="1"/>
      <c r="K4" s="7">
        <f t="shared" ref="K4:K18" si="2">( I4/I3 -1)</f>
        <v>2.4316167390581178E-4</v>
      </c>
      <c r="N4" s="1">
        <v>119082.12</v>
      </c>
      <c r="P4" s="1">
        <f t="shared" si="0"/>
        <v>195353.84999999998</v>
      </c>
      <c r="Q4" s="7">
        <f t="shared" ref="Q4:Q18" si="3">( P4/P3 -1)</f>
        <v>-2.7891669208230829E-2</v>
      </c>
    </row>
    <row r="5" spans="1:17">
      <c r="A5" s="6">
        <v>43435</v>
      </c>
      <c r="C5" s="1">
        <v>726.84</v>
      </c>
      <c r="D5" s="1">
        <v>483.3</v>
      </c>
      <c r="E5" s="7">
        <f t="shared" si="1"/>
        <v>-2.8353719671144861E-2</v>
      </c>
      <c r="F5" s="1">
        <v>42.34</v>
      </c>
      <c r="I5" s="1">
        <v>79438.41</v>
      </c>
      <c r="J5" s="1"/>
      <c r="K5" s="7">
        <f t="shared" si="2"/>
        <v>5.1834470989761128E-2</v>
      </c>
      <c r="N5" s="1">
        <v>121902.2</v>
      </c>
      <c r="P5" s="1">
        <f t="shared" si="0"/>
        <v>202067.45</v>
      </c>
      <c r="Q5" s="7">
        <f t="shared" si="3"/>
        <v>3.4366356229990069E-2</v>
      </c>
    </row>
    <row r="6" spans="1:17">
      <c r="A6" s="6">
        <v>43466</v>
      </c>
      <c r="C6" s="1">
        <v>1048.83</v>
      </c>
      <c r="E6" s="7">
        <f>( C6/(C5+D5) -1)</f>
        <v>-0.13329862660518632</v>
      </c>
      <c r="I6" s="1">
        <v>75604.23</v>
      </c>
      <c r="J6" s="1"/>
      <c r="K6" s="7">
        <f t="shared" si="2"/>
        <v>-4.8266071790711962E-2</v>
      </c>
      <c r="N6" s="1">
        <v>116527.3</v>
      </c>
      <c r="P6" s="1">
        <f t="shared" si="0"/>
        <v>193180.36</v>
      </c>
      <c r="Q6" s="7">
        <f t="shared" si="3"/>
        <v>-4.398080937825477E-2</v>
      </c>
    </row>
    <row r="7" spans="1:17">
      <c r="A7" s="6">
        <v>43497</v>
      </c>
      <c r="C7" s="1">
        <v>1195.54</v>
      </c>
      <c r="D7" s="1"/>
      <c r="E7" s="7">
        <f>( C7/C6 -1)</f>
        <v>0.13987967544788016</v>
      </c>
      <c r="I7" s="1">
        <v>75910.320000000007</v>
      </c>
      <c r="J7" s="1"/>
      <c r="K7" s="7">
        <f t="shared" si="2"/>
        <v>4.0485829959515662E-3</v>
      </c>
      <c r="N7" s="1">
        <v>134890.9</v>
      </c>
      <c r="P7" s="1">
        <f t="shared" si="0"/>
        <v>211996.76</v>
      </c>
      <c r="Q7" s="7">
        <f t="shared" si="3"/>
        <v>9.7403276399319338E-2</v>
      </c>
    </row>
    <row r="8" spans="1:17">
      <c r="A8" s="6">
        <v>43525</v>
      </c>
      <c r="C8" s="1">
        <v>1400.99</v>
      </c>
      <c r="D8" s="1"/>
      <c r="E8" s="7">
        <f t="shared" si="1"/>
        <v>0.17184703146695224</v>
      </c>
      <c r="I8" s="1">
        <v>91461.92</v>
      </c>
      <c r="J8" s="1"/>
      <c r="K8" s="7">
        <f t="shared" si="2"/>
        <v>0.20486806010039205</v>
      </c>
      <c r="N8" s="1">
        <v>141343.84</v>
      </c>
      <c r="P8" s="1">
        <f t="shared" si="0"/>
        <v>234206.75</v>
      </c>
      <c r="Q8" s="7">
        <f t="shared" si="3"/>
        <v>0.10476570490982962</v>
      </c>
    </row>
    <row r="9" spans="1:17">
      <c r="A9" s="6">
        <v>43556</v>
      </c>
      <c r="C9" s="1">
        <v>2058.2399999999998</v>
      </c>
      <c r="D9" s="1">
        <v>507.47</v>
      </c>
      <c r="E9" s="7">
        <f>( C9/(C8+D9) -1)</f>
        <v>7.8482126950525366E-2</v>
      </c>
      <c r="F9" s="1">
        <v>136.44999999999999</v>
      </c>
      <c r="I9" s="1">
        <v>92739.9</v>
      </c>
      <c r="J9" s="1"/>
      <c r="K9" s="7">
        <f t="shared" si="2"/>
        <v>1.3972809667673669E-2</v>
      </c>
      <c r="N9" s="1">
        <v>143659.42000000001</v>
      </c>
      <c r="P9" s="1">
        <f t="shared" si="0"/>
        <v>238457.56</v>
      </c>
      <c r="Q9" s="7">
        <f t="shared" si="3"/>
        <v>1.8149818483028435E-2</v>
      </c>
    </row>
    <row r="10" spans="1:17">
      <c r="A10" s="6">
        <v>43586</v>
      </c>
      <c r="C10" s="1">
        <v>2317.44</v>
      </c>
      <c r="D10" s="1"/>
      <c r="E10" s="7">
        <f>( C10/C9 -1)</f>
        <v>0.12593283582089576</v>
      </c>
      <c r="F10" s="1">
        <v>164.79</v>
      </c>
      <c r="I10" s="1">
        <v>93505.279999999999</v>
      </c>
      <c r="J10" s="1"/>
      <c r="K10" s="7">
        <f t="shared" si="2"/>
        <v>8.2529741783203825E-3</v>
      </c>
      <c r="N10" s="1">
        <v>145695.98000000001</v>
      </c>
      <c r="P10" s="1">
        <f t="shared" si="0"/>
        <v>241518.7</v>
      </c>
      <c r="Q10" s="7">
        <f t="shared" si="3"/>
        <v>1.283725288474824E-2</v>
      </c>
    </row>
    <row r="11" spans="1:17">
      <c r="A11" s="6">
        <v>43617</v>
      </c>
      <c r="C11" s="1">
        <v>1813.89</v>
      </c>
      <c r="D11" s="1">
        <v>604.49</v>
      </c>
      <c r="E11" s="7">
        <f t="shared" si="1"/>
        <v>-0.2172871789560894</v>
      </c>
      <c r="I11" s="1">
        <v>84512.76</v>
      </c>
      <c r="J11" s="1"/>
      <c r="K11" s="7">
        <f t="shared" si="2"/>
        <v>-9.6171253644714016E-2</v>
      </c>
      <c r="N11" s="1">
        <v>138635.32999999999</v>
      </c>
      <c r="P11" s="1">
        <f t="shared" si="0"/>
        <v>224961.97999999998</v>
      </c>
      <c r="Q11" s="7">
        <f t="shared" si="3"/>
        <v>-6.8552538581898803E-2</v>
      </c>
    </row>
    <row r="12" spans="1:17">
      <c r="A12" s="6">
        <v>43647</v>
      </c>
      <c r="C12" s="1">
        <v>2587.4299999999998</v>
      </c>
      <c r="D12" s="1">
        <v>1958.12</v>
      </c>
      <c r="E12" s="7">
        <f>( C12/(C11+D11) -1)</f>
        <v>6.9902165912718361E-2</v>
      </c>
      <c r="F12" s="1">
        <v>31.8</v>
      </c>
      <c r="I12" s="1">
        <v>91862.53</v>
      </c>
      <c r="J12" s="1">
        <v>-1958.12</v>
      </c>
      <c r="K12" s="7">
        <f t="shared" si="2"/>
        <v>8.6966394187102614E-2</v>
      </c>
      <c r="N12" s="1">
        <v>148090.41</v>
      </c>
      <c r="P12" s="1">
        <f t="shared" si="0"/>
        <v>242540.37</v>
      </c>
      <c r="Q12" s="7">
        <f t="shared" si="3"/>
        <v>7.8139381596836976E-2</v>
      </c>
    </row>
    <row r="13" spans="1:17">
      <c r="A13" s="6">
        <v>43678</v>
      </c>
      <c r="C13" s="1">
        <v>4758.3999999999996</v>
      </c>
      <c r="D13" s="1"/>
      <c r="E13" s="7">
        <f>( C13/(C12+D12) -1)</f>
        <v>4.6826016653650271E-2</v>
      </c>
      <c r="F13" s="1">
        <v>152.47999999999999</v>
      </c>
      <c r="I13" s="1">
        <v>95135.1</v>
      </c>
      <c r="J13" s="1"/>
      <c r="K13" s="7">
        <f t="shared" si="2"/>
        <v>3.5624644781719006E-2</v>
      </c>
      <c r="N13" s="1">
        <v>152700.45000000001</v>
      </c>
      <c r="P13" s="1">
        <f t="shared" si="0"/>
        <v>252593.95</v>
      </c>
      <c r="Q13" s="7">
        <f t="shared" si="3"/>
        <v>4.1451161305641637E-2</v>
      </c>
    </row>
    <row r="14" spans="1:17">
      <c r="A14" s="6">
        <v>43709</v>
      </c>
      <c r="C14" s="1">
        <v>4237.47</v>
      </c>
      <c r="D14" s="1">
        <v>592.83000000000004</v>
      </c>
      <c r="E14" s="7">
        <f>( C14/C13 -1)</f>
        <v>-0.10947587424344307</v>
      </c>
      <c r="I14" s="1">
        <v>105964.52</v>
      </c>
      <c r="J14" s="1"/>
      <c r="K14" s="7">
        <f t="shared" si="2"/>
        <v>0.11383201363114148</v>
      </c>
      <c r="N14" s="1">
        <v>150508.69</v>
      </c>
      <c r="P14" s="1">
        <f t="shared" si="0"/>
        <v>260710.68</v>
      </c>
      <c r="Q14" s="7">
        <f t="shared" si="3"/>
        <v>3.2133509135907623E-2</v>
      </c>
    </row>
    <row r="15" spans="1:17">
      <c r="A15" s="6">
        <v>43739</v>
      </c>
      <c r="C15" s="1">
        <v>3972.53</v>
      </c>
      <c r="D15" s="1"/>
      <c r="E15" s="7">
        <f>( C15/(C14+D14) -1)</f>
        <v>-0.17758110262302551</v>
      </c>
      <c r="F15" s="1">
        <v>129.72999999999999</v>
      </c>
      <c r="I15" s="1">
        <v>107233.93</v>
      </c>
      <c r="J15" s="1"/>
      <c r="K15" s="7">
        <f t="shared" si="2"/>
        <v>1.1979575805184606E-2</v>
      </c>
      <c r="N15" s="1">
        <v>154982.54999999999</v>
      </c>
      <c r="P15" s="1">
        <f t="shared" si="0"/>
        <v>266189.01</v>
      </c>
      <c r="Q15" s="7">
        <f t="shared" si="3"/>
        <v>2.1013063216282601E-2</v>
      </c>
    </row>
    <row r="16" spans="1:17">
      <c r="A16" s="6">
        <v>43770</v>
      </c>
      <c r="C16" s="1">
        <v>4053.77</v>
      </c>
      <c r="D16" s="1"/>
      <c r="E16" s="7">
        <f>( C16/C15 -1)</f>
        <v>2.045044342018798E-2</v>
      </c>
      <c r="F16" s="1">
        <v>97.2</v>
      </c>
      <c r="I16" s="1">
        <v>118995.65</v>
      </c>
      <c r="J16" s="1"/>
      <c r="K16" s="7">
        <f t="shared" si="2"/>
        <v>0.10968282147264397</v>
      </c>
      <c r="N16" s="1">
        <v>162094.35999999999</v>
      </c>
      <c r="P16" s="1">
        <f t="shared" si="0"/>
        <v>285143.77999999997</v>
      </c>
      <c r="Q16" s="7">
        <f t="shared" si="3"/>
        <v>7.1207936045143194E-2</v>
      </c>
    </row>
    <row r="17" spans="1:17">
      <c r="A17" s="6">
        <v>43800</v>
      </c>
      <c r="C17" s="1">
        <v>4100.07</v>
      </c>
      <c r="D17" s="1">
        <v>663.08</v>
      </c>
      <c r="E17" s="7">
        <f>( C17/C16 -1)</f>
        <v>1.1421466930782831E-2</v>
      </c>
      <c r="F17" s="1">
        <v>200.36</v>
      </c>
      <c r="I17" s="1">
        <v>122195.25</v>
      </c>
      <c r="J17" s="1"/>
      <c r="K17" s="7">
        <f t="shared" si="2"/>
        <v>2.6888377852467782E-2</v>
      </c>
      <c r="N17" s="1">
        <v>166303.85</v>
      </c>
      <c r="P17" s="1">
        <f t="shared" si="0"/>
        <v>292599.17000000004</v>
      </c>
      <c r="Q17" s="7">
        <f t="shared" si="3"/>
        <v>2.6146072693572497E-2</v>
      </c>
    </row>
    <row r="18" spans="1:17">
      <c r="A18" s="6">
        <v>43831</v>
      </c>
      <c r="C18" s="1">
        <v>5061.6099999999997</v>
      </c>
      <c r="D18" s="1"/>
      <c r="E18" s="7">
        <f>( C18/(C17+D17) -1)</f>
        <v>6.2660214353946531E-2</v>
      </c>
      <c r="F18" s="1">
        <v>264.92</v>
      </c>
      <c r="I18" s="1">
        <v>125984.25</v>
      </c>
      <c r="J18" s="1"/>
      <c r="K18" s="7">
        <f t="shared" si="2"/>
        <v>3.1007751937984551E-2</v>
      </c>
      <c r="N18" s="1">
        <v>169551.84</v>
      </c>
      <c r="P18" s="1">
        <f t="shared" si="0"/>
        <v>300597.7</v>
      </c>
      <c r="Q18" s="7">
        <f t="shared" si="3"/>
        <v>2.7336133591903122E-2</v>
      </c>
    </row>
    <row r="19" spans="1:17">
      <c r="C19" s="1"/>
      <c r="D19" s="1"/>
      <c r="E19" s="7"/>
      <c r="I19" s="1"/>
      <c r="J19" s="1"/>
      <c r="K19" s="7"/>
    </row>
    <row r="20" spans="1:17">
      <c r="C20" s="1"/>
      <c r="D20" s="1"/>
      <c r="E20" s="7"/>
      <c r="I20" s="1"/>
      <c r="J20" s="1"/>
      <c r="K20" s="7"/>
    </row>
    <row r="21" spans="1:17">
      <c r="D21" s="1">
        <f>SUM(D3:D20)</f>
        <v>4809.29</v>
      </c>
      <c r="E21" s="7">
        <f>( (C18-D21)/C3 -1)</f>
        <v>-0.72238970183738616</v>
      </c>
      <c r="F21" s="1">
        <f>SUM(F3:F20)</f>
        <v>1220.0700000000002</v>
      </c>
      <c r="I21" s="1">
        <f>SUM(-I3,I18)</f>
        <v>50478.929999999993</v>
      </c>
      <c r="J21" s="1">
        <f>SUM(J3:J20)</f>
        <v>-1958.12</v>
      </c>
      <c r="K21" s="7">
        <f>( (I18+J21)/I3 -1)</f>
        <v>0.64261445418680418</v>
      </c>
      <c r="N21" s="1">
        <f>(N18 - N3)</f>
        <v>45007.12999999999</v>
      </c>
      <c r="P21" s="1">
        <f>(P18 - P3)</f>
        <v>99638.770000000019</v>
      </c>
      <c r="Q21" s="7">
        <f>P18/P3 -1</f>
        <v>0.49581658302022213</v>
      </c>
    </row>
    <row r="22" spans="1:17">
      <c r="E22" s="7">
        <f>(C18/C3 -1)</f>
        <v>4.5689404775002744</v>
      </c>
      <c r="I22" s="1"/>
      <c r="J22" s="1"/>
      <c r="K22" s="7"/>
    </row>
    <row r="23" spans="1:17">
      <c r="E23" s="7"/>
      <c r="I23" s="1"/>
      <c r="J23" s="1"/>
      <c r="K23" s="7"/>
    </row>
    <row r="24" spans="1:17">
      <c r="E24" s="7">
        <f>AVERAGE(E5:E16)</f>
        <v>-1.0563505355065856E-3</v>
      </c>
      <c r="I24" s="1"/>
      <c r="J24" s="1"/>
      <c r="K24" s="7">
        <f>AVERAGE(K5:K16)</f>
        <v>4.1385418531205372E-2</v>
      </c>
      <c r="Q24" s="7">
        <f>AVERAGE(Q5:Q16)</f>
        <v>3.324450935388118E-2</v>
      </c>
    </row>
    <row r="25" spans="1:17">
      <c r="E25" s="7"/>
      <c r="I25" s="1"/>
      <c r="J25" s="1"/>
      <c r="K25" s="7"/>
    </row>
    <row r="26" spans="1:17">
      <c r="E26" s="7"/>
      <c r="I26" s="1"/>
      <c r="J26" s="1"/>
      <c r="K26" s="7"/>
    </row>
    <row r="27" spans="1:17">
      <c r="E27" s="7"/>
      <c r="I27" s="1"/>
      <c r="J27" s="1"/>
      <c r="K27" s="7"/>
    </row>
    <row r="28" spans="1:17">
      <c r="E28" s="7"/>
      <c r="I28" s="1"/>
      <c r="J28" s="1"/>
      <c r="K28" s="7"/>
    </row>
    <row r="29" spans="1:17">
      <c r="E29" s="7"/>
      <c r="I29" s="1"/>
      <c r="J29" s="1"/>
      <c r="K29" s="7"/>
    </row>
    <row r="30" spans="1:17">
      <c r="E30" s="7"/>
      <c r="I30" s="1"/>
      <c r="J30" s="1"/>
      <c r="K30" s="7"/>
    </row>
    <row r="31" spans="1:17">
      <c r="E31" s="7"/>
      <c r="I31" s="1"/>
      <c r="J31" s="1"/>
    </row>
    <row r="32" spans="1:17">
      <c r="E32" s="7"/>
      <c r="I32" s="1"/>
      <c r="J32" s="1"/>
    </row>
    <row r="33" spans="5:10">
      <c r="E33" s="7"/>
      <c r="J33" s="1"/>
    </row>
    <row r="34" spans="5:10">
      <c r="E34" s="7"/>
      <c r="J34" s="1"/>
    </row>
    <row r="35" spans="5:10">
      <c r="E35" s="7"/>
      <c r="J35" s="1"/>
    </row>
    <row r="36" spans="5:10">
      <c r="E36" s="7"/>
    </row>
    <row r="37" spans="5:10">
      <c r="E37" s="7"/>
    </row>
    <row r="38" spans="5:10">
      <c r="E38" s="7"/>
    </row>
    <row r="39" spans="5:10">
      <c r="E39" s="7"/>
    </row>
    <row r="40" spans="5:10">
      <c r="E40"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2F318-F2A8-4D73-957D-6E7D21567AA7}">
  <dimension ref="A2:Q40"/>
  <sheetViews>
    <sheetView workbookViewId="0">
      <selection activeCell="C27" sqref="C27"/>
    </sheetView>
  </sheetViews>
  <sheetFormatPr defaultRowHeight="15"/>
  <cols>
    <col min="1" max="1" width="9.7109375" bestFit="1" customWidth="1"/>
    <col min="3" max="3" width="10.140625" bestFit="1" customWidth="1"/>
    <col min="4" max="4" width="10.85546875" style="1" bestFit="1" customWidth="1"/>
    <col min="5" max="5" width="9.140625" bestFit="1" customWidth="1"/>
    <col min="6" max="6" width="9.140625" style="1" bestFit="1" customWidth="1"/>
    <col min="7" max="7" width="7.140625" bestFit="1" customWidth="1"/>
    <col min="9" max="9" width="11.140625" bestFit="1" customWidth="1"/>
    <col min="10" max="10" width="9.85546875" bestFit="1" customWidth="1"/>
    <col min="11" max="11" width="7.85546875" bestFit="1" customWidth="1"/>
    <col min="14" max="14" width="11.140625" style="1" bestFit="1" customWidth="1"/>
    <col min="16" max="16" width="11.140625" bestFit="1" customWidth="1"/>
    <col min="17" max="17" width="7.140625" bestFit="1" customWidth="1"/>
    <col min="18" max="18" width="11.140625" bestFit="1" customWidth="1"/>
    <col min="259" max="259" width="10.140625" bestFit="1" customWidth="1"/>
    <col min="260" max="260" width="10.7109375" bestFit="1" customWidth="1"/>
    <col min="261" max="261" width="11.85546875" bestFit="1" customWidth="1"/>
    <col min="262" max="262" width="11.85546875" customWidth="1"/>
    <col min="263" max="263" width="9.7109375" bestFit="1" customWidth="1"/>
    <col min="265" max="265" width="12.7109375" bestFit="1" customWidth="1"/>
    <col min="266" max="266" width="9.7109375" bestFit="1" customWidth="1"/>
    <col min="270" max="270" width="11.7109375" customWidth="1"/>
    <col min="272" max="272" width="15.85546875" customWidth="1"/>
    <col min="274" max="274" width="11.140625" bestFit="1" customWidth="1"/>
    <col min="515" max="515" width="10.140625" bestFit="1" customWidth="1"/>
    <col min="516" max="516" width="10.7109375" bestFit="1" customWidth="1"/>
    <col min="517" max="517" width="11.85546875" bestFit="1" customWidth="1"/>
    <col min="518" max="518" width="11.85546875" customWidth="1"/>
    <col min="519" max="519" width="9.7109375" bestFit="1" customWidth="1"/>
    <col min="521" max="521" width="12.7109375" bestFit="1" customWidth="1"/>
    <col min="522" max="522" width="9.7109375" bestFit="1" customWidth="1"/>
    <col min="526" max="526" width="11.7109375" customWidth="1"/>
    <col min="528" max="528" width="15.85546875" customWidth="1"/>
    <col min="530" max="530" width="11.140625" bestFit="1" customWidth="1"/>
    <col min="771" max="771" width="10.140625" bestFit="1" customWidth="1"/>
    <col min="772" max="772" width="10.7109375" bestFit="1" customWidth="1"/>
    <col min="773" max="773" width="11.85546875" bestFit="1" customWidth="1"/>
    <col min="774" max="774" width="11.85546875" customWidth="1"/>
    <col min="775" max="775" width="9.7109375" bestFit="1" customWidth="1"/>
    <col min="777" max="777" width="12.7109375" bestFit="1" customWidth="1"/>
    <col min="778" max="778" width="9.7109375" bestFit="1" customWidth="1"/>
    <col min="782" max="782" width="11.7109375" customWidth="1"/>
    <col min="784" max="784" width="15.85546875" customWidth="1"/>
    <col min="786" max="786" width="11.140625" bestFit="1" customWidth="1"/>
    <col min="1027" max="1027" width="10.140625" bestFit="1" customWidth="1"/>
    <col min="1028" max="1028" width="10.7109375" bestFit="1" customWidth="1"/>
    <col min="1029" max="1029" width="11.85546875" bestFit="1" customWidth="1"/>
    <col min="1030" max="1030" width="11.85546875" customWidth="1"/>
    <col min="1031" max="1031" width="9.7109375" bestFit="1" customWidth="1"/>
    <col min="1033" max="1033" width="12.7109375" bestFit="1" customWidth="1"/>
    <col min="1034" max="1034" width="9.7109375" bestFit="1" customWidth="1"/>
    <col min="1038" max="1038" width="11.7109375" customWidth="1"/>
    <col min="1040" max="1040" width="15.85546875" customWidth="1"/>
    <col min="1042" max="1042" width="11.140625" bestFit="1" customWidth="1"/>
    <col min="1283" max="1283" width="10.140625" bestFit="1" customWidth="1"/>
    <col min="1284" max="1284" width="10.7109375" bestFit="1" customWidth="1"/>
    <col min="1285" max="1285" width="11.85546875" bestFit="1" customWidth="1"/>
    <col min="1286" max="1286" width="11.85546875" customWidth="1"/>
    <col min="1287" max="1287" width="9.7109375" bestFit="1" customWidth="1"/>
    <col min="1289" max="1289" width="12.7109375" bestFit="1" customWidth="1"/>
    <col min="1290" max="1290" width="9.7109375" bestFit="1" customWidth="1"/>
    <col min="1294" max="1294" width="11.7109375" customWidth="1"/>
    <col min="1296" max="1296" width="15.85546875" customWidth="1"/>
    <col min="1298" max="1298" width="11.140625" bestFit="1" customWidth="1"/>
    <col min="1539" max="1539" width="10.140625" bestFit="1" customWidth="1"/>
    <col min="1540" max="1540" width="10.7109375" bestFit="1" customWidth="1"/>
    <col min="1541" max="1541" width="11.85546875" bestFit="1" customWidth="1"/>
    <col min="1542" max="1542" width="11.85546875" customWidth="1"/>
    <col min="1543" max="1543" width="9.7109375" bestFit="1" customWidth="1"/>
    <col min="1545" max="1545" width="12.7109375" bestFit="1" customWidth="1"/>
    <col min="1546" max="1546" width="9.7109375" bestFit="1" customWidth="1"/>
    <col min="1550" max="1550" width="11.7109375" customWidth="1"/>
    <col min="1552" max="1552" width="15.85546875" customWidth="1"/>
    <col min="1554" max="1554" width="11.140625" bestFit="1" customWidth="1"/>
    <col min="1795" max="1795" width="10.140625" bestFit="1" customWidth="1"/>
    <col min="1796" max="1796" width="10.7109375" bestFit="1" customWidth="1"/>
    <col min="1797" max="1797" width="11.85546875" bestFit="1" customWidth="1"/>
    <col min="1798" max="1798" width="11.85546875" customWidth="1"/>
    <col min="1799" max="1799" width="9.7109375" bestFit="1" customWidth="1"/>
    <col min="1801" max="1801" width="12.7109375" bestFit="1" customWidth="1"/>
    <col min="1802" max="1802" width="9.7109375" bestFit="1" customWidth="1"/>
    <col min="1806" max="1806" width="11.7109375" customWidth="1"/>
    <col min="1808" max="1808" width="15.85546875" customWidth="1"/>
    <col min="1810" max="1810" width="11.140625" bestFit="1" customWidth="1"/>
    <col min="2051" max="2051" width="10.140625" bestFit="1" customWidth="1"/>
    <col min="2052" max="2052" width="10.7109375" bestFit="1" customWidth="1"/>
    <col min="2053" max="2053" width="11.85546875" bestFit="1" customWidth="1"/>
    <col min="2054" max="2054" width="11.85546875" customWidth="1"/>
    <col min="2055" max="2055" width="9.7109375" bestFit="1" customWidth="1"/>
    <col min="2057" max="2057" width="12.7109375" bestFit="1" customWidth="1"/>
    <col min="2058" max="2058" width="9.7109375" bestFit="1" customWidth="1"/>
    <col min="2062" max="2062" width="11.7109375" customWidth="1"/>
    <col min="2064" max="2064" width="15.85546875" customWidth="1"/>
    <col min="2066" max="2066" width="11.140625" bestFit="1" customWidth="1"/>
    <col min="2307" max="2307" width="10.140625" bestFit="1" customWidth="1"/>
    <col min="2308" max="2308" width="10.7109375" bestFit="1" customWidth="1"/>
    <col min="2309" max="2309" width="11.85546875" bestFit="1" customWidth="1"/>
    <col min="2310" max="2310" width="11.85546875" customWidth="1"/>
    <col min="2311" max="2311" width="9.7109375" bestFit="1" customWidth="1"/>
    <col min="2313" max="2313" width="12.7109375" bestFit="1" customWidth="1"/>
    <col min="2314" max="2314" width="9.7109375" bestFit="1" customWidth="1"/>
    <col min="2318" max="2318" width="11.7109375" customWidth="1"/>
    <col min="2320" max="2320" width="15.85546875" customWidth="1"/>
    <col min="2322" max="2322" width="11.140625" bestFit="1" customWidth="1"/>
    <col min="2563" max="2563" width="10.140625" bestFit="1" customWidth="1"/>
    <col min="2564" max="2564" width="10.7109375" bestFit="1" customWidth="1"/>
    <col min="2565" max="2565" width="11.85546875" bestFit="1" customWidth="1"/>
    <col min="2566" max="2566" width="11.85546875" customWidth="1"/>
    <col min="2567" max="2567" width="9.7109375" bestFit="1" customWidth="1"/>
    <col min="2569" max="2569" width="12.7109375" bestFit="1" customWidth="1"/>
    <col min="2570" max="2570" width="9.7109375" bestFit="1" customWidth="1"/>
    <col min="2574" max="2574" width="11.7109375" customWidth="1"/>
    <col min="2576" max="2576" width="15.85546875" customWidth="1"/>
    <col min="2578" max="2578" width="11.140625" bestFit="1" customWidth="1"/>
    <col min="2819" max="2819" width="10.140625" bestFit="1" customWidth="1"/>
    <col min="2820" max="2820" width="10.7109375" bestFit="1" customWidth="1"/>
    <col min="2821" max="2821" width="11.85546875" bestFit="1" customWidth="1"/>
    <col min="2822" max="2822" width="11.85546875" customWidth="1"/>
    <col min="2823" max="2823" width="9.7109375" bestFit="1" customWidth="1"/>
    <col min="2825" max="2825" width="12.7109375" bestFit="1" customWidth="1"/>
    <col min="2826" max="2826" width="9.7109375" bestFit="1" customWidth="1"/>
    <col min="2830" max="2830" width="11.7109375" customWidth="1"/>
    <col min="2832" max="2832" width="15.85546875" customWidth="1"/>
    <col min="2834" max="2834" width="11.140625" bestFit="1" customWidth="1"/>
    <col min="3075" max="3075" width="10.140625" bestFit="1" customWidth="1"/>
    <col min="3076" max="3076" width="10.7109375" bestFit="1" customWidth="1"/>
    <col min="3077" max="3077" width="11.85546875" bestFit="1" customWidth="1"/>
    <col min="3078" max="3078" width="11.85546875" customWidth="1"/>
    <col min="3079" max="3079" width="9.7109375" bestFit="1" customWidth="1"/>
    <col min="3081" max="3081" width="12.7109375" bestFit="1" customWidth="1"/>
    <col min="3082" max="3082" width="9.7109375" bestFit="1" customWidth="1"/>
    <col min="3086" max="3086" width="11.7109375" customWidth="1"/>
    <col min="3088" max="3088" width="15.85546875" customWidth="1"/>
    <col min="3090" max="3090" width="11.140625" bestFit="1" customWidth="1"/>
    <col min="3331" max="3331" width="10.140625" bestFit="1" customWidth="1"/>
    <col min="3332" max="3332" width="10.7109375" bestFit="1" customWidth="1"/>
    <col min="3333" max="3333" width="11.85546875" bestFit="1" customWidth="1"/>
    <col min="3334" max="3334" width="11.85546875" customWidth="1"/>
    <col min="3335" max="3335" width="9.7109375" bestFit="1" customWidth="1"/>
    <col min="3337" max="3337" width="12.7109375" bestFit="1" customWidth="1"/>
    <col min="3338" max="3338" width="9.7109375" bestFit="1" customWidth="1"/>
    <col min="3342" max="3342" width="11.7109375" customWidth="1"/>
    <col min="3344" max="3344" width="15.85546875" customWidth="1"/>
    <col min="3346" max="3346" width="11.140625" bestFit="1" customWidth="1"/>
    <col min="3587" max="3587" width="10.140625" bestFit="1" customWidth="1"/>
    <col min="3588" max="3588" width="10.7109375" bestFit="1" customWidth="1"/>
    <col min="3589" max="3589" width="11.85546875" bestFit="1" customWidth="1"/>
    <col min="3590" max="3590" width="11.85546875" customWidth="1"/>
    <col min="3591" max="3591" width="9.7109375" bestFit="1" customWidth="1"/>
    <col min="3593" max="3593" width="12.7109375" bestFit="1" customWidth="1"/>
    <col min="3594" max="3594" width="9.7109375" bestFit="1" customWidth="1"/>
    <col min="3598" max="3598" width="11.7109375" customWidth="1"/>
    <col min="3600" max="3600" width="15.85546875" customWidth="1"/>
    <col min="3602" max="3602" width="11.140625" bestFit="1" customWidth="1"/>
    <col min="3843" max="3843" width="10.140625" bestFit="1" customWidth="1"/>
    <col min="3844" max="3844" width="10.7109375" bestFit="1" customWidth="1"/>
    <col min="3845" max="3845" width="11.85546875" bestFit="1" customWidth="1"/>
    <col min="3846" max="3846" width="11.85546875" customWidth="1"/>
    <col min="3847" max="3847" width="9.7109375" bestFit="1" customWidth="1"/>
    <col min="3849" max="3849" width="12.7109375" bestFit="1" customWidth="1"/>
    <col min="3850" max="3850" width="9.7109375" bestFit="1" customWidth="1"/>
    <col min="3854" max="3854" width="11.7109375" customWidth="1"/>
    <col min="3856" max="3856" width="15.85546875" customWidth="1"/>
    <col min="3858" max="3858" width="11.140625" bestFit="1" customWidth="1"/>
    <col min="4099" max="4099" width="10.140625" bestFit="1" customWidth="1"/>
    <col min="4100" max="4100" width="10.7109375" bestFit="1" customWidth="1"/>
    <col min="4101" max="4101" width="11.85546875" bestFit="1" customWidth="1"/>
    <col min="4102" max="4102" width="11.85546875" customWidth="1"/>
    <col min="4103" max="4103" width="9.7109375" bestFit="1" customWidth="1"/>
    <col min="4105" max="4105" width="12.7109375" bestFit="1" customWidth="1"/>
    <col min="4106" max="4106" width="9.7109375" bestFit="1" customWidth="1"/>
    <col min="4110" max="4110" width="11.7109375" customWidth="1"/>
    <col min="4112" max="4112" width="15.85546875" customWidth="1"/>
    <col min="4114" max="4114" width="11.140625" bestFit="1" customWidth="1"/>
    <col min="4355" max="4355" width="10.140625" bestFit="1" customWidth="1"/>
    <col min="4356" max="4356" width="10.7109375" bestFit="1" customWidth="1"/>
    <col min="4357" max="4357" width="11.85546875" bestFit="1" customWidth="1"/>
    <col min="4358" max="4358" width="11.85546875" customWidth="1"/>
    <col min="4359" max="4359" width="9.7109375" bestFit="1" customWidth="1"/>
    <col min="4361" max="4361" width="12.7109375" bestFit="1" customWidth="1"/>
    <col min="4362" max="4362" width="9.7109375" bestFit="1" customWidth="1"/>
    <col min="4366" max="4366" width="11.7109375" customWidth="1"/>
    <col min="4368" max="4368" width="15.85546875" customWidth="1"/>
    <col min="4370" max="4370" width="11.140625" bestFit="1" customWidth="1"/>
    <col min="4611" max="4611" width="10.140625" bestFit="1" customWidth="1"/>
    <col min="4612" max="4612" width="10.7109375" bestFit="1" customWidth="1"/>
    <col min="4613" max="4613" width="11.85546875" bestFit="1" customWidth="1"/>
    <col min="4614" max="4614" width="11.85546875" customWidth="1"/>
    <col min="4615" max="4615" width="9.7109375" bestFit="1" customWidth="1"/>
    <col min="4617" max="4617" width="12.7109375" bestFit="1" customWidth="1"/>
    <col min="4618" max="4618" width="9.7109375" bestFit="1" customWidth="1"/>
    <col min="4622" max="4622" width="11.7109375" customWidth="1"/>
    <col min="4624" max="4624" width="15.85546875" customWidth="1"/>
    <col min="4626" max="4626" width="11.140625" bestFit="1" customWidth="1"/>
    <col min="4867" max="4867" width="10.140625" bestFit="1" customWidth="1"/>
    <col min="4868" max="4868" width="10.7109375" bestFit="1" customWidth="1"/>
    <col min="4869" max="4869" width="11.85546875" bestFit="1" customWidth="1"/>
    <col min="4870" max="4870" width="11.85546875" customWidth="1"/>
    <col min="4871" max="4871" width="9.7109375" bestFit="1" customWidth="1"/>
    <col min="4873" max="4873" width="12.7109375" bestFit="1" customWidth="1"/>
    <col min="4874" max="4874" width="9.7109375" bestFit="1" customWidth="1"/>
    <col min="4878" max="4878" width="11.7109375" customWidth="1"/>
    <col min="4880" max="4880" width="15.85546875" customWidth="1"/>
    <col min="4882" max="4882" width="11.140625" bestFit="1" customWidth="1"/>
    <col min="5123" max="5123" width="10.140625" bestFit="1" customWidth="1"/>
    <col min="5124" max="5124" width="10.7109375" bestFit="1" customWidth="1"/>
    <col min="5125" max="5125" width="11.85546875" bestFit="1" customWidth="1"/>
    <col min="5126" max="5126" width="11.85546875" customWidth="1"/>
    <col min="5127" max="5127" width="9.7109375" bestFit="1" customWidth="1"/>
    <col min="5129" max="5129" width="12.7109375" bestFit="1" customWidth="1"/>
    <col min="5130" max="5130" width="9.7109375" bestFit="1" customWidth="1"/>
    <col min="5134" max="5134" width="11.7109375" customWidth="1"/>
    <col min="5136" max="5136" width="15.85546875" customWidth="1"/>
    <col min="5138" max="5138" width="11.140625" bestFit="1" customWidth="1"/>
    <col min="5379" max="5379" width="10.140625" bestFit="1" customWidth="1"/>
    <col min="5380" max="5380" width="10.7109375" bestFit="1" customWidth="1"/>
    <col min="5381" max="5381" width="11.85546875" bestFit="1" customWidth="1"/>
    <col min="5382" max="5382" width="11.85546875" customWidth="1"/>
    <col min="5383" max="5383" width="9.7109375" bestFit="1" customWidth="1"/>
    <col min="5385" max="5385" width="12.7109375" bestFit="1" customWidth="1"/>
    <col min="5386" max="5386" width="9.7109375" bestFit="1" customWidth="1"/>
    <col min="5390" max="5390" width="11.7109375" customWidth="1"/>
    <col min="5392" max="5392" width="15.85546875" customWidth="1"/>
    <col min="5394" max="5394" width="11.140625" bestFit="1" customWidth="1"/>
    <col min="5635" max="5635" width="10.140625" bestFit="1" customWidth="1"/>
    <col min="5636" max="5636" width="10.7109375" bestFit="1" customWidth="1"/>
    <col min="5637" max="5637" width="11.85546875" bestFit="1" customWidth="1"/>
    <col min="5638" max="5638" width="11.85546875" customWidth="1"/>
    <col min="5639" max="5639" width="9.7109375" bestFit="1" customWidth="1"/>
    <col min="5641" max="5641" width="12.7109375" bestFit="1" customWidth="1"/>
    <col min="5642" max="5642" width="9.7109375" bestFit="1" customWidth="1"/>
    <col min="5646" max="5646" width="11.7109375" customWidth="1"/>
    <col min="5648" max="5648" width="15.85546875" customWidth="1"/>
    <col min="5650" max="5650" width="11.140625" bestFit="1" customWidth="1"/>
    <col min="5891" max="5891" width="10.140625" bestFit="1" customWidth="1"/>
    <col min="5892" max="5892" width="10.7109375" bestFit="1" customWidth="1"/>
    <col min="5893" max="5893" width="11.85546875" bestFit="1" customWidth="1"/>
    <col min="5894" max="5894" width="11.85546875" customWidth="1"/>
    <col min="5895" max="5895" width="9.7109375" bestFit="1" customWidth="1"/>
    <col min="5897" max="5897" width="12.7109375" bestFit="1" customWidth="1"/>
    <col min="5898" max="5898" width="9.7109375" bestFit="1" customWidth="1"/>
    <col min="5902" max="5902" width="11.7109375" customWidth="1"/>
    <col min="5904" max="5904" width="15.85546875" customWidth="1"/>
    <col min="5906" max="5906" width="11.140625" bestFit="1" customWidth="1"/>
    <col min="6147" max="6147" width="10.140625" bestFit="1" customWidth="1"/>
    <col min="6148" max="6148" width="10.7109375" bestFit="1" customWidth="1"/>
    <col min="6149" max="6149" width="11.85546875" bestFit="1" customWidth="1"/>
    <col min="6150" max="6150" width="11.85546875" customWidth="1"/>
    <col min="6151" max="6151" width="9.7109375" bestFit="1" customWidth="1"/>
    <col min="6153" max="6153" width="12.7109375" bestFit="1" customWidth="1"/>
    <col min="6154" max="6154" width="9.7109375" bestFit="1" customWidth="1"/>
    <col min="6158" max="6158" width="11.7109375" customWidth="1"/>
    <col min="6160" max="6160" width="15.85546875" customWidth="1"/>
    <col min="6162" max="6162" width="11.140625" bestFit="1" customWidth="1"/>
    <col min="6403" max="6403" width="10.140625" bestFit="1" customWidth="1"/>
    <col min="6404" max="6404" width="10.7109375" bestFit="1" customWidth="1"/>
    <col min="6405" max="6405" width="11.85546875" bestFit="1" customWidth="1"/>
    <col min="6406" max="6406" width="11.85546875" customWidth="1"/>
    <col min="6407" max="6407" width="9.7109375" bestFit="1" customWidth="1"/>
    <col min="6409" max="6409" width="12.7109375" bestFit="1" customWidth="1"/>
    <col min="6410" max="6410" width="9.7109375" bestFit="1" customWidth="1"/>
    <col min="6414" max="6414" width="11.7109375" customWidth="1"/>
    <col min="6416" max="6416" width="15.85546875" customWidth="1"/>
    <col min="6418" max="6418" width="11.140625" bestFit="1" customWidth="1"/>
    <col min="6659" max="6659" width="10.140625" bestFit="1" customWidth="1"/>
    <col min="6660" max="6660" width="10.7109375" bestFit="1" customWidth="1"/>
    <col min="6661" max="6661" width="11.85546875" bestFit="1" customWidth="1"/>
    <col min="6662" max="6662" width="11.85546875" customWidth="1"/>
    <col min="6663" max="6663" width="9.7109375" bestFit="1" customWidth="1"/>
    <col min="6665" max="6665" width="12.7109375" bestFit="1" customWidth="1"/>
    <col min="6666" max="6666" width="9.7109375" bestFit="1" customWidth="1"/>
    <col min="6670" max="6670" width="11.7109375" customWidth="1"/>
    <col min="6672" max="6672" width="15.85546875" customWidth="1"/>
    <col min="6674" max="6674" width="11.140625" bestFit="1" customWidth="1"/>
    <col min="6915" max="6915" width="10.140625" bestFit="1" customWidth="1"/>
    <col min="6916" max="6916" width="10.7109375" bestFit="1" customWidth="1"/>
    <col min="6917" max="6917" width="11.85546875" bestFit="1" customWidth="1"/>
    <col min="6918" max="6918" width="11.85546875" customWidth="1"/>
    <col min="6919" max="6919" width="9.7109375" bestFit="1" customWidth="1"/>
    <col min="6921" max="6921" width="12.7109375" bestFit="1" customWidth="1"/>
    <col min="6922" max="6922" width="9.7109375" bestFit="1" customWidth="1"/>
    <col min="6926" max="6926" width="11.7109375" customWidth="1"/>
    <col min="6928" max="6928" width="15.85546875" customWidth="1"/>
    <col min="6930" max="6930" width="11.140625" bestFit="1" customWidth="1"/>
    <col min="7171" max="7171" width="10.140625" bestFit="1" customWidth="1"/>
    <col min="7172" max="7172" width="10.7109375" bestFit="1" customWidth="1"/>
    <col min="7173" max="7173" width="11.85546875" bestFit="1" customWidth="1"/>
    <col min="7174" max="7174" width="11.85546875" customWidth="1"/>
    <col min="7175" max="7175" width="9.7109375" bestFit="1" customWidth="1"/>
    <col min="7177" max="7177" width="12.7109375" bestFit="1" customWidth="1"/>
    <col min="7178" max="7178" width="9.7109375" bestFit="1" customWidth="1"/>
    <col min="7182" max="7182" width="11.7109375" customWidth="1"/>
    <col min="7184" max="7184" width="15.85546875" customWidth="1"/>
    <col min="7186" max="7186" width="11.140625" bestFit="1" customWidth="1"/>
    <col min="7427" max="7427" width="10.140625" bestFit="1" customWidth="1"/>
    <col min="7428" max="7428" width="10.7109375" bestFit="1" customWidth="1"/>
    <col min="7429" max="7429" width="11.85546875" bestFit="1" customWidth="1"/>
    <col min="7430" max="7430" width="11.85546875" customWidth="1"/>
    <col min="7431" max="7431" width="9.7109375" bestFit="1" customWidth="1"/>
    <col min="7433" max="7433" width="12.7109375" bestFit="1" customWidth="1"/>
    <col min="7434" max="7434" width="9.7109375" bestFit="1" customWidth="1"/>
    <col min="7438" max="7438" width="11.7109375" customWidth="1"/>
    <col min="7440" max="7440" width="15.85546875" customWidth="1"/>
    <col min="7442" max="7442" width="11.140625" bestFit="1" customWidth="1"/>
    <col min="7683" max="7683" width="10.140625" bestFit="1" customWidth="1"/>
    <col min="7684" max="7684" width="10.7109375" bestFit="1" customWidth="1"/>
    <col min="7685" max="7685" width="11.85546875" bestFit="1" customWidth="1"/>
    <col min="7686" max="7686" width="11.85546875" customWidth="1"/>
    <col min="7687" max="7687" width="9.7109375" bestFit="1" customWidth="1"/>
    <col min="7689" max="7689" width="12.7109375" bestFit="1" customWidth="1"/>
    <col min="7690" max="7690" width="9.7109375" bestFit="1" customWidth="1"/>
    <col min="7694" max="7694" width="11.7109375" customWidth="1"/>
    <col min="7696" max="7696" width="15.85546875" customWidth="1"/>
    <col min="7698" max="7698" width="11.140625" bestFit="1" customWidth="1"/>
    <col min="7939" max="7939" width="10.140625" bestFit="1" customWidth="1"/>
    <col min="7940" max="7940" width="10.7109375" bestFit="1" customWidth="1"/>
    <col min="7941" max="7941" width="11.85546875" bestFit="1" customWidth="1"/>
    <col min="7942" max="7942" width="11.85546875" customWidth="1"/>
    <col min="7943" max="7943" width="9.7109375" bestFit="1" customWidth="1"/>
    <col min="7945" max="7945" width="12.7109375" bestFit="1" customWidth="1"/>
    <col min="7946" max="7946" width="9.7109375" bestFit="1" customWidth="1"/>
    <col min="7950" max="7950" width="11.7109375" customWidth="1"/>
    <col min="7952" max="7952" width="15.85546875" customWidth="1"/>
    <col min="7954" max="7954" width="11.140625" bestFit="1" customWidth="1"/>
    <col min="8195" max="8195" width="10.140625" bestFit="1" customWidth="1"/>
    <col min="8196" max="8196" width="10.7109375" bestFit="1" customWidth="1"/>
    <col min="8197" max="8197" width="11.85546875" bestFit="1" customWidth="1"/>
    <col min="8198" max="8198" width="11.85546875" customWidth="1"/>
    <col min="8199" max="8199" width="9.7109375" bestFit="1" customWidth="1"/>
    <col min="8201" max="8201" width="12.7109375" bestFit="1" customWidth="1"/>
    <col min="8202" max="8202" width="9.7109375" bestFit="1" customWidth="1"/>
    <col min="8206" max="8206" width="11.7109375" customWidth="1"/>
    <col min="8208" max="8208" width="15.85546875" customWidth="1"/>
    <col min="8210" max="8210" width="11.140625" bestFit="1" customWidth="1"/>
    <col min="8451" max="8451" width="10.140625" bestFit="1" customWidth="1"/>
    <col min="8452" max="8452" width="10.7109375" bestFit="1" customWidth="1"/>
    <col min="8453" max="8453" width="11.85546875" bestFit="1" customWidth="1"/>
    <col min="8454" max="8454" width="11.85546875" customWidth="1"/>
    <col min="8455" max="8455" width="9.7109375" bestFit="1" customWidth="1"/>
    <col min="8457" max="8457" width="12.7109375" bestFit="1" customWidth="1"/>
    <col min="8458" max="8458" width="9.7109375" bestFit="1" customWidth="1"/>
    <col min="8462" max="8462" width="11.7109375" customWidth="1"/>
    <col min="8464" max="8464" width="15.85546875" customWidth="1"/>
    <col min="8466" max="8466" width="11.140625" bestFit="1" customWidth="1"/>
    <col min="8707" max="8707" width="10.140625" bestFit="1" customWidth="1"/>
    <col min="8708" max="8708" width="10.7109375" bestFit="1" customWidth="1"/>
    <col min="8709" max="8709" width="11.85546875" bestFit="1" customWidth="1"/>
    <col min="8710" max="8710" width="11.85546875" customWidth="1"/>
    <col min="8711" max="8711" width="9.7109375" bestFit="1" customWidth="1"/>
    <col min="8713" max="8713" width="12.7109375" bestFit="1" customWidth="1"/>
    <col min="8714" max="8714" width="9.7109375" bestFit="1" customWidth="1"/>
    <col min="8718" max="8718" width="11.7109375" customWidth="1"/>
    <col min="8720" max="8720" width="15.85546875" customWidth="1"/>
    <col min="8722" max="8722" width="11.140625" bestFit="1" customWidth="1"/>
    <col min="8963" max="8963" width="10.140625" bestFit="1" customWidth="1"/>
    <col min="8964" max="8964" width="10.7109375" bestFit="1" customWidth="1"/>
    <col min="8965" max="8965" width="11.85546875" bestFit="1" customWidth="1"/>
    <col min="8966" max="8966" width="11.85546875" customWidth="1"/>
    <col min="8967" max="8967" width="9.7109375" bestFit="1" customWidth="1"/>
    <col min="8969" max="8969" width="12.7109375" bestFit="1" customWidth="1"/>
    <col min="8970" max="8970" width="9.7109375" bestFit="1" customWidth="1"/>
    <col min="8974" max="8974" width="11.7109375" customWidth="1"/>
    <col min="8976" max="8976" width="15.85546875" customWidth="1"/>
    <col min="8978" max="8978" width="11.140625" bestFit="1" customWidth="1"/>
    <col min="9219" max="9219" width="10.140625" bestFit="1" customWidth="1"/>
    <col min="9220" max="9220" width="10.7109375" bestFit="1" customWidth="1"/>
    <col min="9221" max="9221" width="11.85546875" bestFit="1" customWidth="1"/>
    <col min="9222" max="9222" width="11.85546875" customWidth="1"/>
    <col min="9223" max="9223" width="9.7109375" bestFit="1" customWidth="1"/>
    <col min="9225" max="9225" width="12.7109375" bestFit="1" customWidth="1"/>
    <col min="9226" max="9226" width="9.7109375" bestFit="1" customWidth="1"/>
    <col min="9230" max="9230" width="11.7109375" customWidth="1"/>
    <col min="9232" max="9232" width="15.85546875" customWidth="1"/>
    <col min="9234" max="9234" width="11.140625" bestFit="1" customWidth="1"/>
    <col min="9475" max="9475" width="10.140625" bestFit="1" customWidth="1"/>
    <col min="9476" max="9476" width="10.7109375" bestFit="1" customWidth="1"/>
    <col min="9477" max="9477" width="11.85546875" bestFit="1" customWidth="1"/>
    <col min="9478" max="9478" width="11.85546875" customWidth="1"/>
    <col min="9479" max="9479" width="9.7109375" bestFit="1" customWidth="1"/>
    <col min="9481" max="9481" width="12.7109375" bestFit="1" customWidth="1"/>
    <col min="9482" max="9482" width="9.7109375" bestFit="1" customWidth="1"/>
    <col min="9486" max="9486" width="11.7109375" customWidth="1"/>
    <col min="9488" max="9488" width="15.85546875" customWidth="1"/>
    <col min="9490" max="9490" width="11.140625" bestFit="1" customWidth="1"/>
    <col min="9731" max="9731" width="10.140625" bestFit="1" customWidth="1"/>
    <col min="9732" max="9732" width="10.7109375" bestFit="1" customWidth="1"/>
    <col min="9733" max="9733" width="11.85546875" bestFit="1" customWidth="1"/>
    <col min="9734" max="9734" width="11.85546875" customWidth="1"/>
    <col min="9735" max="9735" width="9.7109375" bestFit="1" customWidth="1"/>
    <col min="9737" max="9737" width="12.7109375" bestFit="1" customWidth="1"/>
    <col min="9738" max="9738" width="9.7109375" bestFit="1" customWidth="1"/>
    <col min="9742" max="9742" width="11.7109375" customWidth="1"/>
    <col min="9744" max="9744" width="15.85546875" customWidth="1"/>
    <col min="9746" max="9746" width="11.140625" bestFit="1" customWidth="1"/>
    <col min="9987" max="9987" width="10.140625" bestFit="1" customWidth="1"/>
    <col min="9988" max="9988" width="10.7109375" bestFit="1" customWidth="1"/>
    <col min="9989" max="9989" width="11.85546875" bestFit="1" customWidth="1"/>
    <col min="9990" max="9990" width="11.85546875" customWidth="1"/>
    <col min="9991" max="9991" width="9.7109375" bestFit="1" customWidth="1"/>
    <col min="9993" max="9993" width="12.7109375" bestFit="1" customWidth="1"/>
    <col min="9994" max="9994" width="9.7109375" bestFit="1" customWidth="1"/>
    <col min="9998" max="9998" width="11.7109375" customWidth="1"/>
    <col min="10000" max="10000" width="15.85546875" customWidth="1"/>
    <col min="10002" max="10002" width="11.140625" bestFit="1" customWidth="1"/>
    <col min="10243" max="10243" width="10.140625" bestFit="1" customWidth="1"/>
    <col min="10244" max="10244" width="10.7109375" bestFit="1" customWidth="1"/>
    <col min="10245" max="10245" width="11.85546875" bestFit="1" customWidth="1"/>
    <col min="10246" max="10246" width="11.85546875" customWidth="1"/>
    <col min="10247" max="10247" width="9.7109375" bestFit="1" customWidth="1"/>
    <col min="10249" max="10249" width="12.7109375" bestFit="1" customWidth="1"/>
    <col min="10250" max="10250" width="9.7109375" bestFit="1" customWidth="1"/>
    <col min="10254" max="10254" width="11.7109375" customWidth="1"/>
    <col min="10256" max="10256" width="15.85546875" customWidth="1"/>
    <col min="10258" max="10258" width="11.140625" bestFit="1" customWidth="1"/>
    <col min="10499" max="10499" width="10.140625" bestFit="1" customWidth="1"/>
    <col min="10500" max="10500" width="10.7109375" bestFit="1" customWidth="1"/>
    <col min="10501" max="10501" width="11.85546875" bestFit="1" customWidth="1"/>
    <col min="10502" max="10502" width="11.85546875" customWidth="1"/>
    <col min="10503" max="10503" width="9.7109375" bestFit="1" customWidth="1"/>
    <col min="10505" max="10505" width="12.7109375" bestFit="1" customWidth="1"/>
    <col min="10506" max="10506" width="9.7109375" bestFit="1" customWidth="1"/>
    <col min="10510" max="10510" width="11.7109375" customWidth="1"/>
    <col min="10512" max="10512" width="15.85546875" customWidth="1"/>
    <col min="10514" max="10514" width="11.140625" bestFit="1" customWidth="1"/>
    <col min="10755" max="10755" width="10.140625" bestFit="1" customWidth="1"/>
    <col min="10756" max="10756" width="10.7109375" bestFit="1" customWidth="1"/>
    <col min="10757" max="10757" width="11.85546875" bestFit="1" customWidth="1"/>
    <col min="10758" max="10758" width="11.85546875" customWidth="1"/>
    <col min="10759" max="10759" width="9.7109375" bestFit="1" customWidth="1"/>
    <col min="10761" max="10761" width="12.7109375" bestFit="1" customWidth="1"/>
    <col min="10762" max="10762" width="9.7109375" bestFit="1" customWidth="1"/>
    <col min="10766" max="10766" width="11.7109375" customWidth="1"/>
    <col min="10768" max="10768" width="15.85546875" customWidth="1"/>
    <col min="10770" max="10770" width="11.140625" bestFit="1" customWidth="1"/>
    <col min="11011" max="11011" width="10.140625" bestFit="1" customWidth="1"/>
    <col min="11012" max="11012" width="10.7109375" bestFit="1" customWidth="1"/>
    <col min="11013" max="11013" width="11.85546875" bestFit="1" customWidth="1"/>
    <col min="11014" max="11014" width="11.85546875" customWidth="1"/>
    <col min="11015" max="11015" width="9.7109375" bestFit="1" customWidth="1"/>
    <col min="11017" max="11017" width="12.7109375" bestFit="1" customWidth="1"/>
    <col min="11018" max="11018" width="9.7109375" bestFit="1" customWidth="1"/>
    <col min="11022" max="11022" width="11.7109375" customWidth="1"/>
    <col min="11024" max="11024" width="15.85546875" customWidth="1"/>
    <col min="11026" max="11026" width="11.140625" bestFit="1" customWidth="1"/>
    <col min="11267" max="11267" width="10.140625" bestFit="1" customWidth="1"/>
    <col min="11268" max="11268" width="10.7109375" bestFit="1" customWidth="1"/>
    <col min="11269" max="11269" width="11.85546875" bestFit="1" customWidth="1"/>
    <col min="11270" max="11270" width="11.85546875" customWidth="1"/>
    <col min="11271" max="11271" width="9.7109375" bestFit="1" customWidth="1"/>
    <col min="11273" max="11273" width="12.7109375" bestFit="1" customWidth="1"/>
    <col min="11274" max="11274" width="9.7109375" bestFit="1" customWidth="1"/>
    <col min="11278" max="11278" width="11.7109375" customWidth="1"/>
    <col min="11280" max="11280" width="15.85546875" customWidth="1"/>
    <col min="11282" max="11282" width="11.140625" bestFit="1" customWidth="1"/>
    <col min="11523" max="11523" width="10.140625" bestFit="1" customWidth="1"/>
    <col min="11524" max="11524" width="10.7109375" bestFit="1" customWidth="1"/>
    <col min="11525" max="11525" width="11.85546875" bestFit="1" customWidth="1"/>
    <col min="11526" max="11526" width="11.85546875" customWidth="1"/>
    <col min="11527" max="11527" width="9.7109375" bestFit="1" customWidth="1"/>
    <col min="11529" max="11529" width="12.7109375" bestFit="1" customWidth="1"/>
    <col min="11530" max="11530" width="9.7109375" bestFit="1" customWidth="1"/>
    <col min="11534" max="11534" width="11.7109375" customWidth="1"/>
    <col min="11536" max="11536" width="15.85546875" customWidth="1"/>
    <col min="11538" max="11538" width="11.140625" bestFit="1" customWidth="1"/>
    <col min="11779" max="11779" width="10.140625" bestFit="1" customWidth="1"/>
    <col min="11780" max="11780" width="10.7109375" bestFit="1" customWidth="1"/>
    <col min="11781" max="11781" width="11.85546875" bestFit="1" customWidth="1"/>
    <col min="11782" max="11782" width="11.85546875" customWidth="1"/>
    <col min="11783" max="11783" width="9.7109375" bestFit="1" customWidth="1"/>
    <col min="11785" max="11785" width="12.7109375" bestFit="1" customWidth="1"/>
    <col min="11786" max="11786" width="9.7109375" bestFit="1" customWidth="1"/>
    <col min="11790" max="11790" width="11.7109375" customWidth="1"/>
    <col min="11792" max="11792" width="15.85546875" customWidth="1"/>
    <col min="11794" max="11794" width="11.140625" bestFit="1" customWidth="1"/>
    <col min="12035" max="12035" width="10.140625" bestFit="1" customWidth="1"/>
    <col min="12036" max="12036" width="10.7109375" bestFit="1" customWidth="1"/>
    <col min="12037" max="12037" width="11.85546875" bestFit="1" customWidth="1"/>
    <col min="12038" max="12038" width="11.85546875" customWidth="1"/>
    <col min="12039" max="12039" width="9.7109375" bestFit="1" customWidth="1"/>
    <col min="12041" max="12041" width="12.7109375" bestFit="1" customWidth="1"/>
    <col min="12042" max="12042" width="9.7109375" bestFit="1" customWidth="1"/>
    <col min="12046" max="12046" width="11.7109375" customWidth="1"/>
    <col min="12048" max="12048" width="15.85546875" customWidth="1"/>
    <col min="12050" max="12050" width="11.140625" bestFit="1" customWidth="1"/>
    <col min="12291" max="12291" width="10.140625" bestFit="1" customWidth="1"/>
    <col min="12292" max="12292" width="10.7109375" bestFit="1" customWidth="1"/>
    <col min="12293" max="12293" width="11.85546875" bestFit="1" customWidth="1"/>
    <col min="12294" max="12294" width="11.85546875" customWidth="1"/>
    <col min="12295" max="12295" width="9.7109375" bestFit="1" customWidth="1"/>
    <col min="12297" max="12297" width="12.7109375" bestFit="1" customWidth="1"/>
    <col min="12298" max="12298" width="9.7109375" bestFit="1" customWidth="1"/>
    <col min="12302" max="12302" width="11.7109375" customWidth="1"/>
    <col min="12304" max="12304" width="15.85546875" customWidth="1"/>
    <col min="12306" max="12306" width="11.140625" bestFit="1" customWidth="1"/>
    <col min="12547" max="12547" width="10.140625" bestFit="1" customWidth="1"/>
    <col min="12548" max="12548" width="10.7109375" bestFit="1" customWidth="1"/>
    <col min="12549" max="12549" width="11.85546875" bestFit="1" customWidth="1"/>
    <col min="12550" max="12550" width="11.85546875" customWidth="1"/>
    <col min="12551" max="12551" width="9.7109375" bestFit="1" customWidth="1"/>
    <col min="12553" max="12553" width="12.7109375" bestFit="1" customWidth="1"/>
    <col min="12554" max="12554" width="9.7109375" bestFit="1" customWidth="1"/>
    <col min="12558" max="12558" width="11.7109375" customWidth="1"/>
    <col min="12560" max="12560" width="15.85546875" customWidth="1"/>
    <col min="12562" max="12562" width="11.140625" bestFit="1" customWidth="1"/>
    <col min="12803" max="12803" width="10.140625" bestFit="1" customWidth="1"/>
    <col min="12804" max="12804" width="10.7109375" bestFit="1" customWidth="1"/>
    <col min="12805" max="12805" width="11.85546875" bestFit="1" customWidth="1"/>
    <col min="12806" max="12806" width="11.85546875" customWidth="1"/>
    <col min="12807" max="12807" width="9.7109375" bestFit="1" customWidth="1"/>
    <col min="12809" max="12809" width="12.7109375" bestFit="1" customWidth="1"/>
    <col min="12810" max="12810" width="9.7109375" bestFit="1" customWidth="1"/>
    <col min="12814" max="12814" width="11.7109375" customWidth="1"/>
    <col min="12816" max="12816" width="15.85546875" customWidth="1"/>
    <col min="12818" max="12818" width="11.140625" bestFit="1" customWidth="1"/>
    <col min="13059" max="13059" width="10.140625" bestFit="1" customWidth="1"/>
    <col min="13060" max="13060" width="10.7109375" bestFit="1" customWidth="1"/>
    <col min="13061" max="13061" width="11.85546875" bestFit="1" customWidth="1"/>
    <col min="13062" max="13062" width="11.85546875" customWidth="1"/>
    <col min="13063" max="13063" width="9.7109375" bestFit="1" customWidth="1"/>
    <col min="13065" max="13065" width="12.7109375" bestFit="1" customWidth="1"/>
    <col min="13066" max="13066" width="9.7109375" bestFit="1" customWidth="1"/>
    <col min="13070" max="13070" width="11.7109375" customWidth="1"/>
    <col min="13072" max="13072" width="15.85546875" customWidth="1"/>
    <col min="13074" max="13074" width="11.140625" bestFit="1" customWidth="1"/>
    <col min="13315" max="13315" width="10.140625" bestFit="1" customWidth="1"/>
    <col min="13316" max="13316" width="10.7109375" bestFit="1" customWidth="1"/>
    <col min="13317" max="13317" width="11.85546875" bestFit="1" customWidth="1"/>
    <col min="13318" max="13318" width="11.85546875" customWidth="1"/>
    <col min="13319" max="13319" width="9.7109375" bestFit="1" customWidth="1"/>
    <col min="13321" max="13321" width="12.7109375" bestFit="1" customWidth="1"/>
    <col min="13322" max="13322" width="9.7109375" bestFit="1" customWidth="1"/>
    <col min="13326" max="13326" width="11.7109375" customWidth="1"/>
    <col min="13328" max="13328" width="15.85546875" customWidth="1"/>
    <col min="13330" max="13330" width="11.140625" bestFit="1" customWidth="1"/>
    <col min="13571" max="13571" width="10.140625" bestFit="1" customWidth="1"/>
    <col min="13572" max="13572" width="10.7109375" bestFit="1" customWidth="1"/>
    <col min="13573" max="13573" width="11.85546875" bestFit="1" customWidth="1"/>
    <col min="13574" max="13574" width="11.85546875" customWidth="1"/>
    <col min="13575" max="13575" width="9.7109375" bestFit="1" customWidth="1"/>
    <col min="13577" max="13577" width="12.7109375" bestFit="1" customWidth="1"/>
    <col min="13578" max="13578" width="9.7109375" bestFit="1" customWidth="1"/>
    <col min="13582" max="13582" width="11.7109375" customWidth="1"/>
    <col min="13584" max="13584" width="15.85546875" customWidth="1"/>
    <col min="13586" max="13586" width="11.140625" bestFit="1" customWidth="1"/>
    <col min="13827" max="13827" width="10.140625" bestFit="1" customWidth="1"/>
    <col min="13828" max="13828" width="10.7109375" bestFit="1" customWidth="1"/>
    <col min="13829" max="13829" width="11.85546875" bestFit="1" customWidth="1"/>
    <col min="13830" max="13830" width="11.85546875" customWidth="1"/>
    <col min="13831" max="13831" width="9.7109375" bestFit="1" customWidth="1"/>
    <col min="13833" max="13833" width="12.7109375" bestFit="1" customWidth="1"/>
    <col min="13834" max="13834" width="9.7109375" bestFit="1" customWidth="1"/>
    <col min="13838" max="13838" width="11.7109375" customWidth="1"/>
    <col min="13840" max="13840" width="15.85546875" customWidth="1"/>
    <col min="13842" max="13842" width="11.140625" bestFit="1" customWidth="1"/>
    <col min="14083" max="14083" width="10.140625" bestFit="1" customWidth="1"/>
    <col min="14084" max="14084" width="10.7109375" bestFit="1" customWidth="1"/>
    <col min="14085" max="14085" width="11.85546875" bestFit="1" customWidth="1"/>
    <col min="14086" max="14086" width="11.85546875" customWidth="1"/>
    <col min="14087" max="14087" width="9.7109375" bestFit="1" customWidth="1"/>
    <col min="14089" max="14089" width="12.7109375" bestFit="1" customWidth="1"/>
    <col min="14090" max="14090" width="9.7109375" bestFit="1" customWidth="1"/>
    <col min="14094" max="14094" width="11.7109375" customWidth="1"/>
    <col min="14096" max="14096" width="15.85546875" customWidth="1"/>
    <col min="14098" max="14098" width="11.140625" bestFit="1" customWidth="1"/>
    <col min="14339" max="14339" width="10.140625" bestFit="1" customWidth="1"/>
    <col min="14340" max="14340" width="10.7109375" bestFit="1" customWidth="1"/>
    <col min="14341" max="14341" width="11.85546875" bestFit="1" customWidth="1"/>
    <col min="14342" max="14342" width="11.85546875" customWidth="1"/>
    <col min="14343" max="14343" width="9.7109375" bestFit="1" customWidth="1"/>
    <col min="14345" max="14345" width="12.7109375" bestFit="1" customWidth="1"/>
    <col min="14346" max="14346" width="9.7109375" bestFit="1" customWidth="1"/>
    <col min="14350" max="14350" width="11.7109375" customWidth="1"/>
    <col min="14352" max="14352" width="15.85546875" customWidth="1"/>
    <col min="14354" max="14354" width="11.140625" bestFit="1" customWidth="1"/>
    <col min="14595" max="14595" width="10.140625" bestFit="1" customWidth="1"/>
    <col min="14596" max="14596" width="10.7109375" bestFit="1" customWidth="1"/>
    <col min="14597" max="14597" width="11.85546875" bestFit="1" customWidth="1"/>
    <col min="14598" max="14598" width="11.85546875" customWidth="1"/>
    <col min="14599" max="14599" width="9.7109375" bestFit="1" customWidth="1"/>
    <col min="14601" max="14601" width="12.7109375" bestFit="1" customWidth="1"/>
    <col min="14602" max="14602" width="9.7109375" bestFit="1" customWidth="1"/>
    <col min="14606" max="14606" width="11.7109375" customWidth="1"/>
    <col min="14608" max="14608" width="15.85546875" customWidth="1"/>
    <col min="14610" max="14610" width="11.140625" bestFit="1" customWidth="1"/>
    <col min="14851" max="14851" width="10.140625" bestFit="1" customWidth="1"/>
    <col min="14852" max="14852" width="10.7109375" bestFit="1" customWidth="1"/>
    <col min="14853" max="14853" width="11.85546875" bestFit="1" customWidth="1"/>
    <col min="14854" max="14854" width="11.85546875" customWidth="1"/>
    <col min="14855" max="14855" width="9.7109375" bestFit="1" customWidth="1"/>
    <col min="14857" max="14857" width="12.7109375" bestFit="1" customWidth="1"/>
    <col min="14858" max="14858" width="9.7109375" bestFit="1" customWidth="1"/>
    <col min="14862" max="14862" width="11.7109375" customWidth="1"/>
    <col min="14864" max="14864" width="15.85546875" customWidth="1"/>
    <col min="14866" max="14866" width="11.140625" bestFit="1" customWidth="1"/>
    <col min="15107" max="15107" width="10.140625" bestFit="1" customWidth="1"/>
    <col min="15108" max="15108" width="10.7109375" bestFit="1" customWidth="1"/>
    <col min="15109" max="15109" width="11.85546875" bestFit="1" customWidth="1"/>
    <col min="15110" max="15110" width="11.85546875" customWidth="1"/>
    <col min="15111" max="15111" width="9.7109375" bestFit="1" customWidth="1"/>
    <col min="15113" max="15113" width="12.7109375" bestFit="1" customWidth="1"/>
    <col min="15114" max="15114" width="9.7109375" bestFit="1" customWidth="1"/>
    <col min="15118" max="15118" width="11.7109375" customWidth="1"/>
    <col min="15120" max="15120" width="15.85546875" customWidth="1"/>
    <col min="15122" max="15122" width="11.140625" bestFit="1" customWidth="1"/>
    <col min="15363" max="15363" width="10.140625" bestFit="1" customWidth="1"/>
    <col min="15364" max="15364" width="10.7109375" bestFit="1" customWidth="1"/>
    <col min="15365" max="15365" width="11.85546875" bestFit="1" customWidth="1"/>
    <col min="15366" max="15366" width="11.85546875" customWidth="1"/>
    <col min="15367" max="15367" width="9.7109375" bestFit="1" customWidth="1"/>
    <col min="15369" max="15369" width="12.7109375" bestFit="1" customWidth="1"/>
    <col min="15370" max="15370" width="9.7109375" bestFit="1" customWidth="1"/>
    <col min="15374" max="15374" width="11.7109375" customWidth="1"/>
    <col min="15376" max="15376" width="15.85546875" customWidth="1"/>
    <col min="15378" max="15378" width="11.140625" bestFit="1" customWidth="1"/>
    <col min="15619" max="15619" width="10.140625" bestFit="1" customWidth="1"/>
    <col min="15620" max="15620" width="10.7109375" bestFit="1" customWidth="1"/>
    <col min="15621" max="15621" width="11.85546875" bestFit="1" customWidth="1"/>
    <col min="15622" max="15622" width="11.85546875" customWidth="1"/>
    <col min="15623" max="15623" width="9.7109375" bestFit="1" customWidth="1"/>
    <col min="15625" max="15625" width="12.7109375" bestFit="1" customWidth="1"/>
    <col min="15626" max="15626" width="9.7109375" bestFit="1" customWidth="1"/>
    <col min="15630" max="15630" width="11.7109375" customWidth="1"/>
    <col min="15632" max="15632" width="15.85546875" customWidth="1"/>
    <col min="15634" max="15634" width="11.140625" bestFit="1" customWidth="1"/>
    <col min="15875" max="15875" width="10.140625" bestFit="1" customWidth="1"/>
    <col min="15876" max="15876" width="10.7109375" bestFit="1" customWidth="1"/>
    <col min="15877" max="15877" width="11.85546875" bestFit="1" customWidth="1"/>
    <col min="15878" max="15878" width="11.85546875" customWidth="1"/>
    <col min="15879" max="15879" width="9.7109375" bestFit="1" customWidth="1"/>
    <col min="15881" max="15881" width="12.7109375" bestFit="1" customWidth="1"/>
    <col min="15882" max="15882" width="9.7109375" bestFit="1" customWidth="1"/>
    <col min="15886" max="15886" width="11.7109375" customWidth="1"/>
    <col min="15888" max="15888" width="15.85546875" customWidth="1"/>
    <col min="15890" max="15890" width="11.140625" bestFit="1" customWidth="1"/>
    <col min="16131" max="16131" width="10.140625" bestFit="1" customWidth="1"/>
    <col min="16132" max="16132" width="10.7109375" bestFit="1" customWidth="1"/>
    <col min="16133" max="16133" width="11.85546875" bestFit="1" customWidth="1"/>
    <col min="16134" max="16134" width="11.85546875" customWidth="1"/>
    <col min="16135" max="16135" width="9.7109375" bestFit="1" customWidth="1"/>
    <col min="16137" max="16137" width="12.7109375" bestFit="1" customWidth="1"/>
    <col min="16138" max="16138" width="9.7109375" bestFit="1" customWidth="1"/>
    <col min="16142" max="16142" width="11.7109375" customWidth="1"/>
    <col min="16144" max="16144" width="15.85546875" customWidth="1"/>
    <col min="16146" max="16146" width="11.140625" bestFit="1" customWidth="1"/>
  </cols>
  <sheetData>
    <row r="2" spans="1:17">
      <c r="C2" t="s">
        <v>0</v>
      </c>
      <c r="E2" t="s">
        <v>1</v>
      </c>
      <c r="I2" t="s">
        <v>2</v>
      </c>
      <c r="K2" t="s">
        <v>1</v>
      </c>
    </row>
    <row r="3" spans="1:17" s="2" customFormat="1" ht="12.75">
      <c r="A3" s="2">
        <v>2019</v>
      </c>
      <c r="C3" s="3">
        <v>908.9</v>
      </c>
      <c r="D3" s="3"/>
      <c r="F3" s="3"/>
      <c r="I3" s="3">
        <v>75505.320000000007</v>
      </c>
      <c r="N3" s="3">
        <v>124544.71</v>
      </c>
      <c r="P3" s="3">
        <f t="shared" ref="P3:P16" si="0">C3 + I3 + N3</f>
        <v>200958.93</v>
      </c>
    </row>
    <row r="4" spans="1:17" s="2" customFormat="1" ht="12.75">
      <c r="A4" s="4">
        <v>43831</v>
      </c>
      <c r="C4" s="3">
        <v>5061.6099999999997</v>
      </c>
      <c r="D4" s="3">
        <v>4809.29</v>
      </c>
      <c r="E4" s="5">
        <f>( (C4-D4)/C3 -1)</f>
        <v>-0.72238970183738616</v>
      </c>
      <c r="F4" s="3">
        <v>1220.07</v>
      </c>
      <c r="I4" s="3">
        <v>125984.25</v>
      </c>
      <c r="J4" s="3">
        <v>-1958.12</v>
      </c>
      <c r="K4" s="5">
        <f>((I4+J4)/I3) -1</f>
        <v>0.64261445418680418</v>
      </c>
      <c r="N4" s="3">
        <v>169551.84</v>
      </c>
      <c r="P4" s="3">
        <f>C4 + I4 + N4</f>
        <v>300597.7</v>
      </c>
      <c r="Q4" s="5">
        <f>P4/P3 -1</f>
        <v>0.49581658302022213</v>
      </c>
    </row>
    <row r="5" spans="1:17">
      <c r="A5" s="6">
        <v>43862</v>
      </c>
      <c r="C5" s="1">
        <v>5426.25</v>
      </c>
      <c r="E5" s="7">
        <f>( C5/C4 -1)</f>
        <v>7.2040319186978063E-2</v>
      </c>
      <c r="F5" s="1">
        <v>247.32</v>
      </c>
      <c r="G5" s="7">
        <f t="shared" ref="G5:G16" si="1">(F5/C5)</f>
        <v>4.557843814789219E-2</v>
      </c>
      <c r="I5" s="1">
        <v>134572.65</v>
      </c>
      <c r="J5" s="1"/>
      <c r="K5" s="7">
        <f t="shared" ref="K5:K16" si="2">( I5/I4 -1)</f>
        <v>6.817042606516277E-2</v>
      </c>
      <c r="N5" s="1">
        <v>185240.76</v>
      </c>
      <c r="P5" s="1">
        <f t="shared" si="0"/>
        <v>325239.66000000003</v>
      </c>
      <c r="Q5" s="7">
        <f t="shared" ref="Q5:Q16" si="3">( P5/P4 -1)</f>
        <v>8.1976542069350566E-2</v>
      </c>
    </row>
    <row r="6" spans="1:17">
      <c r="A6" s="6">
        <v>43891</v>
      </c>
      <c r="C6" s="1">
        <v>5158.9799999999996</v>
      </c>
      <c r="D6" s="1">
        <v>694.65</v>
      </c>
      <c r="E6" s="7">
        <f>( C6/C5 -1)</f>
        <v>-4.9255010366275109E-2</v>
      </c>
      <c r="F6" s="1">
        <v>498.44</v>
      </c>
      <c r="G6" s="7">
        <f t="shared" si="1"/>
        <v>9.6615997735986572E-2</v>
      </c>
      <c r="I6" s="1">
        <v>129139.52</v>
      </c>
      <c r="J6" s="1"/>
      <c r="K6" s="7">
        <f t="shared" si="2"/>
        <v>-4.037321104994207E-2</v>
      </c>
      <c r="N6" s="1">
        <v>181025.3</v>
      </c>
      <c r="P6" s="1">
        <f t="shared" si="0"/>
        <v>315323.8</v>
      </c>
      <c r="Q6" s="7">
        <f t="shared" si="3"/>
        <v>-3.0487856247297884E-2</v>
      </c>
    </row>
    <row r="7" spans="1:17">
      <c r="A7" s="6">
        <v>43922</v>
      </c>
      <c r="C7" s="1">
        <v>48124.98</v>
      </c>
      <c r="D7" s="1">
        <v>50000</v>
      </c>
      <c r="E7" s="7">
        <f>( (C7-D7)/C6 -1)</f>
        <v>-1.3634478133274401</v>
      </c>
      <c r="F7" s="1">
        <v>755.43</v>
      </c>
      <c r="G7" s="7">
        <f t="shared" si="1"/>
        <v>1.5697253276780579E-2</v>
      </c>
      <c r="I7" s="1">
        <v>125883.12</v>
      </c>
      <c r="J7" s="1"/>
      <c r="K7" s="7">
        <f t="shared" si="2"/>
        <v>-2.5216138328530313E-2</v>
      </c>
      <c r="N7" s="1">
        <v>173532.34</v>
      </c>
      <c r="P7" s="1">
        <f>C7 + I7 + N7 - D7</f>
        <v>297540.44</v>
      </c>
      <c r="Q7" s="7">
        <f t="shared" si="3"/>
        <v>-5.639713843357208E-2</v>
      </c>
    </row>
    <row r="8" spans="1:17">
      <c r="A8" s="6">
        <v>43952</v>
      </c>
      <c r="C8" s="1">
        <v>35700.639999999999</v>
      </c>
      <c r="D8" s="1">
        <v>-20000</v>
      </c>
      <c r="E8" s="7">
        <f>( (C8-30000)/C6 -1)</f>
        <v>0.10499362277039248</v>
      </c>
      <c r="F8" s="1">
        <v>1404.98</v>
      </c>
      <c r="G8" s="7">
        <f t="shared" si="1"/>
        <v>3.9354476558403434E-2</v>
      </c>
      <c r="I8" s="1">
        <v>143735.93</v>
      </c>
      <c r="J8" s="1"/>
      <c r="K8" s="7">
        <f t="shared" si="2"/>
        <v>0.14182052367307074</v>
      </c>
      <c r="N8" s="1">
        <v>191007.52</v>
      </c>
      <c r="P8" s="1">
        <f>C8 + I8 + N8 - 30000</f>
        <v>340444.08999999997</v>
      </c>
      <c r="Q8" s="7">
        <f t="shared" si="3"/>
        <v>0.14419434884212712</v>
      </c>
    </row>
    <row r="9" spans="1:17">
      <c r="A9" s="6">
        <v>43983</v>
      </c>
      <c r="C9" s="1">
        <v>17517.75</v>
      </c>
      <c r="D9" s="1">
        <v>-25000</v>
      </c>
      <c r="E9" s="7">
        <f>( (C9-10000)/(C8-30000) -1)</f>
        <v>0.31875543798591055</v>
      </c>
      <c r="F9" s="1">
        <v>1326.39</v>
      </c>
      <c r="G9" s="7">
        <f t="shared" si="1"/>
        <v>7.5716915699790222E-2</v>
      </c>
      <c r="I9" s="1">
        <v>158520.67000000001</v>
      </c>
      <c r="J9" s="1"/>
      <c r="K9" s="7">
        <f t="shared" si="2"/>
        <v>0.10286043301768744</v>
      </c>
      <c r="N9" s="1">
        <v>199440.12</v>
      </c>
      <c r="P9" s="1">
        <f>C9 + I9 + N9 - 10000</f>
        <v>365478.54000000004</v>
      </c>
      <c r="Q9" s="7">
        <f t="shared" si="3"/>
        <v>7.3534688177433472E-2</v>
      </c>
    </row>
    <row r="10" spans="1:17">
      <c r="A10" s="6">
        <v>44013</v>
      </c>
      <c r="C10" s="1">
        <v>14421.92</v>
      </c>
      <c r="D10" s="1">
        <v>831.27</v>
      </c>
      <c r="E10" s="7">
        <f>( (C10-5000)/(C9-10000) -1)</f>
        <v>0.25328988061587587</v>
      </c>
      <c r="F10" s="1">
        <v>647.08000000000004</v>
      </c>
      <c r="G10" s="7">
        <f t="shared" si="1"/>
        <v>4.4867812330119709E-2</v>
      </c>
      <c r="I10" s="1">
        <v>150711.76999999999</v>
      </c>
      <c r="J10" s="1"/>
      <c r="K10" s="7">
        <f t="shared" si="2"/>
        <v>-4.9261083743842526E-2</v>
      </c>
      <c r="N10" s="1">
        <v>204539.05</v>
      </c>
      <c r="P10" s="1">
        <f>C10 + I10 + N10 - 5000</f>
        <v>364672.74</v>
      </c>
      <c r="Q10" s="7">
        <f t="shared" si="3"/>
        <v>-2.2047806144789295E-3</v>
      </c>
    </row>
    <row r="11" spans="1:17">
      <c r="A11" s="6">
        <v>44044</v>
      </c>
      <c r="C11" s="1">
        <v>10467.18</v>
      </c>
      <c r="D11" s="1">
        <v>-5000</v>
      </c>
      <c r="E11" s="7">
        <f>( C11/(C10-5000) -1)</f>
        <v>0.11093917163380707</v>
      </c>
      <c r="F11" s="1">
        <v>580.47</v>
      </c>
      <c r="G11" s="7">
        <f t="shared" si="1"/>
        <v>5.5456197371211734E-2</v>
      </c>
      <c r="I11" s="1">
        <v>120231.87</v>
      </c>
      <c r="J11" s="1"/>
      <c r="K11" s="7">
        <f t="shared" si="2"/>
        <v>-0.20223967909075713</v>
      </c>
      <c r="N11" s="1">
        <v>206260.36</v>
      </c>
      <c r="P11" s="1">
        <f t="shared" si="0"/>
        <v>336959.41</v>
      </c>
      <c r="Q11" s="7">
        <f t="shared" si="3"/>
        <v>-7.5995068893825235E-2</v>
      </c>
    </row>
    <row r="12" spans="1:17">
      <c r="A12" s="6">
        <v>44075</v>
      </c>
      <c r="C12" s="1">
        <v>11227.3</v>
      </c>
      <c r="E12" s="7">
        <f>( C12/C11 -1)</f>
        <v>7.2619368349450264E-2</v>
      </c>
      <c r="F12" s="1">
        <v>452.09</v>
      </c>
      <c r="G12" s="7">
        <f t="shared" si="1"/>
        <v>4.0267027691430708E-2</v>
      </c>
      <c r="I12" s="1">
        <v>138431.15</v>
      </c>
      <c r="J12" s="1"/>
      <c r="K12" s="7">
        <f t="shared" si="2"/>
        <v>0.1513681854902531</v>
      </c>
      <c r="N12" s="1">
        <v>219233.2</v>
      </c>
      <c r="P12" s="1">
        <f t="shared" si="0"/>
        <v>368891.65</v>
      </c>
      <c r="Q12" s="7">
        <f t="shared" si="3"/>
        <v>9.47658354458778E-2</v>
      </c>
    </row>
    <row r="13" spans="1:17">
      <c r="A13" s="6">
        <v>44105</v>
      </c>
      <c r="C13" s="1">
        <v>11966.12</v>
      </c>
      <c r="D13" s="1">
        <v>831.27</v>
      </c>
      <c r="E13" s="7">
        <f>( (C13-D13)/C12 -1)</f>
        <v>-8.2343929528915227E-3</v>
      </c>
      <c r="F13" s="1">
        <v>276.24</v>
      </c>
      <c r="G13" s="7">
        <f t="shared" si="1"/>
        <v>2.3085177150153933E-2</v>
      </c>
      <c r="I13" s="1">
        <v>140688.26</v>
      </c>
      <c r="J13" s="1"/>
      <c r="K13" s="7">
        <f t="shared" si="2"/>
        <v>1.6304928478886538E-2</v>
      </c>
      <c r="N13" s="1">
        <v>218834.72</v>
      </c>
      <c r="P13" s="1">
        <f t="shared" si="0"/>
        <v>371489.1</v>
      </c>
      <c r="Q13" s="7">
        <f t="shared" si="3"/>
        <v>7.0412274173188294E-3</v>
      </c>
    </row>
    <row r="14" spans="1:17">
      <c r="A14" s="6">
        <v>44136</v>
      </c>
      <c r="C14" s="1">
        <v>11733.44</v>
      </c>
      <c r="E14" s="7">
        <f>( (C14-D14)/C13 -1)</f>
        <v>-1.9444899432731755E-2</v>
      </c>
      <c r="F14" s="1">
        <v>505.48</v>
      </c>
      <c r="G14" s="7">
        <f t="shared" si="1"/>
        <v>4.3080290179180192E-2</v>
      </c>
      <c r="I14" s="1">
        <v>120308.76</v>
      </c>
      <c r="J14" s="1"/>
      <c r="K14" s="7">
        <f t="shared" si="2"/>
        <v>-0.14485572570163296</v>
      </c>
      <c r="N14" s="1">
        <v>212972.44</v>
      </c>
      <c r="P14" s="1">
        <f t="shared" si="0"/>
        <v>345014.64</v>
      </c>
      <c r="Q14" s="7">
        <f t="shared" si="3"/>
        <v>-7.1265778726751217E-2</v>
      </c>
    </row>
    <row r="15" spans="1:17">
      <c r="A15" s="6">
        <v>44166</v>
      </c>
      <c r="C15" s="1">
        <v>13399.22</v>
      </c>
      <c r="E15" s="7">
        <f>( C15/C14 -1)</f>
        <v>0.14196859574003873</v>
      </c>
      <c r="F15" s="1">
        <v>523.05999999999995</v>
      </c>
      <c r="G15" s="7">
        <f t="shared" si="1"/>
        <v>3.9036600637947581E-2</v>
      </c>
      <c r="I15" s="1">
        <v>131366.95000000001</v>
      </c>
      <c r="J15" s="1"/>
      <c r="K15" s="7">
        <f t="shared" si="2"/>
        <v>9.1915085817525055E-2</v>
      </c>
      <c r="N15" s="1">
        <v>234289.1</v>
      </c>
      <c r="P15" s="1">
        <f t="shared" si="0"/>
        <v>379055.27</v>
      </c>
      <c r="Q15" s="7">
        <f t="shared" si="3"/>
        <v>9.8664305955248777E-2</v>
      </c>
    </row>
    <row r="16" spans="1:17">
      <c r="A16" s="6">
        <v>44197</v>
      </c>
      <c r="C16" s="1">
        <v>15011.69</v>
      </c>
      <c r="D16" s="1">
        <v>896.61</v>
      </c>
      <c r="E16" s="7">
        <f>( (C16-D16)/C15 -1)</f>
        <v>5.3425497902116703E-2</v>
      </c>
      <c r="F16" s="1">
        <v>814.96</v>
      </c>
      <c r="G16" s="7">
        <f t="shared" si="1"/>
        <v>5.4288357939712317E-2</v>
      </c>
      <c r="I16" s="1">
        <v>135360.94</v>
      </c>
      <c r="J16" s="1"/>
      <c r="K16" s="7">
        <f t="shared" si="2"/>
        <v>3.0403309203722806E-2</v>
      </c>
      <c r="N16" s="1">
        <v>241561.18</v>
      </c>
      <c r="P16" s="1">
        <f t="shared" si="0"/>
        <v>391933.81</v>
      </c>
      <c r="Q16" s="7">
        <f t="shared" si="3"/>
        <v>3.3975361957109707E-2</v>
      </c>
    </row>
    <row r="17" spans="3:17">
      <c r="C17" s="1"/>
      <c r="E17" s="7"/>
      <c r="I17" s="1"/>
      <c r="J17" s="1"/>
      <c r="K17" s="7"/>
    </row>
    <row r="18" spans="3:17">
      <c r="C18" s="1"/>
      <c r="E18" s="7"/>
      <c r="I18" s="1"/>
      <c r="J18" s="1"/>
      <c r="K18" s="7"/>
    </row>
    <row r="19" spans="3:17">
      <c r="C19" s="1">
        <f>SUM(-C4,C16)</f>
        <v>9950.0800000000017</v>
      </c>
      <c r="D19" s="1">
        <f>SUM(D5:D17)</f>
        <v>3253.800000000002</v>
      </c>
      <c r="E19" s="7">
        <f>( (C16-D19)/C4 -1)</f>
        <v>1.3229545539857872</v>
      </c>
      <c r="F19" s="1">
        <f>SUM(F5:F17)</f>
        <v>8031.94</v>
      </c>
      <c r="G19" s="7">
        <f>(F19/(C16-C4))</f>
        <v>0.80722366051328209</v>
      </c>
      <c r="I19" s="1">
        <f>SUM(-I4,I16)</f>
        <v>9376.6900000000023</v>
      </c>
      <c r="J19" s="1">
        <f>SUM(J5:J17)</f>
        <v>0</v>
      </c>
      <c r="K19" s="7">
        <f>(I16/I4 -1)</f>
        <v>7.4427478037929262E-2</v>
      </c>
      <c r="N19" s="1">
        <f>(N16- N4)</f>
        <v>72009.34</v>
      </c>
      <c r="P19" s="1">
        <f>(P16 - P4)</f>
        <v>91336.109999999986</v>
      </c>
      <c r="Q19" s="7">
        <f>P16/P4 -1</f>
        <v>0.30384833283820867</v>
      </c>
    </row>
    <row r="20" spans="3:17">
      <c r="E20" s="7"/>
      <c r="I20" s="1"/>
      <c r="J20" s="1"/>
      <c r="K20" s="7"/>
      <c r="P20" s="1"/>
      <c r="Q20" s="7"/>
    </row>
    <row r="21" spans="3:17">
      <c r="C21" s="1">
        <f>SUM(-C3,C16)</f>
        <v>14102.79</v>
      </c>
      <c r="D21" s="1">
        <f>SUM(D4:D18)</f>
        <v>8063.0900000000029</v>
      </c>
      <c r="E21" s="7">
        <f>( (C16-D21)/C3 -1)</f>
        <v>6.6450654637473843</v>
      </c>
      <c r="F21" s="1">
        <f>SUM(F4:F18)</f>
        <v>9252.0099999999984</v>
      </c>
      <c r="G21" s="7">
        <f>(F21/(C16-C3))</f>
        <v>0.65604110959604434</v>
      </c>
      <c r="I21" s="1">
        <f>SUM(-I3,I16)</f>
        <v>59855.619999999995</v>
      </c>
      <c r="J21" s="1">
        <f>SUM(J4:J18)</f>
        <v>-1958.12</v>
      </c>
      <c r="K21" s="7">
        <f>(I16/I3 -1)</f>
        <v>0.79273381001497634</v>
      </c>
      <c r="N21" s="1">
        <f>(N16- N3)</f>
        <v>117016.46999999999</v>
      </c>
      <c r="P21" s="1">
        <f>(P16 - P3)</f>
        <v>190974.88</v>
      </c>
      <c r="Q21" s="7">
        <f>P16/P3 -1</f>
        <v>0.95031795800266261</v>
      </c>
    </row>
    <row r="22" spans="3:17">
      <c r="E22" s="7">
        <f>(C16/C3 -1)</f>
        <v>15.516327428760039</v>
      </c>
      <c r="I22" s="1"/>
      <c r="J22" s="1"/>
      <c r="K22" s="7"/>
    </row>
    <row r="23" spans="3:17">
      <c r="E23" s="7"/>
      <c r="I23" s="1"/>
      <c r="J23" s="1"/>
      <c r="K23" s="7"/>
    </row>
    <row r="24" spans="3:17">
      <c r="E24" s="7"/>
      <c r="G24" s="7">
        <f>AVERAGE(G5:G16)</f>
        <v>4.7753712059884094E-2</v>
      </c>
      <c r="I24" s="1"/>
      <c r="J24" s="1"/>
      <c r="K24" s="7">
        <f>AVERAGE(K5:K16)</f>
        <v>1.1741421152633621E-2</v>
      </c>
      <c r="Q24" s="7">
        <f>AVERAGE(Q5:Q16)</f>
        <v>2.4816807245711742E-2</v>
      </c>
    </row>
    <row r="25" spans="3:17">
      <c r="E25" s="7"/>
      <c r="I25" s="1"/>
      <c r="J25" s="1"/>
      <c r="K25" s="7"/>
    </row>
    <row r="26" spans="3:17">
      <c r="E26" s="7"/>
      <c r="I26" s="1"/>
      <c r="J26" s="1"/>
      <c r="K26" s="7"/>
    </row>
    <row r="27" spans="3:17">
      <c r="E27" s="7"/>
      <c r="I27" s="1"/>
      <c r="J27" s="1"/>
      <c r="K27" s="7"/>
    </row>
    <row r="28" spans="3:17">
      <c r="E28" s="7"/>
      <c r="I28" s="1"/>
      <c r="J28" s="1"/>
      <c r="K28" s="7"/>
    </row>
    <row r="29" spans="3:17">
      <c r="E29" s="7"/>
      <c r="I29" s="1"/>
      <c r="J29" s="1"/>
      <c r="K29" s="7"/>
    </row>
    <row r="30" spans="3:17">
      <c r="E30" s="7"/>
      <c r="I30" s="1"/>
      <c r="J30" s="1"/>
      <c r="K30" s="7"/>
    </row>
    <row r="31" spans="3:17">
      <c r="E31" s="7"/>
      <c r="I31" s="1"/>
      <c r="J31" s="1"/>
    </row>
    <row r="32" spans="3:17">
      <c r="E32" s="7"/>
      <c r="I32" s="1"/>
      <c r="J32" s="1"/>
    </row>
    <row r="33" spans="5:10">
      <c r="E33" s="7"/>
      <c r="J33" s="1"/>
    </row>
    <row r="34" spans="5:10">
      <c r="E34" s="7"/>
      <c r="J34" s="1"/>
    </row>
    <row r="35" spans="5:10">
      <c r="E35" s="7"/>
      <c r="J35" s="1"/>
    </row>
    <row r="36" spans="5:10">
      <c r="E36" s="7"/>
    </row>
    <row r="37" spans="5:10">
      <c r="E37" s="7"/>
    </row>
    <row r="38" spans="5:10">
      <c r="E38" s="7"/>
    </row>
    <row r="39" spans="5:10">
      <c r="E39" s="7"/>
    </row>
    <row r="40" spans="5:10">
      <c r="E40"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DAB04-695B-47DD-ABEA-2DA5E22A3B80}">
  <dimension ref="A2:U41"/>
  <sheetViews>
    <sheetView topLeftCell="D1" workbookViewId="0">
      <selection activeCell="M14" sqref="M14:O20"/>
    </sheetView>
  </sheetViews>
  <sheetFormatPr defaultRowHeight="15"/>
  <cols>
    <col min="1" max="1" width="9.7109375" bestFit="1" customWidth="1"/>
    <col min="3" max="3" width="10.140625" bestFit="1" customWidth="1"/>
    <col min="4" max="4" width="10.140625" style="1" bestFit="1" customWidth="1"/>
    <col min="5" max="5" width="9.140625" bestFit="1" customWidth="1"/>
    <col min="6" max="6" width="10.140625" style="1" bestFit="1" customWidth="1"/>
    <col min="7" max="7" width="7.85546875" bestFit="1" customWidth="1"/>
    <col min="9" max="9" width="11.140625" bestFit="1" customWidth="1"/>
    <col min="10" max="10" width="9.85546875" bestFit="1" customWidth="1"/>
    <col min="11" max="11" width="8.140625" bestFit="1" customWidth="1"/>
    <col min="13" max="14" width="11.140625" bestFit="1" customWidth="1"/>
    <col min="15" max="15" width="6.85546875" bestFit="1" customWidth="1"/>
    <col min="17" max="17" width="11.140625" style="1" bestFit="1" customWidth="1"/>
    <col min="18" max="18" width="8.140625" style="1" bestFit="1" customWidth="1"/>
    <col min="20" max="20" width="11.140625" bestFit="1" customWidth="1"/>
    <col min="21" max="21" width="8.140625" bestFit="1" customWidth="1"/>
    <col min="22" max="22" width="11.140625" bestFit="1" customWidth="1"/>
    <col min="259" max="259" width="11.140625" bestFit="1" customWidth="1"/>
    <col min="260" max="260" width="10.7109375" bestFit="1" customWidth="1"/>
    <col min="261" max="261" width="11.85546875" bestFit="1" customWidth="1"/>
    <col min="262" max="262" width="11.85546875" customWidth="1"/>
    <col min="263" max="263" width="9.7109375" bestFit="1" customWidth="1"/>
    <col min="265" max="265" width="12.7109375" bestFit="1" customWidth="1"/>
    <col min="266" max="266" width="9.7109375" bestFit="1" customWidth="1"/>
    <col min="269" max="270" width="11.140625" bestFit="1" customWidth="1"/>
    <col min="271" max="271" width="13.42578125" bestFit="1" customWidth="1"/>
    <col min="273" max="274" width="11.7109375" customWidth="1"/>
    <col min="276" max="276" width="15.85546875" customWidth="1"/>
    <col min="278" max="278" width="11.140625" bestFit="1" customWidth="1"/>
    <col min="515" max="515" width="11.140625" bestFit="1" customWidth="1"/>
    <col min="516" max="516" width="10.7109375" bestFit="1" customWidth="1"/>
    <col min="517" max="517" width="11.85546875" bestFit="1" customWidth="1"/>
    <col min="518" max="518" width="11.85546875" customWidth="1"/>
    <col min="519" max="519" width="9.7109375" bestFit="1" customWidth="1"/>
    <col min="521" max="521" width="12.7109375" bestFit="1" customWidth="1"/>
    <col min="522" max="522" width="9.7109375" bestFit="1" customWidth="1"/>
    <col min="525" max="526" width="11.140625" bestFit="1" customWidth="1"/>
    <col min="527" max="527" width="13.42578125" bestFit="1" customWidth="1"/>
    <col min="529" max="530" width="11.7109375" customWidth="1"/>
    <col min="532" max="532" width="15.85546875" customWidth="1"/>
    <col min="534" max="534" width="11.140625" bestFit="1" customWidth="1"/>
    <col min="771" max="771" width="11.140625" bestFit="1" customWidth="1"/>
    <col min="772" max="772" width="10.7109375" bestFit="1" customWidth="1"/>
    <col min="773" max="773" width="11.85546875" bestFit="1" customWidth="1"/>
    <col min="774" max="774" width="11.85546875" customWidth="1"/>
    <col min="775" max="775" width="9.7109375" bestFit="1" customWidth="1"/>
    <col min="777" max="777" width="12.7109375" bestFit="1" customWidth="1"/>
    <col min="778" max="778" width="9.7109375" bestFit="1" customWidth="1"/>
    <col min="781" max="782" width="11.140625" bestFit="1" customWidth="1"/>
    <col min="783" max="783" width="13.42578125" bestFit="1" customWidth="1"/>
    <col min="785" max="786" width="11.7109375" customWidth="1"/>
    <col min="788" max="788" width="15.85546875" customWidth="1"/>
    <col min="790" max="790" width="11.140625" bestFit="1" customWidth="1"/>
    <col min="1027" max="1027" width="11.140625" bestFit="1" customWidth="1"/>
    <col min="1028" max="1028" width="10.7109375" bestFit="1" customWidth="1"/>
    <col min="1029" max="1029" width="11.85546875" bestFit="1" customWidth="1"/>
    <col min="1030" max="1030" width="11.85546875" customWidth="1"/>
    <col min="1031" max="1031" width="9.7109375" bestFit="1" customWidth="1"/>
    <col min="1033" max="1033" width="12.7109375" bestFit="1" customWidth="1"/>
    <col min="1034" max="1034" width="9.7109375" bestFit="1" customWidth="1"/>
    <col min="1037" max="1038" width="11.140625" bestFit="1" customWidth="1"/>
    <col min="1039" max="1039" width="13.42578125" bestFit="1" customWidth="1"/>
    <col min="1041" max="1042" width="11.7109375" customWidth="1"/>
    <col min="1044" max="1044" width="15.85546875" customWidth="1"/>
    <col min="1046" max="1046" width="11.140625" bestFit="1" customWidth="1"/>
    <col min="1283" max="1283" width="11.140625" bestFit="1" customWidth="1"/>
    <col min="1284" max="1284" width="10.7109375" bestFit="1" customWidth="1"/>
    <col min="1285" max="1285" width="11.85546875" bestFit="1" customWidth="1"/>
    <col min="1286" max="1286" width="11.85546875" customWidth="1"/>
    <col min="1287" max="1287" width="9.7109375" bestFit="1" customWidth="1"/>
    <col min="1289" max="1289" width="12.7109375" bestFit="1" customWidth="1"/>
    <col min="1290" max="1290" width="9.7109375" bestFit="1" customWidth="1"/>
    <col min="1293" max="1294" width="11.140625" bestFit="1" customWidth="1"/>
    <col min="1295" max="1295" width="13.42578125" bestFit="1" customWidth="1"/>
    <col min="1297" max="1298" width="11.7109375" customWidth="1"/>
    <col min="1300" max="1300" width="15.85546875" customWidth="1"/>
    <col min="1302" max="1302" width="11.140625" bestFit="1" customWidth="1"/>
    <col min="1539" max="1539" width="11.140625" bestFit="1" customWidth="1"/>
    <col min="1540" max="1540" width="10.7109375" bestFit="1" customWidth="1"/>
    <col min="1541" max="1541" width="11.85546875" bestFit="1" customWidth="1"/>
    <col min="1542" max="1542" width="11.85546875" customWidth="1"/>
    <col min="1543" max="1543" width="9.7109375" bestFit="1" customWidth="1"/>
    <col min="1545" max="1545" width="12.7109375" bestFit="1" customWidth="1"/>
    <col min="1546" max="1546" width="9.7109375" bestFit="1" customWidth="1"/>
    <col min="1549" max="1550" width="11.140625" bestFit="1" customWidth="1"/>
    <col min="1551" max="1551" width="13.42578125" bestFit="1" customWidth="1"/>
    <col min="1553" max="1554" width="11.7109375" customWidth="1"/>
    <col min="1556" max="1556" width="15.85546875" customWidth="1"/>
    <col min="1558" max="1558" width="11.140625" bestFit="1" customWidth="1"/>
    <col min="1795" max="1795" width="11.140625" bestFit="1" customWidth="1"/>
    <col min="1796" max="1796" width="10.7109375" bestFit="1" customWidth="1"/>
    <col min="1797" max="1797" width="11.85546875" bestFit="1" customWidth="1"/>
    <col min="1798" max="1798" width="11.85546875" customWidth="1"/>
    <col min="1799" max="1799" width="9.7109375" bestFit="1" customWidth="1"/>
    <col min="1801" max="1801" width="12.7109375" bestFit="1" customWidth="1"/>
    <col min="1802" max="1802" width="9.7109375" bestFit="1" customWidth="1"/>
    <col min="1805" max="1806" width="11.140625" bestFit="1" customWidth="1"/>
    <col min="1807" max="1807" width="13.42578125" bestFit="1" customWidth="1"/>
    <col min="1809" max="1810" width="11.7109375" customWidth="1"/>
    <col min="1812" max="1812" width="15.85546875" customWidth="1"/>
    <col min="1814" max="1814" width="11.140625" bestFit="1" customWidth="1"/>
    <col min="2051" max="2051" width="11.140625" bestFit="1" customWidth="1"/>
    <col min="2052" max="2052" width="10.7109375" bestFit="1" customWidth="1"/>
    <col min="2053" max="2053" width="11.85546875" bestFit="1" customWidth="1"/>
    <col min="2054" max="2054" width="11.85546875" customWidth="1"/>
    <col min="2055" max="2055" width="9.7109375" bestFit="1" customWidth="1"/>
    <col min="2057" max="2057" width="12.7109375" bestFit="1" customWidth="1"/>
    <col min="2058" max="2058" width="9.7109375" bestFit="1" customWidth="1"/>
    <col min="2061" max="2062" width="11.140625" bestFit="1" customWidth="1"/>
    <col min="2063" max="2063" width="13.42578125" bestFit="1" customWidth="1"/>
    <col min="2065" max="2066" width="11.7109375" customWidth="1"/>
    <col min="2068" max="2068" width="15.85546875" customWidth="1"/>
    <col min="2070" max="2070" width="11.140625" bestFit="1" customWidth="1"/>
    <col min="2307" max="2307" width="11.140625" bestFit="1" customWidth="1"/>
    <col min="2308" max="2308" width="10.7109375" bestFit="1" customWidth="1"/>
    <col min="2309" max="2309" width="11.85546875" bestFit="1" customWidth="1"/>
    <col min="2310" max="2310" width="11.85546875" customWidth="1"/>
    <col min="2311" max="2311" width="9.7109375" bestFit="1" customWidth="1"/>
    <col min="2313" max="2313" width="12.7109375" bestFit="1" customWidth="1"/>
    <col min="2314" max="2314" width="9.7109375" bestFit="1" customWidth="1"/>
    <col min="2317" max="2318" width="11.140625" bestFit="1" customWidth="1"/>
    <col min="2319" max="2319" width="13.42578125" bestFit="1" customWidth="1"/>
    <col min="2321" max="2322" width="11.7109375" customWidth="1"/>
    <col min="2324" max="2324" width="15.85546875" customWidth="1"/>
    <col min="2326" max="2326" width="11.140625" bestFit="1" customWidth="1"/>
    <col min="2563" max="2563" width="11.140625" bestFit="1" customWidth="1"/>
    <col min="2564" max="2564" width="10.7109375" bestFit="1" customWidth="1"/>
    <col min="2565" max="2565" width="11.85546875" bestFit="1" customWidth="1"/>
    <col min="2566" max="2566" width="11.85546875" customWidth="1"/>
    <col min="2567" max="2567" width="9.7109375" bestFit="1" customWidth="1"/>
    <col min="2569" max="2569" width="12.7109375" bestFit="1" customWidth="1"/>
    <col min="2570" max="2570" width="9.7109375" bestFit="1" customWidth="1"/>
    <col min="2573" max="2574" width="11.140625" bestFit="1" customWidth="1"/>
    <col min="2575" max="2575" width="13.42578125" bestFit="1" customWidth="1"/>
    <col min="2577" max="2578" width="11.7109375" customWidth="1"/>
    <col min="2580" max="2580" width="15.85546875" customWidth="1"/>
    <col min="2582" max="2582" width="11.140625" bestFit="1" customWidth="1"/>
    <col min="2819" max="2819" width="11.140625" bestFit="1" customWidth="1"/>
    <col min="2820" max="2820" width="10.7109375" bestFit="1" customWidth="1"/>
    <col min="2821" max="2821" width="11.85546875" bestFit="1" customWidth="1"/>
    <col min="2822" max="2822" width="11.85546875" customWidth="1"/>
    <col min="2823" max="2823" width="9.7109375" bestFit="1" customWidth="1"/>
    <col min="2825" max="2825" width="12.7109375" bestFit="1" customWidth="1"/>
    <col min="2826" max="2826" width="9.7109375" bestFit="1" customWidth="1"/>
    <col min="2829" max="2830" width="11.140625" bestFit="1" customWidth="1"/>
    <col min="2831" max="2831" width="13.42578125" bestFit="1" customWidth="1"/>
    <col min="2833" max="2834" width="11.7109375" customWidth="1"/>
    <col min="2836" max="2836" width="15.85546875" customWidth="1"/>
    <col min="2838" max="2838" width="11.140625" bestFit="1" customWidth="1"/>
    <col min="3075" max="3075" width="11.140625" bestFit="1" customWidth="1"/>
    <col min="3076" max="3076" width="10.7109375" bestFit="1" customWidth="1"/>
    <col min="3077" max="3077" width="11.85546875" bestFit="1" customWidth="1"/>
    <col min="3078" max="3078" width="11.85546875" customWidth="1"/>
    <col min="3079" max="3079" width="9.7109375" bestFit="1" customWidth="1"/>
    <col min="3081" max="3081" width="12.7109375" bestFit="1" customWidth="1"/>
    <col min="3082" max="3082" width="9.7109375" bestFit="1" customWidth="1"/>
    <col min="3085" max="3086" width="11.140625" bestFit="1" customWidth="1"/>
    <col min="3087" max="3087" width="13.42578125" bestFit="1" customWidth="1"/>
    <col min="3089" max="3090" width="11.7109375" customWidth="1"/>
    <col min="3092" max="3092" width="15.85546875" customWidth="1"/>
    <col min="3094" max="3094" width="11.140625" bestFit="1" customWidth="1"/>
    <col min="3331" max="3331" width="11.140625" bestFit="1" customWidth="1"/>
    <col min="3332" max="3332" width="10.7109375" bestFit="1" customWidth="1"/>
    <col min="3333" max="3333" width="11.85546875" bestFit="1" customWidth="1"/>
    <col min="3334" max="3334" width="11.85546875" customWidth="1"/>
    <col min="3335" max="3335" width="9.7109375" bestFit="1" customWidth="1"/>
    <col min="3337" max="3337" width="12.7109375" bestFit="1" customWidth="1"/>
    <col min="3338" max="3338" width="9.7109375" bestFit="1" customWidth="1"/>
    <col min="3341" max="3342" width="11.140625" bestFit="1" customWidth="1"/>
    <col min="3343" max="3343" width="13.42578125" bestFit="1" customWidth="1"/>
    <col min="3345" max="3346" width="11.7109375" customWidth="1"/>
    <col min="3348" max="3348" width="15.85546875" customWidth="1"/>
    <col min="3350" max="3350" width="11.140625" bestFit="1" customWidth="1"/>
    <col min="3587" max="3587" width="11.140625" bestFit="1" customWidth="1"/>
    <col min="3588" max="3588" width="10.7109375" bestFit="1" customWidth="1"/>
    <col min="3589" max="3589" width="11.85546875" bestFit="1" customWidth="1"/>
    <col min="3590" max="3590" width="11.85546875" customWidth="1"/>
    <col min="3591" max="3591" width="9.7109375" bestFit="1" customWidth="1"/>
    <col min="3593" max="3593" width="12.7109375" bestFit="1" customWidth="1"/>
    <col min="3594" max="3594" width="9.7109375" bestFit="1" customWidth="1"/>
    <col min="3597" max="3598" width="11.140625" bestFit="1" customWidth="1"/>
    <col min="3599" max="3599" width="13.42578125" bestFit="1" customWidth="1"/>
    <col min="3601" max="3602" width="11.7109375" customWidth="1"/>
    <col min="3604" max="3604" width="15.85546875" customWidth="1"/>
    <col min="3606" max="3606" width="11.140625" bestFit="1" customWidth="1"/>
    <col min="3843" max="3843" width="11.140625" bestFit="1" customWidth="1"/>
    <col min="3844" max="3844" width="10.7109375" bestFit="1" customWidth="1"/>
    <col min="3845" max="3845" width="11.85546875" bestFit="1" customWidth="1"/>
    <col min="3846" max="3846" width="11.85546875" customWidth="1"/>
    <col min="3847" max="3847" width="9.7109375" bestFit="1" customWidth="1"/>
    <col min="3849" max="3849" width="12.7109375" bestFit="1" customWidth="1"/>
    <col min="3850" max="3850" width="9.7109375" bestFit="1" customWidth="1"/>
    <col min="3853" max="3854" width="11.140625" bestFit="1" customWidth="1"/>
    <col min="3855" max="3855" width="13.42578125" bestFit="1" customWidth="1"/>
    <col min="3857" max="3858" width="11.7109375" customWidth="1"/>
    <col min="3860" max="3860" width="15.85546875" customWidth="1"/>
    <col min="3862" max="3862" width="11.140625" bestFit="1" customWidth="1"/>
    <col min="4099" max="4099" width="11.140625" bestFit="1" customWidth="1"/>
    <col min="4100" max="4100" width="10.7109375" bestFit="1" customWidth="1"/>
    <col min="4101" max="4101" width="11.85546875" bestFit="1" customWidth="1"/>
    <col min="4102" max="4102" width="11.85546875" customWidth="1"/>
    <col min="4103" max="4103" width="9.7109375" bestFit="1" customWidth="1"/>
    <col min="4105" max="4105" width="12.7109375" bestFit="1" customWidth="1"/>
    <col min="4106" max="4106" width="9.7109375" bestFit="1" customWidth="1"/>
    <col min="4109" max="4110" width="11.140625" bestFit="1" customWidth="1"/>
    <col min="4111" max="4111" width="13.42578125" bestFit="1" customWidth="1"/>
    <col min="4113" max="4114" width="11.7109375" customWidth="1"/>
    <col min="4116" max="4116" width="15.85546875" customWidth="1"/>
    <col min="4118" max="4118" width="11.140625" bestFit="1" customWidth="1"/>
    <col min="4355" max="4355" width="11.140625" bestFit="1" customWidth="1"/>
    <col min="4356" max="4356" width="10.7109375" bestFit="1" customWidth="1"/>
    <col min="4357" max="4357" width="11.85546875" bestFit="1" customWidth="1"/>
    <col min="4358" max="4358" width="11.85546875" customWidth="1"/>
    <col min="4359" max="4359" width="9.7109375" bestFit="1" customWidth="1"/>
    <col min="4361" max="4361" width="12.7109375" bestFit="1" customWidth="1"/>
    <col min="4362" max="4362" width="9.7109375" bestFit="1" customWidth="1"/>
    <col min="4365" max="4366" width="11.140625" bestFit="1" customWidth="1"/>
    <col min="4367" max="4367" width="13.42578125" bestFit="1" customWidth="1"/>
    <col min="4369" max="4370" width="11.7109375" customWidth="1"/>
    <col min="4372" max="4372" width="15.85546875" customWidth="1"/>
    <col min="4374" max="4374" width="11.140625" bestFit="1" customWidth="1"/>
    <col min="4611" max="4611" width="11.140625" bestFit="1" customWidth="1"/>
    <col min="4612" max="4612" width="10.7109375" bestFit="1" customWidth="1"/>
    <col min="4613" max="4613" width="11.85546875" bestFit="1" customWidth="1"/>
    <col min="4614" max="4614" width="11.85546875" customWidth="1"/>
    <col min="4615" max="4615" width="9.7109375" bestFit="1" customWidth="1"/>
    <col min="4617" max="4617" width="12.7109375" bestFit="1" customWidth="1"/>
    <col min="4618" max="4618" width="9.7109375" bestFit="1" customWidth="1"/>
    <col min="4621" max="4622" width="11.140625" bestFit="1" customWidth="1"/>
    <col min="4623" max="4623" width="13.42578125" bestFit="1" customWidth="1"/>
    <col min="4625" max="4626" width="11.7109375" customWidth="1"/>
    <col min="4628" max="4628" width="15.85546875" customWidth="1"/>
    <col min="4630" max="4630" width="11.140625" bestFit="1" customWidth="1"/>
    <col min="4867" max="4867" width="11.140625" bestFit="1" customWidth="1"/>
    <col min="4868" max="4868" width="10.7109375" bestFit="1" customWidth="1"/>
    <col min="4869" max="4869" width="11.85546875" bestFit="1" customWidth="1"/>
    <col min="4870" max="4870" width="11.85546875" customWidth="1"/>
    <col min="4871" max="4871" width="9.7109375" bestFit="1" customWidth="1"/>
    <col min="4873" max="4873" width="12.7109375" bestFit="1" customWidth="1"/>
    <col min="4874" max="4874" width="9.7109375" bestFit="1" customWidth="1"/>
    <col min="4877" max="4878" width="11.140625" bestFit="1" customWidth="1"/>
    <col min="4879" max="4879" width="13.42578125" bestFit="1" customWidth="1"/>
    <col min="4881" max="4882" width="11.7109375" customWidth="1"/>
    <col min="4884" max="4884" width="15.85546875" customWidth="1"/>
    <col min="4886" max="4886" width="11.140625" bestFit="1" customWidth="1"/>
    <col min="5123" max="5123" width="11.140625" bestFit="1" customWidth="1"/>
    <col min="5124" max="5124" width="10.7109375" bestFit="1" customWidth="1"/>
    <col min="5125" max="5125" width="11.85546875" bestFit="1" customWidth="1"/>
    <col min="5126" max="5126" width="11.85546875" customWidth="1"/>
    <col min="5127" max="5127" width="9.7109375" bestFit="1" customWidth="1"/>
    <col min="5129" max="5129" width="12.7109375" bestFit="1" customWidth="1"/>
    <col min="5130" max="5130" width="9.7109375" bestFit="1" customWidth="1"/>
    <col min="5133" max="5134" width="11.140625" bestFit="1" customWidth="1"/>
    <col min="5135" max="5135" width="13.42578125" bestFit="1" customWidth="1"/>
    <col min="5137" max="5138" width="11.7109375" customWidth="1"/>
    <col min="5140" max="5140" width="15.85546875" customWidth="1"/>
    <col min="5142" max="5142" width="11.140625" bestFit="1" customWidth="1"/>
    <col min="5379" max="5379" width="11.140625" bestFit="1" customWidth="1"/>
    <col min="5380" max="5380" width="10.7109375" bestFit="1" customWidth="1"/>
    <col min="5381" max="5381" width="11.85546875" bestFit="1" customWidth="1"/>
    <col min="5382" max="5382" width="11.85546875" customWidth="1"/>
    <col min="5383" max="5383" width="9.7109375" bestFit="1" customWidth="1"/>
    <col min="5385" max="5385" width="12.7109375" bestFit="1" customWidth="1"/>
    <col min="5386" max="5386" width="9.7109375" bestFit="1" customWidth="1"/>
    <col min="5389" max="5390" width="11.140625" bestFit="1" customWidth="1"/>
    <col min="5391" max="5391" width="13.42578125" bestFit="1" customWidth="1"/>
    <col min="5393" max="5394" width="11.7109375" customWidth="1"/>
    <col min="5396" max="5396" width="15.85546875" customWidth="1"/>
    <col min="5398" max="5398" width="11.140625" bestFit="1" customWidth="1"/>
    <col min="5635" max="5635" width="11.140625" bestFit="1" customWidth="1"/>
    <col min="5636" max="5636" width="10.7109375" bestFit="1" customWidth="1"/>
    <col min="5637" max="5637" width="11.85546875" bestFit="1" customWidth="1"/>
    <col min="5638" max="5638" width="11.85546875" customWidth="1"/>
    <col min="5639" max="5639" width="9.7109375" bestFit="1" customWidth="1"/>
    <col min="5641" max="5641" width="12.7109375" bestFit="1" customWidth="1"/>
    <col min="5642" max="5642" width="9.7109375" bestFit="1" customWidth="1"/>
    <col min="5645" max="5646" width="11.140625" bestFit="1" customWidth="1"/>
    <col min="5647" max="5647" width="13.42578125" bestFit="1" customWidth="1"/>
    <col min="5649" max="5650" width="11.7109375" customWidth="1"/>
    <col min="5652" max="5652" width="15.85546875" customWidth="1"/>
    <col min="5654" max="5654" width="11.140625" bestFit="1" customWidth="1"/>
    <col min="5891" max="5891" width="11.140625" bestFit="1" customWidth="1"/>
    <col min="5892" max="5892" width="10.7109375" bestFit="1" customWidth="1"/>
    <col min="5893" max="5893" width="11.85546875" bestFit="1" customWidth="1"/>
    <col min="5894" max="5894" width="11.85546875" customWidth="1"/>
    <col min="5895" max="5895" width="9.7109375" bestFit="1" customWidth="1"/>
    <col min="5897" max="5897" width="12.7109375" bestFit="1" customWidth="1"/>
    <col min="5898" max="5898" width="9.7109375" bestFit="1" customWidth="1"/>
    <col min="5901" max="5902" width="11.140625" bestFit="1" customWidth="1"/>
    <col min="5903" max="5903" width="13.42578125" bestFit="1" customWidth="1"/>
    <col min="5905" max="5906" width="11.7109375" customWidth="1"/>
    <col min="5908" max="5908" width="15.85546875" customWidth="1"/>
    <col min="5910" max="5910" width="11.140625" bestFit="1" customWidth="1"/>
    <col min="6147" max="6147" width="11.140625" bestFit="1" customWidth="1"/>
    <col min="6148" max="6148" width="10.7109375" bestFit="1" customWidth="1"/>
    <col min="6149" max="6149" width="11.85546875" bestFit="1" customWidth="1"/>
    <col min="6150" max="6150" width="11.85546875" customWidth="1"/>
    <col min="6151" max="6151" width="9.7109375" bestFit="1" customWidth="1"/>
    <col min="6153" max="6153" width="12.7109375" bestFit="1" customWidth="1"/>
    <col min="6154" max="6154" width="9.7109375" bestFit="1" customWidth="1"/>
    <col min="6157" max="6158" width="11.140625" bestFit="1" customWidth="1"/>
    <col min="6159" max="6159" width="13.42578125" bestFit="1" customWidth="1"/>
    <col min="6161" max="6162" width="11.7109375" customWidth="1"/>
    <col min="6164" max="6164" width="15.85546875" customWidth="1"/>
    <col min="6166" max="6166" width="11.140625" bestFit="1" customWidth="1"/>
    <col min="6403" max="6403" width="11.140625" bestFit="1" customWidth="1"/>
    <col min="6404" max="6404" width="10.7109375" bestFit="1" customWidth="1"/>
    <col min="6405" max="6405" width="11.85546875" bestFit="1" customWidth="1"/>
    <col min="6406" max="6406" width="11.85546875" customWidth="1"/>
    <col min="6407" max="6407" width="9.7109375" bestFit="1" customWidth="1"/>
    <col min="6409" max="6409" width="12.7109375" bestFit="1" customWidth="1"/>
    <col min="6410" max="6410" width="9.7109375" bestFit="1" customWidth="1"/>
    <col min="6413" max="6414" width="11.140625" bestFit="1" customWidth="1"/>
    <col min="6415" max="6415" width="13.42578125" bestFit="1" customWidth="1"/>
    <col min="6417" max="6418" width="11.7109375" customWidth="1"/>
    <col min="6420" max="6420" width="15.85546875" customWidth="1"/>
    <col min="6422" max="6422" width="11.140625" bestFit="1" customWidth="1"/>
    <col min="6659" max="6659" width="11.140625" bestFit="1" customWidth="1"/>
    <col min="6660" max="6660" width="10.7109375" bestFit="1" customWidth="1"/>
    <col min="6661" max="6661" width="11.85546875" bestFit="1" customWidth="1"/>
    <col min="6662" max="6662" width="11.85546875" customWidth="1"/>
    <col min="6663" max="6663" width="9.7109375" bestFit="1" customWidth="1"/>
    <col min="6665" max="6665" width="12.7109375" bestFit="1" customWidth="1"/>
    <col min="6666" max="6666" width="9.7109375" bestFit="1" customWidth="1"/>
    <col min="6669" max="6670" width="11.140625" bestFit="1" customWidth="1"/>
    <col min="6671" max="6671" width="13.42578125" bestFit="1" customWidth="1"/>
    <col min="6673" max="6674" width="11.7109375" customWidth="1"/>
    <col min="6676" max="6676" width="15.85546875" customWidth="1"/>
    <col min="6678" max="6678" width="11.140625" bestFit="1" customWidth="1"/>
    <col min="6915" max="6915" width="11.140625" bestFit="1" customWidth="1"/>
    <col min="6916" max="6916" width="10.7109375" bestFit="1" customWidth="1"/>
    <col min="6917" max="6917" width="11.85546875" bestFit="1" customWidth="1"/>
    <col min="6918" max="6918" width="11.85546875" customWidth="1"/>
    <col min="6919" max="6919" width="9.7109375" bestFit="1" customWidth="1"/>
    <col min="6921" max="6921" width="12.7109375" bestFit="1" customWidth="1"/>
    <col min="6922" max="6922" width="9.7109375" bestFit="1" customWidth="1"/>
    <col min="6925" max="6926" width="11.140625" bestFit="1" customWidth="1"/>
    <col min="6927" max="6927" width="13.42578125" bestFit="1" customWidth="1"/>
    <col min="6929" max="6930" width="11.7109375" customWidth="1"/>
    <col min="6932" max="6932" width="15.85546875" customWidth="1"/>
    <col min="6934" max="6934" width="11.140625" bestFit="1" customWidth="1"/>
    <col min="7171" max="7171" width="11.140625" bestFit="1" customWidth="1"/>
    <col min="7172" max="7172" width="10.7109375" bestFit="1" customWidth="1"/>
    <col min="7173" max="7173" width="11.85546875" bestFit="1" customWidth="1"/>
    <col min="7174" max="7174" width="11.85546875" customWidth="1"/>
    <col min="7175" max="7175" width="9.7109375" bestFit="1" customWidth="1"/>
    <col min="7177" max="7177" width="12.7109375" bestFit="1" customWidth="1"/>
    <col min="7178" max="7178" width="9.7109375" bestFit="1" customWidth="1"/>
    <col min="7181" max="7182" width="11.140625" bestFit="1" customWidth="1"/>
    <col min="7183" max="7183" width="13.42578125" bestFit="1" customWidth="1"/>
    <col min="7185" max="7186" width="11.7109375" customWidth="1"/>
    <col min="7188" max="7188" width="15.85546875" customWidth="1"/>
    <col min="7190" max="7190" width="11.140625" bestFit="1" customWidth="1"/>
    <col min="7427" max="7427" width="11.140625" bestFit="1" customWidth="1"/>
    <col min="7428" max="7428" width="10.7109375" bestFit="1" customWidth="1"/>
    <col min="7429" max="7429" width="11.85546875" bestFit="1" customWidth="1"/>
    <col min="7430" max="7430" width="11.85546875" customWidth="1"/>
    <col min="7431" max="7431" width="9.7109375" bestFit="1" customWidth="1"/>
    <col min="7433" max="7433" width="12.7109375" bestFit="1" customWidth="1"/>
    <col min="7434" max="7434" width="9.7109375" bestFit="1" customWidth="1"/>
    <col min="7437" max="7438" width="11.140625" bestFit="1" customWidth="1"/>
    <col min="7439" max="7439" width="13.42578125" bestFit="1" customWidth="1"/>
    <col min="7441" max="7442" width="11.7109375" customWidth="1"/>
    <col min="7444" max="7444" width="15.85546875" customWidth="1"/>
    <col min="7446" max="7446" width="11.140625" bestFit="1" customWidth="1"/>
    <col min="7683" max="7683" width="11.140625" bestFit="1" customWidth="1"/>
    <col min="7684" max="7684" width="10.7109375" bestFit="1" customWidth="1"/>
    <col min="7685" max="7685" width="11.85546875" bestFit="1" customWidth="1"/>
    <col min="7686" max="7686" width="11.85546875" customWidth="1"/>
    <col min="7687" max="7687" width="9.7109375" bestFit="1" customWidth="1"/>
    <col min="7689" max="7689" width="12.7109375" bestFit="1" customWidth="1"/>
    <col min="7690" max="7690" width="9.7109375" bestFit="1" customWidth="1"/>
    <col min="7693" max="7694" width="11.140625" bestFit="1" customWidth="1"/>
    <col min="7695" max="7695" width="13.42578125" bestFit="1" customWidth="1"/>
    <col min="7697" max="7698" width="11.7109375" customWidth="1"/>
    <col min="7700" max="7700" width="15.85546875" customWidth="1"/>
    <col min="7702" max="7702" width="11.140625" bestFit="1" customWidth="1"/>
    <col min="7939" max="7939" width="11.140625" bestFit="1" customWidth="1"/>
    <col min="7940" max="7940" width="10.7109375" bestFit="1" customWidth="1"/>
    <col min="7941" max="7941" width="11.85546875" bestFit="1" customWidth="1"/>
    <col min="7942" max="7942" width="11.85546875" customWidth="1"/>
    <col min="7943" max="7943" width="9.7109375" bestFit="1" customWidth="1"/>
    <col min="7945" max="7945" width="12.7109375" bestFit="1" customWidth="1"/>
    <col min="7946" max="7946" width="9.7109375" bestFit="1" customWidth="1"/>
    <col min="7949" max="7950" width="11.140625" bestFit="1" customWidth="1"/>
    <col min="7951" max="7951" width="13.42578125" bestFit="1" customWidth="1"/>
    <col min="7953" max="7954" width="11.7109375" customWidth="1"/>
    <col min="7956" max="7956" width="15.85546875" customWidth="1"/>
    <col min="7958" max="7958" width="11.140625" bestFit="1" customWidth="1"/>
    <col min="8195" max="8195" width="11.140625" bestFit="1" customWidth="1"/>
    <col min="8196" max="8196" width="10.7109375" bestFit="1" customWidth="1"/>
    <col min="8197" max="8197" width="11.85546875" bestFit="1" customWidth="1"/>
    <col min="8198" max="8198" width="11.85546875" customWidth="1"/>
    <col min="8199" max="8199" width="9.7109375" bestFit="1" customWidth="1"/>
    <col min="8201" max="8201" width="12.7109375" bestFit="1" customWidth="1"/>
    <col min="8202" max="8202" width="9.7109375" bestFit="1" customWidth="1"/>
    <col min="8205" max="8206" width="11.140625" bestFit="1" customWidth="1"/>
    <col min="8207" max="8207" width="13.42578125" bestFit="1" customWidth="1"/>
    <col min="8209" max="8210" width="11.7109375" customWidth="1"/>
    <col min="8212" max="8212" width="15.85546875" customWidth="1"/>
    <col min="8214" max="8214" width="11.140625" bestFit="1" customWidth="1"/>
    <col min="8451" max="8451" width="11.140625" bestFit="1" customWidth="1"/>
    <col min="8452" max="8452" width="10.7109375" bestFit="1" customWidth="1"/>
    <col min="8453" max="8453" width="11.85546875" bestFit="1" customWidth="1"/>
    <col min="8454" max="8454" width="11.85546875" customWidth="1"/>
    <col min="8455" max="8455" width="9.7109375" bestFit="1" customWidth="1"/>
    <col min="8457" max="8457" width="12.7109375" bestFit="1" customWidth="1"/>
    <col min="8458" max="8458" width="9.7109375" bestFit="1" customWidth="1"/>
    <col min="8461" max="8462" width="11.140625" bestFit="1" customWidth="1"/>
    <col min="8463" max="8463" width="13.42578125" bestFit="1" customWidth="1"/>
    <col min="8465" max="8466" width="11.7109375" customWidth="1"/>
    <col min="8468" max="8468" width="15.85546875" customWidth="1"/>
    <col min="8470" max="8470" width="11.140625" bestFit="1" customWidth="1"/>
    <col min="8707" max="8707" width="11.140625" bestFit="1" customWidth="1"/>
    <col min="8708" max="8708" width="10.7109375" bestFit="1" customWidth="1"/>
    <col min="8709" max="8709" width="11.85546875" bestFit="1" customWidth="1"/>
    <col min="8710" max="8710" width="11.85546875" customWidth="1"/>
    <col min="8711" max="8711" width="9.7109375" bestFit="1" customWidth="1"/>
    <col min="8713" max="8713" width="12.7109375" bestFit="1" customWidth="1"/>
    <col min="8714" max="8714" width="9.7109375" bestFit="1" customWidth="1"/>
    <col min="8717" max="8718" width="11.140625" bestFit="1" customWidth="1"/>
    <col min="8719" max="8719" width="13.42578125" bestFit="1" customWidth="1"/>
    <col min="8721" max="8722" width="11.7109375" customWidth="1"/>
    <col min="8724" max="8724" width="15.85546875" customWidth="1"/>
    <col min="8726" max="8726" width="11.140625" bestFit="1" customWidth="1"/>
    <col min="8963" max="8963" width="11.140625" bestFit="1" customWidth="1"/>
    <col min="8964" max="8964" width="10.7109375" bestFit="1" customWidth="1"/>
    <col min="8965" max="8965" width="11.85546875" bestFit="1" customWidth="1"/>
    <col min="8966" max="8966" width="11.85546875" customWidth="1"/>
    <col min="8967" max="8967" width="9.7109375" bestFit="1" customWidth="1"/>
    <col min="8969" max="8969" width="12.7109375" bestFit="1" customWidth="1"/>
    <col min="8970" max="8970" width="9.7109375" bestFit="1" customWidth="1"/>
    <col min="8973" max="8974" width="11.140625" bestFit="1" customWidth="1"/>
    <col min="8975" max="8975" width="13.42578125" bestFit="1" customWidth="1"/>
    <col min="8977" max="8978" width="11.7109375" customWidth="1"/>
    <col min="8980" max="8980" width="15.85546875" customWidth="1"/>
    <col min="8982" max="8982" width="11.140625" bestFit="1" customWidth="1"/>
    <col min="9219" max="9219" width="11.140625" bestFit="1" customWidth="1"/>
    <col min="9220" max="9220" width="10.7109375" bestFit="1" customWidth="1"/>
    <col min="9221" max="9221" width="11.85546875" bestFit="1" customWidth="1"/>
    <col min="9222" max="9222" width="11.85546875" customWidth="1"/>
    <col min="9223" max="9223" width="9.7109375" bestFit="1" customWidth="1"/>
    <col min="9225" max="9225" width="12.7109375" bestFit="1" customWidth="1"/>
    <col min="9226" max="9226" width="9.7109375" bestFit="1" customWidth="1"/>
    <col min="9229" max="9230" width="11.140625" bestFit="1" customWidth="1"/>
    <col min="9231" max="9231" width="13.42578125" bestFit="1" customWidth="1"/>
    <col min="9233" max="9234" width="11.7109375" customWidth="1"/>
    <col min="9236" max="9236" width="15.85546875" customWidth="1"/>
    <col min="9238" max="9238" width="11.140625" bestFit="1" customWidth="1"/>
    <col min="9475" max="9475" width="11.140625" bestFit="1" customWidth="1"/>
    <col min="9476" max="9476" width="10.7109375" bestFit="1" customWidth="1"/>
    <col min="9477" max="9477" width="11.85546875" bestFit="1" customWidth="1"/>
    <col min="9478" max="9478" width="11.85546875" customWidth="1"/>
    <col min="9479" max="9479" width="9.7109375" bestFit="1" customWidth="1"/>
    <col min="9481" max="9481" width="12.7109375" bestFit="1" customWidth="1"/>
    <col min="9482" max="9482" width="9.7109375" bestFit="1" customWidth="1"/>
    <col min="9485" max="9486" width="11.140625" bestFit="1" customWidth="1"/>
    <col min="9487" max="9487" width="13.42578125" bestFit="1" customWidth="1"/>
    <col min="9489" max="9490" width="11.7109375" customWidth="1"/>
    <col min="9492" max="9492" width="15.85546875" customWidth="1"/>
    <col min="9494" max="9494" width="11.140625" bestFit="1" customWidth="1"/>
    <col min="9731" max="9731" width="11.140625" bestFit="1" customWidth="1"/>
    <col min="9732" max="9732" width="10.7109375" bestFit="1" customWidth="1"/>
    <col min="9733" max="9733" width="11.85546875" bestFit="1" customWidth="1"/>
    <col min="9734" max="9734" width="11.85546875" customWidth="1"/>
    <col min="9735" max="9735" width="9.7109375" bestFit="1" customWidth="1"/>
    <col min="9737" max="9737" width="12.7109375" bestFit="1" customWidth="1"/>
    <col min="9738" max="9738" width="9.7109375" bestFit="1" customWidth="1"/>
    <col min="9741" max="9742" width="11.140625" bestFit="1" customWidth="1"/>
    <col min="9743" max="9743" width="13.42578125" bestFit="1" customWidth="1"/>
    <col min="9745" max="9746" width="11.7109375" customWidth="1"/>
    <col min="9748" max="9748" width="15.85546875" customWidth="1"/>
    <col min="9750" max="9750" width="11.140625" bestFit="1" customWidth="1"/>
    <col min="9987" max="9987" width="11.140625" bestFit="1" customWidth="1"/>
    <col min="9988" max="9988" width="10.7109375" bestFit="1" customWidth="1"/>
    <col min="9989" max="9989" width="11.85546875" bestFit="1" customWidth="1"/>
    <col min="9990" max="9990" width="11.85546875" customWidth="1"/>
    <col min="9991" max="9991" width="9.7109375" bestFit="1" customWidth="1"/>
    <col min="9993" max="9993" width="12.7109375" bestFit="1" customWidth="1"/>
    <col min="9994" max="9994" width="9.7109375" bestFit="1" customWidth="1"/>
    <col min="9997" max="9998" width="11.140625" bestFit="1" customWidth="1"/>
    <col min="9999" max="9999" width="13.42578125" bestFit="1" customWidth="1"/>
    <col min="10001" max="10002" width="11.7109375" customWidth="1"/>
    <col min="10004" max="10004" width="15.85546875" customWidth="1"/>
    <col min="10006" max="10006" width="11.140625" bestFit="1" customWidth="1"/>
    <col min="10243" max="10243" width="11.140625" bestFit="1" customWidth="1"/>
    <col min="10244" max="10244" width="10.7109375" bestFit="1" customWidth="1"/>
    <col min="10245" max="10245" width="11.85546875" bestFit="1" customWidth="1"/>
    <col min="10246" max="10246" width="11.85546875" customWidth="1"/>
    <col min="10247" max="10247" width="9.7109375" bestFit="1" customWidth="1"/>
    <col min="10249" max="10249" width="12.7109375" bestFit="1" customWidth="1"/>
    <col min="10250" max="10250" width="9.7109375" bestFit="1" customWidth="1"/>
    <col min="10253" max="10254" width="11.140625" bestFit="1" customWidth="1"/>
    <col min="10255" max="10255" width="13.42578125" bestFit="1" customWidth="1"/>
    <col min="10257" max="10258" width="11.7109375" customWidth="1"/>
    <col min="10260" max="10260" width="15.85546875" customWidth="1"/>
    <col min="10262" max="10262" width="11.140625" bestFit="1" customWidth="1"/>
    <col min="10499" max="10499" width="11.140625" bestFit="1" customWidth="1"/>
    <col min="10500" max="10500" width="10.7109375" bestFit="1" customWidth="1"/>
    <col min="10501" max="10501" width="11.85546875" bestFit="1" customWidth="1"/>
    <col min="10502" max="10502" width="11.85546875" customWidth="1"/>
    <col min="10503" max="10503" width="9.7109375" bestFit="1" customWidth="1"/>
    <col min="10505" max="10505" width="12.7109375" bestFit="1" customWidth="1"/>
    <col min="10506" max="10506" width="9.7109375" bestFit="1" customWidth="1"/>
    <col min="10509" max="10510" width="11.140625" bestFit="1" customWidth="1"/>
    <col min="10511" max="10511" width="13.42578125" bestFit="1" customWidth="1"/>
    <col min="10513" max="10514" width="11.7109375" customWidth="1"/>
    <col min="10516" max="10516" width="15.85546875" customWidth="1"/>
    <col min="10518" max="10518" width="11.140625" bestFit="1" customWidth="1"/>
    <col min="10755" max="10755" width="11.140625" bestFit="1" customWidth="1"/>
    <col min="10756" max="10756" width="10.7109375" bestFit="1" customWidth="1"/>
    <col min="10757" max="10757" width="11.85546875" bestFit="1" customWidth="1"/>
    <col min="10758" max="10758" width="11.85546875" customWidth="1"/>
    <col min="10759" max="10759" width="9.7109375" bestFit="1" customWidth="1"/>
    <col min="10761" max="10761" width="12.7109375" bestFit="1" customWidth="1"/>
    <col min="10762" max="10762" width="9.7109375" bestFit="1" customWidth="1"/>
    <col min="10765" max="10766" width="11.140625" bestFit="1" customWidth="1"/>
    <col min="10767" max="10767" width="13.42578125" bestFit="1" customWidth="1"/>
    <col min="10769" max="10770" width="11.7109375" customWidth="1"/>
    <col min="10772" max="10772" width="15.85546875" customWidth="1"/>
    <col min="10774" max="10774" width="11.140625" bestFit="1" customWidth="1"/>
    <col min="11011" max="11011" width="11.140625" bestFit="1" customWidth="1"/>
    <col min="11012" max="11012" width="10.7109375" bestFit="1" customWidth="1"/>
    <col min="11013" max="11013" width="11.85546875" bestFit="1" customWidth="1"/>
    <col min="11014" max="11014" width="11.85546875" customWidth="1"/>
    <col min="11015" max="11015" width="9.7109375" bestFit="1" customWidth="1"/>
    <col min="11017" max="11017" width="12.7109375" bestFit="1" customWidth="1"/>
    <col min="11018" max="11018" width="9.7109375" bestFit="1" customWidth="1"/>
    <col min="11021" max="11022" width="11.140625" bestFit="1" customWidth="1"/>
    <col min="11023" max="11023" width="13.42578125" bestFit="1" customWidth="1"/>
    <col min="11025" max="11026" width="11.7109375" customWidth="1"/>
    <col min="11028" max="11028" width="15.85546875" customWidth="1"/>
    <col min="11030" max="11030" width="11.140625" bestFit="1" customWidth="1"/>
    <col min="11267" max="11267" width="11.140625" bestFit="1" customWidth="1"/>
    <col min="11268" max="11268" width="10.7109375" bestFit="1" customWidth="1"/>
    <col min="11269" max="11269" width="11.85546875" bestFit="1" customWidth="1"/>
    <col min="11270" max="11270" width="11.85546875" customWidth="1"/>
    <col min="11271" max="11271" width="9.7109375" bestFit="1" customWidth="1"/>
    <col min="11273" max="11273" width="12.7109375" bestFit="1" customWidth="1"/>
    <col min="11274" max="11274" width="9.7109375" bestFit="1" customWidth="1"/>
    <col min="11277" max="11278" width="11.140625" bestFit="1" customWidth="1"/>
    <col min="11279" max="11279" width="13.42578125" bestFit="1" customWidth="1"/>
    <col min="11281" max="11282" width="11.7109375" customWidth="1"/>
    <col min="11284" max="11284" width="15.85546875" customWidth="1"/>
    <col min="11286" max="11286" width="11.140625" bestFit="1" customWidth="1"/>
    <col min="11523" max="11523" width="11.140625" bestFit="1" customWidth="1"/>
    <col min="11524" max="11524" width="10.7109375" bestFit="1" customWidth="1"/>
    <col min="11525" max="11525" width="11.85546875" bestFit="1" customWidth="1"/>
    <col min="11526" max="11526" width="11.85546875" customWidth="1"/>
    <col min="11527" max="11527" width="9.7109375" bestFit="1" customWidth="1"/>
    <col min="11529" max="11529" width="12.7109375" bestFit="1" customWidth="1"/>
    <col min="11530" max="11530" width="9.7109375" bestFit="1" customWidth="1"/>
    <col min="11533" max="11534" width="11.140625" bestFit="1" customWidth="1"/>
    <col min="11535" max="11535" width="13.42578125" bestFit="1" customWidth="1"/>
    <col min="11537" max="11538" width="11.7109375" customWidth="1"/>
    <col min="11540" max="11540" width="15.85546875" customWidth="1"/>
    <col min="11542" max="11542" width="11.140625" bestFit="1" customWidth="1"/>
    <col min="11779" max="11779" width="11.140625" bestFit="1" customWidth="1"/>
    <col min="11780" max="11780" width="10.7109375" bestFit="1" customWidth="1"/>
    <col min="11781" max="11781" width="11.85546875" bestFit="1" customWidth="1"/>
    <col min="11782" max="11782" width="11.85546875" customWidth="1"/>
    <col min="11783" max="11783" width="9.7109375" bestFit="1" customWidth="1"/>
    <col min="11785" max="11785" width="12.7109375" bestFit="1" customWidth="1"/>
    <col min="11786" max="11786" width="9.7109375" bestFit="1" customWidth="1"/>
    <col min="11789" max="11790" width="11.140625" bestFit="1" customWidth="1"/>
    <col min="11791" max="11791" width="13.42578125" bestFit="1" customWidth="1"/>
    <col min="11793" max="11794" width="11.7109375" customWidth="1"/>
    <col min="11796" max="11796" width="15.85546875" customWidth="1"/>
    <col min="11798" max="11798" width="11.140625" bestFit="1" customWidth="1"/>
    <col min="12035" max="12035" width="11.140625" bestFit="1" customWidth="1"/>
    <col min="12036" max="12036" width="10.7109375" bestFit="1" customWidth="1"/>
    <col min="12037" max="12037" width="11.85546875" bestFit="1" customWidth="1"/>
    <col min="12038" max="12038" width="11.85546875" customWidth="1"/>
    <col min="12039" max="12039" width="9.7109375" bestFit="1" customWidth="1"/>
    <col min="12041" max="12041" width="12.7109375" bestFit="1" customWidth="1"/>
    <col min="12042" max="12042" width="9.7109375" bestFit="1" customWidth="1"/>
    <col min="12045" max="12046" width="11.140625" bestFit="1" customWidth="1"/>
    <col min="12047" max="12047" width="13.42578125" bestFit="1" customWidth="1"/>
    <col min="12049" max="12050" width="11.7109375" customWidth="1"/>
    <col min="12052" max="12052" width="15.85546875" customWidth="1"/>
    <col min="12054" max="12054" width="11.140625" bestFit="1" customWidth="1"/>
    <col min="12291" max="12291" width="11.140625" bestFit="1" customWidth="1"/>
    <col min="12292" max="12292" width="10.7109375" bestFit="1" customWidth="1"/>
    <col min="12293" max="12293" width="11.85546875" bestFit="1" customWidth="1"/>
    <col min="12294" max="12294" width="11.85546875" customWidth="1"/>
    <col min="12295" max="12295" width="9.7109375" bestFit="1" customWidth="1"/>
    <col min="12297" max="12297" width="12.7109375" bestFit="1" customWidth="1"/>
    <col min="12298" max="12298" width="9.7109375" bestFit="1" customWidth="1"/>
    <col min="12301" max="12302" width="11.140625" bestFit="1" customWidth="1"/>
    <col min="12303" max="12303" width="13.42578125" bestFit="1" customWidth="1"/>
    <col min="12305" max="12306" width="11.7109375" customWidth="1"/>
    <col min="12308" max="12308" width="15.85546875" customWidth="1"/>
    <col min="12310" max="12310" width="11.140625" bestFit="1" customWidth="1"/>
    <col min="12547" max="12547" width="11.140625" bestFit="1" customWidth="1"/>
    <col min="12548" max="12548" width="10.7109375" bestFit="1" customWidth="1"/>
    <col min="12549" max="12549" width="11.85546875" bestFit="1" customWidth="1"/>
    <col min="12550" max="12550" width="11.85546875" customWidth="1"/>
    <col min="12551" max="12551" width="9.7109375" bestFit="1" customWidth="1"/>
    <col min="12553" max="12553" width="12.7109375" bestFit="1" customWidth="1"/>
    <col min="12554" max="12554" width="9.7109375" bestFit="1" customWidth="1"/>
    <col min="12557" max="12558" width="11.140625" bestFit="1" customWidth="1"/>
    <col min="12559" max="12559" width="13.42578125" bestFit="1" customWidth="1"/>
    <col min="12561" max="12562" width="11.7109375" customWidth="1"/>
    <col min="12564" max="12564" width="15.85546875" customWidth="1"/>
    <col min="12566" max="12566" width="11.140625" bestFit="1" customWidth="1"/>
    <col min="12803" max="12803" width="11.140625" bestFit="1" customWidth="1"/>
    <col min="12804" max="12804" width="10.7109375" bestFit="1" customWidth="1"/>
    <col min="12805" max="12805" width="11.85546875" bestFit="1" customWidth="1"/>
    <col min="12806" max="12806" width="11.85546875" customWidth="1"/>
    <col min="12807" max="12807" width="9.7109375" bestFit="1" customWidth="1"/>
    <col min="12809" max="12809" width="12.7109375" bestFit="1" customWidth="1"/>
    <col min="12810" max="12810" width="9.7109375" bestFit="1" customWidth="1"/>
    <col min="12813" max="12814" width="11.140625" bestFit="1" customWidth="1"/>
    <col min="12815" max="12815" width="13.42578125" bestFit="1" customWidth="1"/>
    <col min="12817" max="12818" width="11.7109375" customWidth="1"/>
    <col min="12820" max="12820" width="15.85546875" customWidth="1"/>
    <col min="12822" max="12822" width="11.140625" bestFit="1" customWidth="1"/>
    <col min="13059" max="13059" width="11.140625" bestFit="1" customWidth="1"/>
    <col min="13060" max="13060" width="10.7109375" bestFit="1" customWidth="1"/>
    <col min="13061" max="13061" width="11.85546875" bestFit="1" customWidth="1"/>
    <col min="13062" max="13062" width="11.85546875" customWidth="1"/>
    <col min="13063" max="13063" width="9.7109375" bestFit="1" customWidth="1"/>
    <col min="13065" max="13065" width="12.7109375" bestFit="1" customWidth="1"/>
    <col min="13066" max="13066" width="9.7109375" bestFit="1" customWidth="1"/>
    <col min="13069" max="13070" width="11.140625" bestFit="1" customWidth="1"/>
    <col min="13071" max="13071" width="13.42578125" bestFit="1" customWidth="1"/>
    <col min="13073" max="13074" width="11.7109375" customWidth="1"/>
    <col min="13076" max="13076" width="15.85546875" customWidth="1"/>
    <col min="13078" max="13078" width="11.140625" bestFit="1" customWidth="1"/>
    <col min="13315" max="13315" width="11.140625" bestFit="1" customWidth="1"/>
    <col min="13316" max="13316" width="10.7109375" bestFit="1" customWidth="1"/>
    <col min="13317" max="13317" width="11.85546875" bestFit="1" customWidth="1"/>
    <col min="13318" max="13318" width="11.85546875" customWidth="1"/>
    <col min="13319" max="13319" width="9.7109375" bestFit="1" customWidth="1"/>
    <col min="13321" max="13321" width="12.7109375" bestFit="1" customWidth="1"/>
    <col min="13322" max="13322" width="9.7109375" bestFit="1" customWidth="1"/>
    <col min="13325" max="13326" width="11.140625" bestFit="1" customWidth="1"/>
    <col min="13327" max="13327" width="13.42578125" bestFit="1" customWidth="1"/>
    <col min="13329" max="13330" width="11.7109375" customWidth="1"/>
    <col min="13332" max="13332" width="15.85546875" customWidth="1"/>
    <col min="13334" max="13334" width="11.140625" bestFit="1" customWidth="1"/>
    <col min="13571" max="13571" width="11.140625" bestFit="1" customWidth="1"/>
    <col min="13572" max="13572" width="10.7109375" bestFit="1" customWidth="1"/>
    <col min="13573" max="13573" width="11.85546875" bestFit="1" customWidth="1"/>
    <col min="13574" max="13574" width="11.85546875" customWidth="1"/>
    <col min="13575" max="13575" width="9.7109375" bestFit="1" customWidth="1"/>
    <col min="13577" max="13577" width="12.7109375" bestFit="1" customWidth="1"/>
    <col min="13578" max="13578" width="9.7109375" bestFit="1" customWidth="1"/>
    <col min="13581" max="13582" width="11.140625" bestFit="1" customWidth="1"/>
    <col min="13583" max="13583" width="13.42578125" bestFit="1" customWidth="1"/>
    <col min="13585" max="13586" width="11.7109375" customWidth="1"/>
    <col min="13588" max="13588" width="15.85546875" customWidth="1"/>
    <col min="13590" max="13590" width="11.140625" bestFit="1" customWidth="1"/>
    <col min="13827" max="13827" width="11.140625" bestFit="1" customWidth="1"/>
    <col min="13828" max="13828" width="10.7109375" bestFit="1" customWidth="1"/>
    <col min="13829" max="13829" width="11.85546875" bestFit="1" customWidth="1"/>
    <col min="13830" max="13830" width="11.85546875" customWidth="1"/>
    <col min="13831" max="13831" width="9.7109375" bestFit="1" customWidth="1"/>
    <col min="13833" max="13833" width="12.7109375" bestFit="1" customWidth="1"/>
    <col min="13834" max="13834" width="9.7109375" bestFit="1" customWidth="1"/>
    <col min="13837" max="13838" width="11.140625" bestFit="1" customWidth="1"/>
    <col min="13839" max="13839" width="13.42578125" bestFit="1" customWidth="1"/>
    <col min="13841" max="13842" width="11.7109375" customWidth="1"/>
    <col min="13844" max="13844" width="15.85546875" customWidth="1"/>
    <col min="13846" max="13846" width="11.140625" bestFit="1" customWidth="1"/>
    <col min="14083" max="14083" width="11.140625" bestFit="1" customWidth="1"/>
    <col min="14084" max="14084" width="10.7109375" bestFit="1" customWidth="1"/>
    <col min="14085" max="14085" width="11.85546875" bestFit="1" customWidth="1"/>
    <col min="14086" max="14086" width="11.85546875" customWidth="1"/>
    <col min="14087" max="14087" width="9.7109375" bestFit="1" customWidth="1"/>
    <col min="14089" max="14089" width="12.7109375" bestFit="1" customWidth="1"/>
    <col min="14090" max="14090" width="9.7109375" bestFit="1" customWidth="1"/>
    <col min="14093" max="14094" width="11.140625" bestFit="1" customWidth="1"/>
    <col min="14095" max="14095" width="13.42578125" bestFit="1" customWidth="1"/>
    <col min="14097" max="14098" width="11.7109375" customWidth="1"/>
    <col min="14100" max="14100" width="15.85546875" customWidth="1"/>
    <col min="14102" max="14102" width="11.140625" bestFit="1" customWidth="1"/>
    <col min="14339" max="14339" width="11.140625" bestFit="1" customWidth="1"/>
    <col min="14340" max="14340" width="10.7109375" bestFit="1" customWidth="1"/>
    <col min="14341" max="14341" width="11.85546875" bestFit="1" customWidth="1"/>
    <col min="14342" max="14342" width="11.85546875" customWidth="1"/>
    <col min="14343" max="14343" width="9.7109375" bestFit="1" customWidth="1"/>
    <col min="14345" max="14345" width="12.7109375" bestFit="1" customWidth="1"/>
    <col min="14346" max="14346" width="9.7109375" bestFit="1" customWidth="1"/>
    <col min="14349" max="14350" width="11.140625" bestFit="1" customWidth="1"/>
    <col min="14351" max="14351" width="13.42578125" bestFit="1" customWidth="1"/>
    <col min="14353" max="14354" width="11.7109375" customWidth="1"/>
    <col min="14356" max="14356" width="15.85546875" customWidth="1"/>
    <col min="14358" max="14358" width="11.140625" bestFit="1" customWidth="1"/>
    <col min="14595" max="14595" width="11.140625" bestFit="1" customWidth="1"/>
    <col min="14596" max="14596" width="10.7109375" bestFit="1" customWidth="1"/>
    <col min="14597" max="14597" width="11.85546875" bestFit="1" customWidth="1"/>
    <col min="14598" max="14598" width="11.85546875" customWidth="1"/>
    <col min="14599" max="14599" width="9.7109375" bestFit="1" customWidth="1"/>
    <col min="14601" max="14601" width="12.7109375" bestFit="1" customWidth="1"/>
    <col min="14602" max="14602" width="9.7109375" bestFit="1" customWidth="1"/>
    <col min="14605" max="14606" width="11.140625" bestFit="1" customWidth="1"/>
    <col min="14607" max="14607" width="13.42578125" bestFit="1" customWidth="1"/>
    <col min="14609" max="14610" width="11.7109375" customWidth="1"/>
    <col min="14612" max="14612" width="15.85546875" customWidth="1"/>
    <col min="14614" max="14614" width="11.140625" bestFit="1" customWidth="1"/>
    <col min="14851" max="14851" width="11.140625" bestFit="1" customWidth="1"/>
    <col min="14852" max="14852" width="10.7109375" bestFit="1" customWidth="1"/>
    <col min="14853" max="14853" width="11.85546875" bestFit="1" customWidth="1"/>
    <col min="14854" max="14854" width="11.85546875" customWidth="1"/>
    <col min="14855" max="14855" width="9.7109375" bestFit="1" customWidth="1"/>
    <col min="14857" max="14857" width="12.7109375" bestFit="1" customWidth="1"/>
    <col min="14858" max="14858" width="9.7109375" bestFit="1" customWidth="1"/>
    <col min="14861" max="14862" width="11.140625" bestFit="1" customWidth="1"/>
    <col min="14863" max="14863" width="13.42578125" bestFit="1" customWidth="1"/>
    <col min="14865" max="14866" width="11.7109375" customWidth="1"/>
    <col min="14868" max="14868" width="15.85546875" customWidth="1"/>
    <col min="14870" max="14870" width="11.140625" bestFit="1" customWidth="1"/>
    <col min="15107" max="15107" width="11.140625" bestFit="1" customWidth="1"/>
    <col min="15108" max="15108" width="10.7109375" bestFit="1" customWidth="1"/>
    <col min="15109" max="15109" width="11.85546875" bestFit="1" customWidth="1"/>
    <col min="15110" max="15110" width="11.85546875" customWidth="1"/>
    <col min="15111" max="15111" width="9.7109375" bestFit="1" customWidth="1"/>
    <col min="15113" max="15113" width="12.7109375" bestFit="1" customWidth="1"/>
    <col min="15114" max="15114" width="9.7109375" bestFit="1" customWidth="1"/>
    <col min="15117" max="15118" width="11.140625" bestFit="1" customWidth="1"/>
    <col min="15119" max="15119" width="13.42578125" bestFit="1" customWidth="1"/>
    <col min="15121" max="15122" width="11.7109375" customWidth="1"/>
    <col min="15124" max="15124" width="15.85546875" customWidth="1"/>
    <col min="15126" max="15126" width="11.140625" bestFit="1" customWidth="1"/>
    <col min="15363" max="15363" width="11.140625" bestFit="1" customWidth="1"/>
    <col min="15364" max="15364" width="10.7109375" bestFit="1" customWidth="1"/>
    <col min="15365" max="15365" width="11.85546875" bestFit="1" customWidth="1"/>
    <col min="15366" max="15366" width="11.85546875" customWidth="1"/>
    <col min="15367" max="15367" width="9.7109375" bestFit="1" customWidth="1"/>
    <col min="15369" max="15369" width="12.7109375" bestFit="1" customWidth="1"/>
    <col min="15370" max="15370" width="9.7109375" bestFit="1" customWidth="1"/>
    <col min="15373" max="15374" width="11.140625" bestFit="1" customWidth="1"/>
    <col min="15375" max="15375" width="13.42578125" bestFit="1" customWidth="1"/>
    <col min="15377" max="15378" width="11.7109375" customWidth="1"/>
    <col min="15380" max="15380" width="15.85546875" customWidth="1"/>
    <col min="15382" max="15382" width="11.140625" bestFit="1" customWidth="1"/>
    <col min="15619" max="15619" width="11.140625" bestFit="1" customWidth="1"/>
    <col min="15620" max="15620" width="10.7109375" bestFit="1" customWidth="1"/>
    <col min="15621" max="15621" width="11.85546875" bestFit="1" customWidth="1"/>
    <col min="15622" max="15622" width="11.85546875" customWidth="1"/>
    <col min="15623" max="15623" width="9.7109375" bestFit="1" customWidth="1"/>
    <col min="15625" max="15625" width="12.7109375" bestFit="1" customWidth="1"/>
    <col min="15626" max="15626" width="9.7109375" bestFit="1" customWidth="1"/>
    <col min="15629" max="15630" width="11.140625" bestFit="1" customWidth="1"/>
    <col min="15631" max="15631" width="13.42578125" bestFit="1" customWidth="1"/>
    <col min="15633" max="15634" width="11.7109375" customWidth="1"/>
    <col min="15636" max="15636" width="15.85546875" customWidth="1"/>
    <col min="15638" max="15638" width="11.140625" bestFit="1" customWidth="1"/>
    <col min="15875" max="15875" width="11.140625" bestFit="1" customWidth="1"/>
    <col min="15876" max="15876" width="10.7109375" bestFit="1" customWidth="1"/>
    <col min="15877" max="15877" width="11.85546875" bestFit="1" customWidth="1"/>
    <col min="15878" max="15878" width="11.85546875" customWidth="1"/>
    <col min="15879" max="15879" width="9.7109375" bestFit="1" customWidth="1"/>
    <col min="15881" max="15881" width="12.7109375" bestFit="1" customWidth="1"/>
    <col min="15882" max="15882" width="9.7109375" bestFit="1" customWidth="1"/>
    <col min="15885" max="15886" width="11.140625" bestFit="1" customWidth="1"/>
    <col min="15887" max="15887" width="13.42578125" bestFit="1" customWidth="1"/>
    <col min="15889" max="15890" width="11.7109375" customWidth="1"/>
    <col min="15892" max="15892" width="15.85546875" customWidth="1"/>
    <col min="15894" max="15894" width="11.140625" bestFit="1" customWidth="1"/>
    <col min="16131" max="16131" width="11.140625" bestFit="1" customWidth="1"/>
    <col min="16132" max="16132" width="10.7109375" bestFit="1" customWidth="1"/>
    <col min="16133" max="16133" width="11.85546875" bestFit="1" customWidth="1"/>
    <col min="16134" max="16134" width="11.85546875" customWidth="1"/>
    <col min="16135" max="16135" width="9.7109375" bestFit="1" customWidth="1"/>
    <col min="16137" max="16137" width="12.7109375" bestFit="1" customWidth="1"/>
    <col min="16138" max="16138" width="9.7109375" bestFit="1" customWidth="1"/>
    <col min="16141" max="16142" width="11.140625" bestFit="1" customWidth="1"/>
    <col min="16143" max="16143" width="13.42578125" bestFit="1" customWidth="1"/>
    <col min="16145" max="16146" width="11.7109375" customWidth="1"/>
    <col min="16148" max="16148" width="15.85546875" customWidth="1"/>
    <col min="16150" max="16150" width="11.140625" bestFit="1" customWidth="1"/>
  </cols>
  <sheetData>
    <row r="2" spans="1:21">
      <c r="C2" t="s">
        <v>0</v>
      </c>
      <c r="E2" t="s">
        <v>1</v>
      </c>
      <c r="I2" t="s">
        <v>36</v>
      </c>
      <c r="K2" t="s">
        <v>1</v>
      </c>
      <c r="M2" t="s">
        <v>3</v>
      </c>
      <c r="O2" t="s">
        <v>1</v>
      </c>
      <c r="Q2" s="1" t="s">
        <v>4</v>
      </c>
      <c r="T2" t="s">
        <v>5</v>
      </c>
    </row>
    <row r="3" spans="1:21" s="2" customFormat="1" ht="12.75">
      <c r="A3" s="2">
        <v>2019</v>
      </c>
      <c r="C3" s="3">
        <v>908.9</v>
      </c>
      <c r="D3" s="3"/>
      <c r="F3" s="3"/>
      <c r="I3" s="3">
        <v>75505.320000000007</v>
      </c>
      <c r="M3" s="3"/>
      <c r="Q3" s="3">
        <v>124544.71</v>
      </c>
      <c r="R3" s="3"/>
      <c r="T3" s="3">
        <f t="shared" ref="T3:T14" si="0">C3 + I3 + Q3</f>
        <v>200958.93</v>
      </c>
    </row>
    <row r="4" spans="1:21" s="2" customFormat="1" ht="12.75">
      <c r="A4" s="4">
        <v>43831</v>
      </c>
      <c r="C4" s="3">
        <v>5061.6099999999997</v>
      </c>
      <c r="D4" s="3">
        <v>4809.29</v>
      </c>
      <c r="E4" s="5">
        <f>( (C4-D4)/C3 -1)</f>
        <v>-0.72238970183738616</v>
      </c>
      <c r="F4" s="3">
        <v>1220.07</v>
      </c>
      <c r="G4" s="5">
        <f>(F4/C4)</f>
        <v>0.24104385758681526</v>
      </c>
      <c r="I4" s="3">
        <v>125984.25</v>
      </c>
      <c r="J4" s="3">
        <v>-1958.12</v>
      </c>
      <c r="K4" s="5">
        <f t="shared" ref="K4:K17" si="1">((I4+J4)/I3) -1</f>
        <v>0.64261445418680418</v>
      </c>
      <c r="L4" s="5"/>
      <c r="M4" s="3"/>
      <c r="N4" s="3"/>
      <c r="O4" s="5"/>
      <c r="P4" s="5"/>
      <c r="Q4" s="3">
        <v>169551.84</v>
      </c>
      <c r="R4" s="5">
        <f t="shared" ref="R4:R17" si="2">Q4/Q3 -1</f>
        <v>0.36137327711470024</v>
      </c>
      <c r="T4" s="3">
        <f t="shared" si="0"/>
        <v>300597.7</v>
      </c>
      <c r="U4" s="5">
        <f t="shared" ref="U4:U14" si="3">T4/T3 -1</f>
        <v>0.49581658302022213</v>
      </c>
    </row>
    <row r="5" spans="1:21" s="2" customFormat="1" ht="12.75">
      <c r="A5" s="4">
        <v>44197</v>
      </c>
      <c r="C5" s="3">
        <v>15011.69</v>
      </c>
      <c r="D5" s="3">
        <v>3253.8</v>
      </c>
      <c r="E5" s="5">
        <f>( (C5-D5)/C4 -1)</f>
        <v>1.3229545539857872</v>
      </c>
      <c r="F5" s="3">
        <v>8031.94</v>
      </c>
      <c r="G5" s="5">
        <f>(F5/C5)</f>
        <v>0.53504568772736438</v>
      </c>
      <c r="I5" s="3">
        <v>135360.94</v>
      </c>
      <c r="J5" s="3"/>
      <c r="K5" s="5">
        <f t="shared" si="1"/>
        <v>7.4427478037929262E-2</v>
      </c>
      <c r="L5" s="5"/>
      <c r="M5" s="3"/>
      <c r="N5" s="3"/>
      <c r="O5" s="5"/>
      <c r="P5" s="5"/>
      <c r="Q5" s="3">
        <v>241561.18</v>
      </c>
      <c r="R5" s="5">
        <f t="shared" si="2"/>
        <v>0.42470397254314673</v>
      </c>
      <c r="T5" s="3">
        <f t="shared" si="0"/>
        <v>391933.81</v>
      </c>
      <c r="U5" s="5">
        <f t="shared" si="3"/>
        <v>0.30384833283820867</v>
      </c>
    </row>
    <row r="6" spans="1:21">
      <c r="A6" s="6">
        <v>44228</v>
      </c>
      <c r="C6" s="1">
        <v>16146.69</v>
      </c>
      <c r="E6" s="7">
        <f>( C6/C5 -1)</f>
        <v>7.5607743032263475E-2</v>
      </c>
      <c r="F6" s="1">
        <v>800.15</v>
      </c>
      <c r="G6" s="7">
        <f t="shared" ref="G6:G17" si="4">(F6/C5)</f>
        <v>5.3301793468956526E-2</v>
      </c>
      <c r="I6" s="1">
        <v>150820.67000000001</v>
      </c>
      <c r="J6" s="1"/>
      <c r="K6" s="7">
        <f t="shared" si="1"/>
        <v>0.11421116017663602</v>
      </c>
      <c r="L6" s="7"/>
      <c r="M6" s="1"/>
      <c r="N6" s="1"/>
      <c r="O6" s="7"/>
      <c r="P6" s="7"/>
      <c r="Q6" s="1">
        <v>249346.19</v>
      </c>
      <c r="R6" s="7">
        <f t="shared" si="2"/>
        <v>3.2227901850785834E-2</v>
      </c>
      <c r="T6" s="1">
        <f t="shared" si="0"/>
        <v>416313.55000000005</v>
      </c>
      <c r="U6" s="7">
        <f t="shared" si="3"/>
        <v>6.2203717510362466E-2</v>
      </c>
    </row>
    <row r="7" spans="1:21">
      <c r="A7" s="6">
        <v>44256</v>
      </c>
      <c r="C7" s="1">
        <v>16054.26</v>
      </c>
      <c r="D7" s="1">
        <v>944.16</v>
      </c>
      <c r="E7" s="7">
        <f>( C7/C6 -1)</f>
        <v>-5.7243930489778716E-3</v>
      </c>
      <c r="F7" s="1">
        <v>1025.1099999999999</v>
      </c>
      <c r="G7" s="7">
        <f t="shared" si="4"/>
        <v>6.3487315356893573E-2</v>
      </c>
      <c r="I7" s="1">
        <v>179422.56</v>
      </c>
      <c r="J7" s="1"/>
      <c r="K7" s="7">
        <f t="shared" si="1"/>
        <v>0.18964171157706677</v>
      </c>
      <c r="L7" s="7"/>
      <c r="M7" s="1"/>
      <c r="N7" s="1"/>
      <c r="O7" s="7"/>
      <c r="P7" s="7"/>
      <c r="Q7" s="1">
        <v>260654.21</v>
      </c>
      <c r="R7" s="7">
        <f t="shared" si="2"/>
        <v>4.5350682919999663E-2</v>
      </c>
      <c r="T7" s="1">
        <f t="shared" si="0"/>
        <v>456131.03</v>
      </c>
      <c r="U7" s="7">
        <f t="shared" si="3"/>
        <v>9.5643007536026614E-2</v>
      </c>
    </row>
    <row r="8" spans="1:21">
      <c r="A8" s="6">
        <v>44287</v>
      </c>
      <c r="C8" s="1">
        <v>16514.45</v>
      </c>
      <c r="E8" s="7">
        <f t="shared" ref="E8:E13" si="5">( (C8-D7)/C7 -1)</f>
        <v>-3.0145892741241243E-2</v>
      </c>
      <c r="F8" s="1">
        <v>520.58000000000004</v>
      </c>
      <c r="G8" s="7">
        <f t="shared" si="4"/>
        <v>3.2426284363153458E-2</v>
      </c>
      <c r="I8" s="1">
        <v>188928</v>
      </c>
      <c r="J8" s="1"/>
      <c r="K8" s="7">
        <f t="shared" si="1"/>
        <v>5.2977953274103262E-2</v>
      </c>
      <c r="L8" s="7"/>
      <c r="M8" s="1"/>
      <c r="N8" s="1"/>
      <c r="O8" s="7"/>
      <c r="P8" s="7"/>
      <c r="Q8" s="1">
        <v>263275.21999999997</v>
      </c>
      <c r="R8" s="7">
        <f t="shared" si="2"/>
        <v>1.0055506105195677E-2</v>
      </c>
      <c r="T8" s="1">
        <f t="shared" si="0"/>
        <v>468717.67</v>
      </c>
      <c r="U8" s="7">
        <f t="shared" si="3"/>
        <v>2.7594351561655239E-2</v>
      </c>
    </row>
    <row r="9" spans="1:21">
      <c r="A9" s="6">
        <v>44317</v>
      </c>
      <c r="C9" s="1">
        <v>17062.03</v>
      </c>
      <c r="E9" s="7">
        <f t="shared" si="5"/>
        <v>3.3157628622206392E-2</v>
      </c>
      <c r="F9" s="1">
        <v>503.52</v>
      </c>
      <c r="G9" s="7">
        <f t="shared" si="4"/>
        <v>3.0489662083811448E-2</v>
      </c>
      <c r="I9" s="1">
        <v>172129.76</v>
      </c>
      <c r="J9" s="1"/>
      <c r="K9" s="7">
        <f t="shared" si="1"/>
        <v>-8.8913448509485016E-2</v>
      </c>
      <c r="L9" s="7"/>
      <c r="M9" s="1"/>
      <c r="N9" s="1"/>
      <c r="O9" s="7"/>
      <c r="P9" s="7"/>
      <c r="Q9" s="1">
        <v>277630.38</v>
      </c>
      <c r="R9" s="7">
        <f t="shared" si="2"/>
        <v>5.4525298658947285E-2</v>
      </c>
      <c r="T9" s="1">
        <f t="shared" si="0"/>
        <v>466822.17000000004</v>
      </c>
      <c r="U9" s="7">
        <f t="shared" si="3"/>
        <v>-4.0440122515541521E-3</v>
      </c>
    </row>
    <row r="10" spans="1:21">
      <c r="A10" s="6">
        <v>44348</v>
      </c>
      <c r="C10" s="1">
        <v>17022.11</v>
      </c>
      <c r="D10" s="1">
        <v>1082.81</v>
      </c>
      <c r="E10" s="7">
        <f t="shared" si="5"/>
        <v>-2.3396981484616886E-3</v>
      </c>
      <c r="F10" s="1">
        <v>305.89</v>
      </c>
      <c r="G10" s="7">
        <f t="shared" si="4"/>
        <v>1.7928112891607857E-2</v>
      </c>
      <c r="I10" s="1">
        <v>177985.92000000001</v>
      </c>
      <c r="J10" s="1"/>
      <c r="K10" s="7">
        <f t="shared" si="1"/>
        <v>3.4021775200290705E-2</v>
      </c>
      <c r="L10" s="7"/>
      <c r="M10" s="1"/>
      <c r="N10" s="1"/>
      <c r="O10" s="7"/>
      <c r="P10" s="7"/>
      <c r="Q10" s="1">
        <v>281648.74</v>
      </c>
      <c r="R10" s="7">
        <f t="shared" si="2"/>
        <v>1.4473776248838499E-2</v>
      </c>
      <c r="T10" s="1">
        <f t="shared" si="0"/>
        <v>476656.77</v>
      </c>
      <c r="U10" s="7">
        <f t="shared" si="3"/>
        <v>2.1067122840374042E-2</v>
      </c>
    </row>
    <row r="11" spans="1:21">
      <c r="A11" s="6">
        <v>44378</v>
      </c>
      <c r="C11" s="1">
        <v>20217.37</v>
      </c>
      <c r="E11" s="7">
        <f t="shared" si="5"/>
        <v>0.12410036123606272</v>
      </c>
      <c r="F11" s="1">
        <v>688.15</v>
      </c>
      <c r="G11" s="7">
        <f t="shared" si="4"/>
        <v>4.0426833101184279E-2</v>
      </c>
      <c r="I11" s="1">
        <v>174932.24</v>
      </c>
      <c r="J11" s="1"/>
      <c r="K11" s="7">
        <f t="shared" si="1"/>
        <v>-1.71568627450982E-2</v>
      </c>
      <c r="L11" s="7"/>
      <c r="M11" s="1"/>
      <c r="N11" s="1"/>
      <c r="O11" s="7"/>
      <c r="P11" s="7"/>
      <c r="Q11" s="1">
        <v>289906.8</v>
      </c>
      <c r="R11" s="7">
        <f t="shared" si="2"/>
        <v>2.9320422310428196E-2</v>
      </c>
      <c r="T11" s="1">
        <f t="shared" si="0"/>
        <v>485056.41</v>
      </c>
      <c r="U11" s="7">
        <f t="shared" si="3"/>
        <v>1.7621988249532095E-2</v>
      </c>
    </row>
    <row r="12" spans="1:21">
      <c r="A12" s="6">
        <v>44409</v>
      </c>
      <c r="C12" s="1">
        <v>18595.28</v>
      </c>
      <c r="E12" s="7">
        <f t="shared" si="5"/>
        <v>-8.0232493148218564E-2</v>
      </c>
      <c r="F12" s="1">
        <v>322.82</v>
      </c>
      <c r="G12" s="7">
        <f t="shared" si="4"/>
        <v>1.5967457686138206E-2</v>
      </c>
      <c r="I12" s="1">
        <v>167391.51999999999</v>
      </c>
      <c r="J12" s="1"/>
      <c r="K12" s="7">
        <f t="shared" si="1"/>
        <v>-4.3106519415746392E-2</v>
      </c>
      <c r="L12" s="7"/>
      <c r="M12" s="1"/>
      <c r="N12" s="1"/>
      <c r="O12" s="7"/>
      <c r="P12" s="7"/>
      <c r="Q12" s="1">
        <v>293685.28000000003</v>
      </c>
      <c r="R12" s="7">
        <f t="shared" si="2"/>
        <v>1.3033430054072648E-2</v>
      </c>
      <c r="T12" s="1">
        <f t="shared" si="0"/>
        <v>479672.08</v>
      </c>
      <c r="U12" s="7">
        <f t="shared" si="3"/>
        <v>-1.1100420258336463E-2</v>
      </c>
    </row>
    <row r="13" spans="1:21">
      <c r="A13" s="6">
        <v>44440</v>
      </c>
      <c r="C13" s="1">
        <v>18894.580000000002</v>
      </c>
      <c r="D13" s="1">
        <v>1082.81</v>
      </c>
      <c r="E13" s="7">
        <f t="shared" si="5"/>
        <v>1.6095482294431918E-2</v>
      </c>
      <c r="F13" s="1">
        <v>417.82</v>
      </c>
      <c r="G13" s="7">
        <f t="shared" si="4"/>
        <v>2.2469142707181609E-2</v>
      </c>
      <c r="I13" s="1">
        <v>178560.18</v>
      </c>
      <c r="J13" s="1"/>
      <c r="K13" s="7">
        <f t="shared" si="1"/>
        <v>6.6721778976617241E-2</v>
      </c>
      <c r="L13" s="7"/>
      <c r="M13" s="1"/>
      <c r="N13" s="1"/>
      <c r="O13" s="7"/>
      <c r="P13" s="7"/>
      <c r="Q13" s="1">
        <v>300440.39</v>
      </c>
      <c r="R13" s="7">
        <f t="shared" si="2"/>
        <v>2.3001186848724542E-2</v>
      </c>
      <c r="T13" s="1">
        <f t="shared" si="0"/>
        <v>497895.15</v>
      </c>
      <c r="U13" s="7">
        <f t="shared" si="3"/>
        <v>3.7990683135028513E-2</v>
      </c>
    </row>
    <row r="14" spans="1:21">
      <c r="A14" s="6">
        <v>44470</v>
      </c>
      <c r="C14" s="1">
        <v>18924.54</v>
      </c>
      <c r="E14" s="7">
        <f>( (C14-D13)/C13 -1)</f>
        <v>-5.5722328837158663E-2</v>
      </c>
      <c r="F14" s="1">
        <v>181.16</v>
      </c>
      <c r="G14" s="7">
        <f t="shared" si="4"/>
        <v>9.5879347410738943E-3</v>
      </c>
      <c r="I14" s="1">
        <v>175983.84</v>
      </c>
      <c r="J14" s="1"/>
      <c r="K14" s="7">
        <f t="shared" si="1"/>
        <v>-1.442841287458374E-2</v>
      </c>
      <c r="L14" s="7"/>
      <c r="M14" s="1"/>
      <c r="N14" s="1">
        <v>50000</v>
      </c>
      <c r="O14" s="7"/>
      <c r="P14" s="7"/>
      <c r="Q14" s="1">
        <v>294103.21000000002</v>
      </c>
      <c r="R14" s="7">
        <f t="shared" si="2"/>
        <v>-2.1092969557122476E-2</v>
      </c>
      <c r="T14" s="1">
        <f t="shared" si="0"/>
        <v>489011.59</v>
      </c>
      <c r="U14" s="7">
        <f t="shared" si="3"/>
        <v>-1.7842230437472573E-2</v>
      </c>
    </row>
    <row r="15" spans="1:21">
      <c r="A15" s="6">
        <v>44501</v>
      </c>
      <c r="C15" s="1">
        <v>19837.52</v>
      </c>
      <c r="E15" s="7">
        <f>( (C15-D14)/C14 -1)</f>
        <v>4.8243180547585363E-2</v>
      </c>
      <c r="F15" s="1">
        <v>482.34</v>
      </c>
      <c r="G15" s="7">
        <f t="shared" si="4"/>
        <v>2.5487541573005208E-2</v>
      </c>
      <c r="I15" s="1">
        <v>161847</v>
      </c>
      <c r="J15" s="1"/>
      <c r="K15" s="7">
        <f t="shared" si="1"/>
        <v>-8.0330330330330324E-2</v>
      </c>
      <c r="L15" s="7"/>
      <c r="M15" s="1">
        <v>53428.13</v>
      </c>
      <c r="N15" s="1">
        <v>150000</v>
      </c>
      <c r="O15" s="7">
        <f>(M15/N14) -1</f>
        <v>6.8562599999999918E-2</v>
      </c>
      <c r="P15" s="7"/>
      <c r="Q15" s="1">
        <v>313377.53000000003</v>
      </c>
      <c r="R15" s="7">
        <f t="shared" si="2"/>
        <v>6.5535904895427821E-2</v>
      </c>
      <c r="T15" s="1">
        <f>C15 + I15 + M15 + Q15</f>
        <v>548490.18000000005</v>
      </c>
      <c r="U15" s="7">
        <f>(T15-N14)/T14 -1</f>
        <v>1.93831602232577E-2</v>
      </c>
    </row>
    <row r="16" spans="1:21">
      <c r="A16" s="6">
        <v>44531</v>
      </c>
      <c r="C16" s="1">
        <v>19004.18</v>
      </c>
      <c r="E16" s="7">
        <f>( (C16-D15)/C15 -1)</f>
        <v>-4.2008275227951919E-2</v>
      </c>
      <c r="F16" s="1">
        <v>-755.29</v>
      </c>
      <c r="G16" s="7">
        <f t="shared" si="4"/>
        <v>-3.8073811645810564E-2</v>
      </c>
      <c r="I16" s="1">
        <v>162507.6</v>
      </c>
      <c r="J16" s="1"/>
      <c r="K16" s="7">
        <f t="shared" si="1"/>
        <v>4.0816326530612734E-3</v>
      </c>
      <c r="L16" s="7"/>
      <c r="M16" s="1">
        <v>200018.85</v>
      </c>
      <c r="N16" s="1">
        <v>26247.79</v>
      </c>
      <c r="O16" s="7">
        <f>((M16-N15)/M15) -1</f>
        <v>-6.381058068100065E-2</v>
      </c>
      <c r="P16" s="7"/>
      <c r="Q16" s="1">
        <v>313267.99</v>
      </c>
      <c r="R16" s="7">
        <f t="shared" si="2"/>
        <v>-3.4954644004003832E-4</v>
      </c>
      <c r="T16" s="1">
        <f>C16 + I16 + M16 + Q16</f>
        <v>694798.62</v>
      </c>
      <c r="U16" s="7">
        <f>(T16-N15)/T15 -1</f>
        <v>-6.7304030857946451E-3</v>
      </c>
    </row>
    <row r="17" spans="1:21">
      <c r="A17" s="6">
        <v>44562</v>
      </c>
      <c r="C17" s="1">
        <v>18166.45</v>
      </c>
      <c r="E17" s="7">
        <f>( (C17-D16)/C16 -1)</f>
        <v>-4.4081354733537581E-2</v>
      </c>
      <c r="F17" s="1">
        <v>-2152.02</v>
      </c>
      <c r="G17" s="7">
        <f t="shared" si="4"/>
        <v>-0.11323929788078202</v>
      </c>
      <c r="I17" s="1">
        <v>170104.5</v>
      </c>
      <c r="J17" s="1"/>
      <c r="K17" s="7">
        <f t="shared" si="1"/>
        <v>4.674796747967469E-2</v>
      </c>
      <c r="L17" s="7"/>
      <c r="M17" s="1">
        <v>234276.84</v>
      </c>
      <c r="N17" s="1"/>
      <c r="O17" s="7">
        <f>((M17-N16)/M16) -1</f>
        <v>4.0047225548991872E-2</v>
      </c>
      <c r="P17" s="7"/>
      <c r="Q17" s="1">
        <v>319120.92</v>
      </c>
      <c r="R17" s="7">
        <f t="shared" si="2"/>
        <v>1.8683460126264428E-2</v>
      </c>
      <c r="T17" s="1">
        <f>C17 + I17 + M17 + Q17</f>
        <v>741668.71</v>
      </c>
      <c r="U17" s="7">
        <f>(T17-N16)/T16 -1</f>
        <v>2.9680974323178511E-2</v>
      </c>
    </row>
    <row r="18" spans="1:21">
      <c r="C18" s="1"/>
      <c r="E18" s="7"/>
      <c r="I18" s="1"/>
      <c r="J18" s="1"/>
      <c r="K18" s="7"/>
      <c r="L18" s="7"/>
      <c r="M18" s="1"/>
      <c r="N18" s="1"/>
      <c r="O18" s="7"/>
      <c r="P18" s="7"/>
    </row>
    <row r="19" spans="1:21">
      <c r="C19" s="1"/>
      <c r="E19" s="7"/>
      <c r="I19" s="1"/>
      <c r="J19" s="1"/>
      <c r="K19" s="7"/>
      <c r="L19" s="7"/>
      <c r="M19" s="1"/>
      <c r="N19" s="1"/>
      <c r="O19" s="7"/>
      <c r="P19" s="7"/>
    </row>
    <row r="20" spans="1:21">
      <c r="C20" s="1">
        <f>SUM(-C5,C17)</f>
        <v>3154.76</v>
      </c>
      <c r="D20" s="1">
        <f>SUM(D6:D18)</f>
        <v>3109.7799999999997</v>
      </c>
      <c r="E20" s="7">
        <f>( (C17-D20)/C5 -1)</f>
        <v>2.9963315256311684E-3</v>
      </c>
      <c r="F20" s="1">
        <f>SUM(F6:F18)</f>
        <v>2340.2299999999991</v>
      </c>
      <c r="G20" s="7">
        <f>(F20/(C17-C5))</f>
        <v>0.7418092026017824</v>
      </c>
      <c r="I20" s="1">
        <f>SUM(-I5,I17)</f>
        <v>34743.56</v>
      </c>
      <c r="J20" s="1">
        <f>SUM(J6:J18)</f>
        <v>0</v>
      </c>
      <c r="K20" s="7">
        <f>(I17/I5 -1)</f>
        <v>0.25667345395207808</v>
      </c>
      <c r="L20" s="7"/>
      <c r="M20" s="1">
        <f>SUM(-M14-N20,M17)</f>
        <v>8029.0499999999884</v>
      </c>
      <c r="N20" s="1">
        <f>SUM(N6:N18)</f>
        <v>226247.79</v>
      </c>
      <c r="O20" s="7">
        <f>(M17/N20 -1)</f>
        <v>3.5487860456007159E-2</v>
      </c>
      <c r="P20" s="7"/>
      <c r="Q20" s="1">
        <f>(Q17- Q5)</f>
        <v>77559.739999999991</v>
      </c>
      <c r="R20" s="7">
        <f>Q17/Q5 -1</f>
        <v>0.32107700417757523</v>
      </c>
      <c r="T20" s="1">
        <f>(T17 - T5 - N20)</f>
        <v>123487.10999999996</v>
      </c>
      <c r="U20" s="7">
        <f>(T17-N20)/T5 -1</f>
        <v>0.31507133819355859</v>
      </c>
    </row>
    <row r="21" spans="1:21">
      <c r="E21" s="7"/>
      <c r="I21" s="1"/>
      <c r="J21" s="1"/>
      <c r="K21" s="7"/>
      <c r="L21" s="7"/>
      <c r="M21" s="1"/>
      <c r="N21" s="1"/>
      <c r="O21" s="7"/>
      <c r="P21" s="7"/>
      <c r="T21" s="1"/>
      <c r="U21" s="7"/>
    </row>
    <row r="22" spans="1:21">
      <c r="C22" s="1">
        <f>SUM(-C3,C17)</f>
        <v>17257.55</v>
      </c>
      <c r="D22" s="1">
        <f>SUM(D4:D19)</f>
        <v>11172.869999999999</v>
      </c>
      <c r="E22" s="7">
        <f>( (C17-D22)/C3 -1)</f>
        <v>6.6945538563098275</v>
      </c>
      <c r="F22" s="1">
        <f>SUM(F4:F19)</f>
        <v>11592.239999999998</v>
      </c>
      <c r="G22" s="7">
        <f>(F22/(C17-C3))</f>
        <v>0.67171991389275987</v>
      </c>
      <c r="I22" s="1">
        <f>SUM(-I3,I17)</f>
        <v>94599.18</v>
      </c>
      <c r="J22" s="1">
        <f>SUM(J4:J19)</f>
        <v>-1958.12</v>
      </c>
      <c r="K22" s="7">
        <f>(I17/I3 -1)</f>
        <v>1.2528809890481889</v>
      </c>
      <c r="L22" s="7"/>
      <c r="M22" s="1">
        <f>SUM(-M14-N22,M17)</f>
        <v>8029.0499999999884</v>
      </c>
      <c r="N22" s="1">
        <f>SUM(N4:N19)</f>
        <v>226247.79</v>
      </c>
      <c r="O22" s="7">
        <f>(M17/N22 -1)</f>
        <v>3.5487860456007159E-2</v>
      </c>
      <c r="P22" s="7"/>
      <c r="Q22" s="1">
        <f>(Q17- Q3)</f>
        <v>194576.20999999996</v>
      </c>
      <c r="R22" s="7">
        <f>Q17/Q3 -1</f>
        <v>1.5623000768157875</v>
      </c>
      <c r="T22" s="1">
        <f>(T17 - T3 - N22)</f>
        <v>314461.99</v>
      </c>
      <c r="U22" s="7">
        <f>(T17-N22)/T3 -1</f>
        <v>1.5648072469334902</v>
      </c>
    </row>
    <row r="23" spans="1:21">
      <c r="E23" s="7">
        <f>(C17/C3 -1)</f>
        <v>18.987292331389593</v>
      </c>
      <c r="I23" s="1"/>
      <c r="J23" s="1"/>
      <c r="K23" s="7"/>
      <c r="L23" s="7"/>
      <c r="M23" s="1"/>
      <c r="N23" s="1"/>
      <c r="O23" s="7"/>
      <c r="P23" s="7"/>
    </row>
    <row r="24" spans="1:21">
      <c r="E24" s="7"/>
      <c r="I24" s="1"/>
      <c r="J24" s="1"/>
      <c r="K24" s="7"/>
      <c r="L24" s="7"/>
      <c r="M24" s="1"/>
      <c r="N24" s="1"/>
      <c r="O24" s="7"/>
      <c r="P24" s="7"/>
    </row>
    <row r="25" spans="1:21">
      <c r="E25" s="7">
        <f>AVERAGE(E6:E17)</f>
        <v>3.0791633205835278E-3</v>
      </c>
      <c r="G25" s="7">
        <f>AVERAGE(G6:G17)</f>
        <v>1.3354914037201121E-2</v>
      </c>
      <c r="I25" s="1"/>
      <c r="J25" s="1"/>
      <c r="K25" s="7">
        <f>AVERAGE(K6:K17)</f>
        <v>2.2039033788517192E-2</v>
      </c>
      <c r="L25" s="7"/>
      <c r="M25" s="1"/>
      <c r="N25" s="1"/>
      <c r="O25" s="7">
        <f>AVERAGE(O6:O17)</f>
        <v>1.4933081622663713E-2</v>
      </c>
      <c r="P25" s="7"/>
      <c r="R25" s="7">
        <f>AVERAGE(R6:R17)</f>
        <v>2.3730421168460174E-2</v>
      </c>
      <c r="U25" s="7">
        <f>AVERAGE(U6:U17)</f>
        <v>2.262232827885478E-2</v>
      </c>
    </row>
    <row r="26" spans="1:21">
      <c r="E26" s="7"/>
      <c r="I26" s="1"/>
      <c r="J26" s="1"/>
      <c r="K26" s="7"/>
      <c r="L26" s="7"/>
      <c r="M26" s="7"/>
      <c r="N26" s="7"/>
    </row>
    <row r="27" spans="1:21">
      <c r="E27" s="7"/>
      <c r="I27" s="1"/>
      <c r="J27" s="1"/>
      <c r="K27" s="7"/>
      <c r="L27" s="7"/>
      <c r="M27" s="7"/>
      <c r="N27" s="7"/>
    </row>
    <row r="28" spans="1:21">
      <c r="E28" s="7"/>
      <c r="I28" s="1"/>
      <c r="J28" s="1"/>
      <c r="K28" s="7"/>
      <c r="L28" s="7"/>
      <c r="M28" s="7"/>
      <c r="N28" s="7"/>
    </row>
    <row r="29" spans="1:21">
      <c r="E29" s="7"/>
      <c r="I29" s="1"/>
      <c r="J29" s="1"/>
      <c r="K29" s="7"/>
      <c r="L29" s="7"/>
      <c r="M29" s="7"/>
      <c r="N29" s="7"/>
    </row>
    <row r="30" spans="1:21">
      <c r="E30" s="7"/>
      <c r="I30" s="1"/>
      <c r="J30" s="1"/>
      <c r="K30" s="7"/>
      <c r="L30" s="7"/>
      <c r="M30" s="7"/>
      <c r="N30" s="7"/>
    </row>
    <row r="31" spans="1:21">
      <c r="E31" s="7"/>
      <c r="I31" s="1"/>
      <c r="J31" s="1"/>
      <c r="K31" s="7"/>
      <c r="L31" s="7"/>
      <c r="M31" s="7"/>
      <c r="N31" s="7"/>
    </row>
    <row r="32" spans="1:21">
      <c r="E32" s="7"/>
      <c r="I32" s="1"/>
      <c r="J32" s="1"/>
    </row>
    <row r="33" spans="5:10">
      <c r="E33" s="7"/>
      <c r="I33" s="1"/>
      <c r="J33" s="1"/>
    </row>
    <row r="34" spans="5:10">
      <c r="E34" s="7"/>
      <c r="J34" s="1"/>
    </row>
    <row r="35" spans="5:10">
      <c r="E35" s="7"/>
      <c r="J35" s="1"/>
    </row>
    <row r="36" spans="5:10">
      <c r="E36" s="7"/>
      <c r="J36" s="1"/>
    </row>
    <row r="37" spans="5:10">
      <c r="E37" s="7"/>
    </row>
    <row r="38" spans="5:10">
      <c r="E38" s="7"/>
    </row>
    <row r="39" spans="5:10">
      <c r="E39" s="7"/>
    </row>
    <row r="40" spans="5:10">
      <c r="E40" s="7"/>
    </row>
    <row r="41" spans="5:10">
      <c r="E41"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V72"/>
  <sheetViews>
    <sheetView topLeftCell="A4" zoomScale="85" zoomScaleNormal="85" workbookViewId="0">
      <selection activeCell="U21" sqref="U21"/>
    </sheetView>
  </sheetViews>
  <sheetFormatPr defaultRowHeight="15"/>
  <cols>
    <col min="1" max="1" width="9.7109375" bestFit="1" customWidth="1"/>
    <col min="2" max="2" width="9" bestFit="1" customWidth="1"/>
    <col min="3" max="3" width="10.85546875" bestFit="1" customWidth="1"/>
    <col min="4" max="4" width="10.140625" style="1" bestFit="1" customWidth="1"/>
    <col min="5" max="5" width="17" bestFit="1" customWidth="1"/>
    <col min="6" max="6" width="15.85546875" style="1" bestFit="1" customWidth="1"/>
    <col min="7" max="7" width="8.85546875" bestFit="1" customWidth="1"/>
    <col min="8" max="8" width="12.28515625" bestFit="1" customWidth="1"/>
    <col min="9" max="9" width="11.140625" bestFit="1" customWidth="1"/>
    <col min="10" max="10" width="10.85546875" bestFit="1" customWidth="1"/>
    <col min="11" max="11" width="8.5703125" bestFit="1" customWidth="1"/>
    <col min="12" max="13" width="11.140625" bestFit="1" customWidth="1"/>
    <col min="14" max="14" width="11.85546875" bestFit="1" customWidth="1"/>
    <col min="15" max="15" width="7.85546875" bestFit="1" customWidth="1"/>
    <col min="17" max="17" width="11.140625" style="1" bestFit="1" customWidth="1"/>
    <col min="18" max="18" width="8.140625" style="1" bestFit="1" customWidth="1"/>
    <col min="20" max="20" width="11.85546875" bestFit="1" customWidth="1"/>
    <col min="21" max="21" width="8.140625" bestFit="1" customWidth="1"/>
    <col min="22" max="22" width="13.42578125" bestFit="1" customWidth="1"/>
    <col min="23" max="23" width="8.28515625" customWidth="1"/>
    <col min="24" max="24" width="7" customWidth="1"/>
    <col min="259" max="259" width="11.140625" bestFit="1" customWidth="1"/>
    <col min="260" max="260" width="10.7109375" bestFit="1" customWidth="1"/>
    <col min="261" max="261" width="16.85546875" bestFit="1" customWidth="1"/>
    <col min="262" max="262" width="15" bestFit="1" customWidth="1"/>
    <col min="263" max="263" width="11.28515625" bestFit="1" customWidth="1"/>
    <col min="264" max="265" width="11.140625" bestFit="1" customWidth="1"/>
    <col min="266" max="266" width="10.7109375" bestFit="1" customWidth="1"/>
    <col min="267" max="268" width="11.140625" bestFit="1" customWidth="1"/>
    <col min="269" max="269" width="12.7109375" bestFit="1" customWidth="1"/>
    <col min="270" max="270" width="11.140625" bestFit="1" customWidth="1"/>
    <col min="271" max="271" width="13.42578125" bestFit="1" customWidth="1"/>
    <col min="273" max="274" width="11.7109375" customWidth="1"/>
    <col min="276" max="276" width="15.85546875" customWidth="1"/>
    <col min="278" max="278" width="11.140625" bestFit="1" customWidth="1"/>
    <col min="279" max="279" width="8.28515625" customWidth="1"/>
    <col min="280" max="280" width="7" customWidth="1"/>
    <col min="515" max="515" width="11.140625" bestFit="1" customWidth="1"/>
    <col min="516" max="516" width="10.7109375" bestFit="1" customWidth="1"/>
    <col min="517" max="517" width="16.85546875" bestFit="1" customWidth="1"/>
    <col min="518" max="518" width="15" bestFit="1" customWidth="1"/>
    <col min="519" max="519" width="11.28515625" bestFit="1" customWidth="1"/>
    <col min="520" max="521" width="11.140625" bestFit="1" customWidth="1"/>
    <col min="522" max="522" width="10.7109375" bestFit="1" customWidth="1"/>
    <col min="523" max="524" width="11.140625" bestFit="1" customWidth="1"/>
    <col min="525" max="525" width="12.7109375" bestFit="1" customWidth="1"/>
    <col min="526" max="526" width="11.140625" bestFit="1" customWidth="1"/>
    <col min="527" max="527" width="13.42578125" bestFit="1" customWidth="1"/>
    <col min="529" max="530" width="11.7109375" customWidth="1"/>
    <col min="532" max="532" width="15.85546875" customWidth="1"/>
    <col min="534" max="534" width="11.140625" bestFit="1" customWidth="1"/>
    <col min="535" max="535" width="8.28515625" customWidth="1"/>
    <col min="536" max="536" width="7" customWidth="1"/>
    <col min="771" max="771" width="11.140625" bestFit="1" customWidth="1"/>
    <col min="772" max="772" width="10.7109375" bestFit="1" customWidth="1"/>
    <col min="773" max="773" width="16.85546875" bestFit="1" customWidth="1"/>
    <col min="774" max="774" width="15" bestFit="1" customWidth="1"/>
    <col min="775" max="775" width="11.28515625" bestFit="1" customWidth="1"/>
    <col min="776" max="777" width="11.140625" bestFit="1" customWidth="1"/>
    <col min="778" max="778" width="10.7109375" bestFit="1" customWidth="1"/>
    <col min="779" max="780" width="11.140625" bestFit="1" customWidth="1"/>
    <col min="781" max="781" width="12.7109375" bestFit="1" customWidth="1"/>
    <col min="782" max="782" width="11.140625" bestFit="1" customWidth="1"/>
    <col min="783" max="783" width="13.42578125" bestFit="1" customWidth="1"/>
    <col min="785" max="786" width="11.7109375" customWidth="1"/>
    <col min="788" max="788" width="15.85546875" customWidth="1"/>
    <col min="790" max="790" width="11.140625" bestFit="1" customWidth="1"/>
    <col min="791" max="791" width="8.28515625" customWidth="1"/>
    <col min="792" max="792" width="7" customWidth="1"/>
    <col min="1027" max="1027" width="11.140625" bestFit="1" customWidth="1"/>
    <col min="1028" max="1028" width="10.7109375" bestFit="1" customWidth="1"/>
    <col min="1029" max="1029" width="16.85546875" bestFit="1" customWidth="1"/>
    <col min="1030" max="1030" width="15" bestFit="1" customWidth="1"/>
    <col min="1031" max="1031" width="11.28515625" bestFit="1" customWidth="1"/>
    <col min="1032" max="1033" width="11.140625" bestFit="1" customWidth="1"/>
    <col min="1034" max="1034" width="10.7109375" bestFit="1" customWidth="1"/>
    <col min="1035" max="1036" width="11.140625" bestFit="1" customWidth="1"/>
    <col min="1037" max="1037" width="12.7109375" bestFit="1" customWidth="1"/>
    <col min="1038" max="1038" width="11.140625" bestFit="1" customWidth="1"/>
    <col min="1039" max="1039" width="13.42578125" bestFit="1" customWidth="1"/>
    <col min="1041" max="1042" width="11.7109375" customWidth="1"/>
    <col min="1044" max="1044" width="15.85546875" customWidth="1"/>
    <col min="1046" max="1046" width="11.140625" bestFit="1" customWidth="1"/>
    <col min="1047" max="1047" width="8.28515625" customWidth="1"/>
    <col min="1048" max="1048" width="7" customWidth="1"/>
    <col min="1283" max="1283" width="11.140625" bestFit="1" customWidth="1"/>
    <col min="1284" max="1284" width="10.7109375" bestFit="1" customWidth="1"/>
    <col min="1285" max="1285" width="16.85546875" bestFit="1" customWidth="1"/>
    <col min="1286" max="1286" width="15" bestFit="1" customWidth="1"/>
    <col min="1287" max="1287" width="11.28515625" bestFit="1" customWidth="1"/>
    <col min="1288" max="1289" width="11.140625" bestFit="1" customWidth="1"/>
    <col min="1290" max="1290" width="10.7109375" bestFit="1" customWidth="1"/>
    <col min="1291" max="1292" width="11.140625" bestFit="1" customWidth="1"/>
    <col min="1293" max="1293" width="12.7109375" bestFit="1" customWidth="1"/>
    <col min="1294" max="1294" width="11.140625" bestFit="1" customWidth="1"/>
    <col min="1295" max="1295" width="13.42578125" bestFit="1" customWidth="1"/>
    <col min="1297" max="1298" width="11.7109375" customWidth="1"/>
    <col min="1300" max="1300" width="15.85546875" customWidth="1"/>
    <col min="1302" max="1302" width="11.140625" bestFit="1" customWidth="1"/>
    <col min="1303" max="1303" width="8.28515625" customWidth="1"/>
    <col min="1304" max="1304" width="7" customWidth="1"/>
    <col min="1539" max="1539" width="11.140625" bestFit="1" customWidth="1"/>
    <col min="1540" max="1540" width="10.7109375" bestFit="1" customWidth="1"/>
    <col min="1541" max="1541" width="16.85546875" bestFit="1" customWidth="1"/>
    <col min="1542" max="1542" width="15" bestFit="1" customWidth="1"/>
    <col min="1543" max="1543" width="11.28515625" bestFit="1" customWidth="1"/>
    <col min="1544" max="1545" width="11.140625" bestFit="1" customWidth="1"/>
    <col min="1546" max="1546" width="10.7109375" bestFit="1" customWidth="1"/>
    <col min="1547" max="1548" width="11.140625" bestFit="1" customWidth="1"/>
    <col min="1549" max="1549" width="12.7109375" bestFit="1" customWidth="1"/>
    <col min="1550" max="1550" width="11.140625" bestFit="1" customWidth="1"/>
    <col min="1551" max="1551" width="13.42578125" bestFit="1" customWidth="1"/>
    <col min="1553" max="1554" width="11.7109375" customWidth="1"/>
    <col min="1556" max="1556" width="15.85546875" customWidth="1"/>
    <col min="1558" max="1558" width="11.140625" bestFit="1" customWidth="1"/>
    <col min="1559" max="1559" width="8.28515625" customWidth="1"/>
    <col min="1560" max="1560" width="7" customWidth="1"/>
    <col min="1795" max="1795" width="11.140625" bestFit="1" customWidth="1"/>
    <col min="1796" max="1796" width="10.7109375" bestFit="1" customWidth="1"/>
    <col min="1797" max="1797" width="16.85546875" bestFit="1" customWidth="1"/>
    <col min="1798" max="1798" width="15" bestFit="1" customWidth="1"/>
    <col min="1799" max="1799" width="11.28515625" bestFit="1" customWidth="1"/>
    <col min="1800" max="1801" width="11.140625" bestFit="1" customWidth="1"/>
    <col min="1802" max="1802" width="10.7109375" bestFit="1" customWidth="1"/>
    <col min="1803" max="1804" width="11.140625" bestFit="1" customWidth="1"/>
    <col min="1805" max="1805" width="12.7109375" bestFit="1" customWidth="1"/>
    <col min="1806" max="1806" width="11.140625" bestFit="1" customWidth="1"/>
    <col min="1807" max="1807" width="13.42578125" bestFit="1" customWidth="1"/>
    <col min="1809" max="1810" width="11.7109375" customWidth="1"/>
    <col min="1812" max="1812" width="15.85546875" customWidth="1"/>
    <col min="1814" max="1814" width="11.140625" bestFit="1" customWidth="1"/>
    <col min="1815" max="1815" width="8.28515625" customWidth="1"/>
    <col min="1816" max="1816" width="7" customWidth="1"/>
    <col min="2051" max="2051" width="11.140625" bestFit="1" customWidth="1"/>
    <col min="2052" max="2052" width="10.7109375" bestFit="1" customWidth="1"/>
    <col min="2053" max="2053" width="16.85546875" bestFit="1" customWidth="1"/>
    <col min="2054" max="2054" width="15" bestFit="1" customWidth="1"/>
    <col min="2055" max="2055" width="11.28515625" bestFit="1" customWidth="1"/>
    <col min="2056" max="2057" width="11.140625" bestFit="1" customWidth="1"/>
    <col min="2058" max="2058" width="10.7109375" bestFit="1" customWidth="1"/>
    <col min="2059" max="2060" width="11.140625" bestFit="1" customWidth="1"/>
    <col min="2061" max="2061" width="12.7109375" bestFit="1" customWidth="1"/>
    <col min="2062" max="2062" width="11.140625" bestFit="1" customWidth="1"/>
    <col min="2063" max="2063" width="13.42578125" bestFit="1" customWidth="1"/>
    <col min="2065" max="2066" width="11.7109375" customWidth="1"/>
    <col min="2068" max="2068" width="15.85546875" customWidth="1"/>
    <col min="2070" max="2070" width="11.140625" bestFit="1" customWidth="1"/>
    <col min="2071" max="2071" width="8.28515625" customWidth="1"/>
    <col min="2072" max="2072" width="7" customWidth="1"/>
    <col min="2307" max="2307" width="11.140625" bestFit="1" customWidth="1"/>
    <col min="2308" max="2308" width="10.7109375" bestFit="1" customWidth="1"/>
    <col min="2309" max="2309" width="16.85546875" bestFit="1" customWidth="1"/>
    <col min="2310" max="2310" width="15" bestFit="1" customWidth="1"/>
    <col min="2311" max="2311" width="11.28515625" bestFit="1" customWidth="1"/>
    <col min="2312" max="2313" width="11.140625" bestFit="1" customWidth="1"/>
    <col min="2314" max="2314" width="10.7109375" bestFit="1" customWidth="1"/>
    <col min="2315" max="2316" width="11.140625" bestFit="1" customWidth="1"/>
    <col min="2317" max="2317" width="12.7109375" bestFit="1" customWidth="1"/>
    <col min="2318" max="2318" width="11.140625" bestFit="1" customWidth="1"/>
    <col min="2319" max="2319" width="13.42578125" bestFit="1" customWidth="1"/>
    <col min="2321" max="2322" width="11.7109375" customWidth="1"/>
    <col min="2324" max="2324" width="15.85546875" customWidth="1"/>
    <col min="2326" max="2326" width="11.140625" bestFit="1" customWidth="1"/>
    <col min="2327" max="2327" width="8.28515625" customWidth="1"/>
    <col min="2328" max="2328" width="7" customWidth="1"/>
    <col min="2563" max="2563" width="11.140625" bestFit="1" customWidth="1"/>
    <col min="2564" max="2564" width="10.7109375" bestFit="1" customWidth="1"/>
    <col min="2565" max="2565" width="16.85546875" bestFit="1" customWidth="1"/>
    <col min="2566" max="2566" width="15" bestFit="1" customWidth="1"/>
    <col min="2567" max="2567" width="11.28515625" bestFit="1" customWidth="1"/>
    <col min="2568" max="2569" width="11.140625" bestFit="1" customWidth="1"/>
    <col min="2570" max="2570" width="10.7109375" bestFit="1" customWidth="1"/>
    <col min="2571" max="2572" width="11.140625" bestFit="1" customWidth="1"/>
    <col min="2573" max="2573" width="12.7109375" bestFit="1" customWidth="1"/>
    <col min="2574" max="2574" width="11.140625" bestFit="1" customWidth="1"/>
    <col min="2575" max="2575" width="13.42578125" bestFit="1" customWidth="1"/>
    <col min="2577" max="2578" width="11.7109375" customWidth="1"/>
    <col min="2580" max="2580" width="15.85546875" customWidth="1"/>
    <col min="2582" max="2582" width="11.140625" bestFit="1" customWidth="1"/>
    <col min="2583" max="2583" width="8.28515625" customWidth="1"/>
    <col min="2584" max="2584" width="7" customWidth="1"/>
    <col min="2819" max="2819" width="11.140625" bestFit="1" customWidth="1"/>
    <col min="2820" max="2820" width="10.7109375" bestFit="1" customWidth="1"/>
    <col min="2821" max="2821" width="16.85546875" bestFit="1" customWidth="1"/>
    <col min="2822" max="2822" width="15" bestFit="1" customWidth="1"/>
    <col min="2823" max="2823" width="11.28515625" bestFit="1" customWidth="1"/>
    <col min="2824" max="2825" width="11.140625" bestFit="1" customWidth="1"/>
    <col min="2826" max="2826" width="10.7109375" bestFit="1" customWidth="1"/>
    <col min="2827" max="2828" width="11.140625" bestFit="1" customWidth="1"/>
    <col min="2829" max="2829" width="12.7109375" bestFit="1" customWidth="1"/>
    <col min="2830" max="2830" width="11.140625" bestFit="1" customWidth="1"/>
    <col min="2831" max="2831" width="13.42578125" bestFit="1" customWidth="1"/>
    <col min="2833" max="2834" width="11.7109375" customWidth="1"/>
    <col min="2836" max="2836" width="15.85546875" customWidth="1"/>
    <col min="2838" max="2838" width="11.140625" bestFit="1" customWidth="1"/>
    <col min="2839" max="2839" width="8.28515625" customWidth="1"/>
    <col min="2840" max="2840" width="7" customWidth="1"/>
    <col min="3075" max="3075" width="11.140625" bestFit="1" customWidth="1"/>
    <col min="3076" max="3076" width="10.7109375" bestFit="1" customWidth="1"/>
    <col min="3077" max="3077" width="16.85546875" bestFit="1" customWidth="1"/>
    <col min="3078" max="3078" width="15" bestFit="1" customWidth="1"/>
    <col min="3079" max="3079" width="11.28515625" bestFit="1" customWidth="1"/>
    <col min="3080" max="3081" width="11.140625" bestFit="1" customWidth="1"/>
    <col min="3082" max="3082" width="10.7109375" bestFit="1" customWidth="1"/>
    <col min="3083" max="3084" width="11.140625" bestFit="1" customWidth="1"/>
    <col min="3085" max="3085" width="12.7109375" bestFit="1" customWidth="1"/>
    <col min="3086" max="3086" width="11.140625" bestFit="1" customWidth="1"/>
    <col min="3087" max="3087" width="13.42578125" bestFit="1" customWidth="1"/>
    <col min="3089" max="3090" width="11.7109375" customWidth="1"/>
    <col min="3092" max="3092" width="15.85546875" customWidth="1"/>
    <col min="3094" max="3094" width="11.140625" bestFit="1" customWidth="1"/>
    <col min="3095" max="3095" width="8.28515625" customWidth="1"/>
    <col min="3096" max="3096" width="7" customWidth="1"/>
    <col min="3331" max="3331" width="11.140625" bestFit="1" customWidth="1"/>
    <col min="3332" max="3332" width="10.7109375" bestFit="1" customWidth="1"/>
    <col min="3333" max="3333" width="16.85546875" bestFit="1" customWidth="1"/>
    <col min="3334" max="3334" width="15" bestFit="1" customWidth="1"/>
    <col min="3335" max="3335" width="11.28515625" bestFit="1" customWidth="1"/>
    <col min="3336" max="3337" width="11.140625" bestFit="1" customWidth="1"/>
    <col min="3338" max="3338" width="10.7109375" bestFit="1" customWidth="1"/>
    <col min="3339" max="3340" width="11.140625" bestFit="1" customWidth="1"/>
    <col min="3341" max="3341" width="12.7109375" bestFit="1" customWidth="1"/>
    <col min="3342" max="3342" width="11.140625" bestFit="1" customWidth="1"/>
    <col min="3343" max="3343" width="13.42578125" bestFit="1" customWidth="1"/>
    <col min="3345" max="3346" width="11.7109375" customWidth="1"/>
    <col min="3348" max="3348" width="15.85546875" customWidth="1"/>
    <col min="3350" max="3350" width="11.140625" bestFit="1" customWidth="1"/>
    <col min="3351" max="3351" width="8.28515625" customWidth="1"/>
    <col min="3352" max="3352" width="7" customWidth="1"/>
    <col min="3587" max="3587" width="11.140625" bestFit="1" customWidth="1"/>
    <col min="3588" max="3588" width="10.7109375" bestFit="1" customWidth="1"/>
    <col min="3589" max="3589" width="16.85546875" bestFit="1" customWidth="1"/>
    <col min="3590" max="3590" width="15" bestFit="1" customWidth="1"/>
    <col min="3591" max="3591" width="11.28515625" bestFit="1" customWidth="1"/>
    <col min="3592" max="3593" width="11.140625" bestFit="1" customWidth="1"/>
    <col min="3594" max="3594" width="10.7109375" bestFit="1" customWidth="1"/>
    <col min="3595" max="3596" width="11.140625" bestFit="1" customWidth="1"/>
    <col min="3597" max="3597" width="12.7109375" bestFit="1" customWidth="1"/>
    <col min="3598" max="3598" width="11.140625" bestFit="1" customWidth="1"/>
    <col min="3599" max="3599" width="13.42578125" bestFit="1" customWidth="1"/>
    <col min="3601" max="3602" width="11.7109375" customWidth="1"/>
    <col min="3604" max="3604" width="15.85546875" customWidth="1"/>
    <col min="3606" max="3606" width="11.140625" bestFit="1" customWidth="1"/>
    <col min="3607" max="3607" width="8.28515625" customWidth="1"/>
    <col min="3608" max="3608" width="7" customWidth="1"/>
    <col min="3843" max="3843" width="11.140625" bestFit="1" customWidth="1"/>
    <col min="3844" max="3844" width="10.7109375" bestFit="1" customWidth="1"/>
    <col min="3845" max="3845" width="16.85546875" bestFit="1" customWidth="1"/>
    <col min="3846" max="3846" width="15" bestFit="1" customWidth="1"/>
    <col min="3847" max="3847" width="11.28515625" bestFit="1" customWidth="1"/>
    <col min="3848" max="3849" width="11.140625" bestFit="1" customWidth="1"/>
    <col min="3850" max="3850" width="10.7109375" bestFit="1" customWidth="1"/>
    <col min="3851" max="3852" width="11.140625" bestFit="1" customWidth="1"/>
    <col min="3853" max="3853" width="12.7109375" bestFit="1" customWidth="1"/>
    <col min="3854" max="3854" width="11.140625" bestFit="1" customWidth="1"/>
    <col min="3855" max="3855" width="13.42578125" bestFit="1" customWidth="1"/>
    <col min="3857" max="3858" width="11.7109375" customWidth="1"/>
    <col min="3860" max="3860" width="15.85546875" customWidth="1"/>
    <col min="3862" max="3862" width="11.140625" bestFit="1" customWidth="1"/>
    <col min="3863" max="3863" width="8.28515625" customWidth="1"/>
    <col min="3864" max="3864" width="7" customWidth="1"/>
    <col min="4099" max="4099" width="11.140625" bestFit="1" customWidth="1"/>
    <col min="4100" max="4100" width="10.7109375" bestFit="1" customWidth="1"/>
    <col min="4101" max="4101" width="16.85546875" bestFit="1" customWidth="1"/>
    <col min="4102" max="4102" width="15" bestFit="1" customWidth="1"/>
    <col min="4103" max="4103" width="11.28515625" bestFit="1" customWidth="1"/>
    <col min="4104" max="4105" width="11.140625" bestFit="1" customWidth="1"/>
    <col min="4106" max="4106" width="10.7109375" bestFit="1" customWidth="1"/>
    <col min="4107" max="4108" width="11.140625" bestFit="1" customWidth="1"/>
    <col min="4109" max="4109" width="12.7109375" bestFit="1" customWidth="1"/>
    <col min="4110" max="4110" width="11.140625" bestFit="1" customWidth="1"/>
    <col min="4111" max="4111" width="13.42578125" bestFit="1" customWidth="1"/>
    <col min="4113" max="4114" width="11.7109375" customWidth="1"/>
    <col min="4116" max="4116" width="15.85546875" customWidth="1"/>
    <col min="4118" max="4118" width="11.140625" bestFit="1" customWidth="1"/>
    <col min="4119" max="4119" width="8.28515625" customWidth="1"/>
    <col min="4120" max="4120" width="7" customWidth="1"/>
    <col min="4355" max="4355" width="11.140625" bestFit="1" customWidth="1"/>
    <col min="4356" max="4356" width="10.7109375" bestFit="1" customWidth="1"/>
    <col min="4357" max="4357" width="16.85546875" bestFit="1" customWidth="1"/>
    <col min="4358" max="4358" width="15" bestFit="1" customWidth="1"/>
    <col min="4359" max="4359" width="11.28515625" bestFit="1" customWidth="1"/>
    <col min="4360" max="4361" width="11.140625" bestFit="1" customWidth="1"/>
    <col min="4362" max="4362" width="10.7109375" bestFit="1" customWidth="1"/>
    <col min="4363" max="4364" width="11.140625" bestFit="1" customWidth="1"/>
    <col min="4365" max="4365" width="12.7109375" bestFit="1" customWidth="1"/>
    <col min="4366" max="4366" width="11.140625" bestFit="1" customWidth="1"/>
    <col min="4367" max="4367" width="13.42578125" bestFit="1" customWidth="1"/>
    <col min="4369" max="4370" width="11.7109375" customWidth="1"/>
    <col min="4372" max="4372" width="15.85546875" customWidth="1"/>
    <col min="4374" max="4374" width="11.140625" bestFit="1" customWidth="1"/>
    <col min="4375" max="4375" width="8.28515625" customWidth="1"/>
    <col min="4376" max="4376" width="7" customWidth="1"/>
    <col min="4611" max="4611" width="11.140625" bestFit="1" customWidth="1"/>
    <col min="4612" max="4612" width="10.7109375" bestFit="1" customWidth="1"/>
    <col min="4613" max="4613" width="16.85546875" bestFit="1" customWidth="1"/>
    <col min="4614" max="4614" width="15" bestFit="1" customWidth="1"/>
    <col min="4615" max="4615" width="11.28515625" bestFit="1" customWidth="1"/>
    <col min="4616" max="4617" width="11.140625" bestFit="1" customWidth="1"/>
    <col min="4618" max="4618" width="10.7109375" bestFit="1" customWidth="1"/>
    <col min="4619" max="4620" width="11.140625" bestFit="1" customWidth="1"/>
    <col min="4621" max="4621" width="12.7109375" bestFit="1" customWidth="1"/>
    <col min="4622" max="4622" width="11.140625" bestFit="1" customWidth="1"/>
    <col min="4623" max="4623" width="13.42578125" bestFit="1" customWidth="1"/>
    <col min="4625" max="4626" width="11.7109375" customWidth="1"/>
    <col min="4628" max="4628" width="15.85546875" customWidth="1"/>
    <col min="4630" max="4630" width="11.140625" bestFit="1" customWidth="1"/>
    <col min="4631" max="4631" width="8.28515625" customWidth="1"/>
    <col min="4632" max="4632" width="7" customWidth="1"/>
    <col min="4867" max="4867" width="11.140625" bestFit="1" customWidth="1"/>
    <col min="4868" max="4868" width="10.7109375" bestFit="1" customWidth="1"/>
    <col min="4869" max="4869" width="16.85546875" bestFit="1" customWidth="1"/>
    <col min="4870" max="4870" width="15" bestFit="1" customWidth="1"/>
    <col min="4871" max="4871" width="11.28515625" bestFit="1" customWidth="1"/>
    <col min="4872" max="4873" width="11.140625" bestFit="1" customWidth="1"/>
    <col min="4874" max="4874" width="10.7109375" bestFit="1" customWidth="1"/>
    <col min="4875" max="4876" width="11.140625" bestFit="1" customWidth="1"/>
    <col min="4877" max="4877" width="12.7109375" bestFit="1" customWidth="1"/>
    <col min="4878" max="4878" width="11.140625" bestFit="1" customWidth="1"/>
    <col min="4879" max="4879" width="13.42578125" bestFit="1" customWidth="1"/>
    <col min="4881" max="4882" width="11.7109375" customWidth="1"/>
    <col min="4884" max="4884" width="15.85546875" customWidth="1"/>
    <col min="4886" max="4886" width="11.140625" bestFit="1" customWidth="1"/>
    <col min="4887" max="4887" width="8.28515625" customWidth="1"/>
    <col min="4888" max="4888" width="7" customWidth="1"/>
    <col min="5123" max="5123" width="11.140625" bestFit="1" customWidth="1"/>
    <col min="5124" max="5124" width="10.7109375" bestFit="1" customWidth="1"/>
    <col min="5125" max="5125" width="16.85546875" bestFit="1" customWidth="1"/>
    <col min="5126" max="5126" width="15" bestFit="1" customWidth="1"/>
    <col min="5127" max="5127" width="11.28515625" bestFit="1" customWidth="1"/>
    <col min="5128" max="5129" width="11.140625" bestFit="1" customWidth="1"/>
    <col min="5130" max="5130" width="10.7109375" bestFit="1" customWidth="1"/>
    <col min="5131" max="5132" width="11.140625" bestFit="1" customWidth="1"/>
    <col min="5133" max="5133" width="12.7109375" bestFit="1" customWidth="1"/>
    <col min="5134" max="5134" width="11.140625" bestFit="1" customWidth="1"/>
    <col min="5135" max="5135" width="13.42578125" bestFit="1" customWidth="1"/>
    <col min="5137" max="5138" width="11.7109375" customWidth="1"/>
    <col min="5140" max="5140" width="15.85546875" customWidth="1"/>
    <col min="5142" max="5142" width="11.140625" bestFit="1" customWidth="1"/>
    <col min="5143" max="5143" width="8.28515625" customWidth="1"/>
    <col min="5144" max="5144" width="7" customWidth="1"/>
    <col min="5379" max="5379" width="11.140625" bestFit="1" customWidth="1"/>
    <col min="5380" max="5380" width="10.7109375" bestFit="1" customWidth="1"/>
    <col min="5381" max="5381" width="16.85546875" bestFit="1" customWidth="1"/>
    <col min="5382" max="5382" width="15" bestFit="1" customWidth="1"/>
    <col min="5383" max="5383" width="11.28515625" bestFit="1" customWidth="1"/>
    <col min="5384" max="5385" width="11.140625" bestFit="1" customWidth="1"/>
    <col min="5386" max="5386" width="10.7109375" bestFit="1" customWidth="1"/>
    <col min="5387" max="5388" width="11.140625" bestFit="1" customWidth="1"/>
    <col min="5389" max="5389" width="12.7109375" bestFit="1" customWidth="1"/>
    <col min="5390" max="5390" width="11.140625" bestFit="1" customWidth="1"/>
    <col min="5391" max="5391" width="13.42578125" bestFit="1" customWidth="1"/>
    <col min="5393" max="5394" width="11.7109375" customWidth="1"/>
    <col min="5396" max="5396" width="15.85546875" customWidth="1"/>
    <col min="5398" max="5398" width="11.140625" bestFit="1" customWidth="1"/>
    <col min="5399" max="5399" width="8.28515625" customWidth="1"/>
    <col min="5400" max="5400" width="7" customWidth="1"/>
    <col min="5635" max="5635" width="11.140625" bestFit="1" customWidth="1"/>
    <col min="5636" max="5636" width="10.7109375" bestFit="1" customWidth="1"/>
    <col min="5637" max="5637" width="16.85546875" bestFit="1" customWidth="1"/>
    <col min="5638" max="5638" width="15" bestFit="1" customWidth="1"/>
    <col min="5639" max="5639" width="11.28515625" bestFit="1" customWidth="1"/>
    <col min="5640" max="5641" width="11.140625" bestFit="1" customWidth="1"/>
    <col min="5642" max="5642" width="10.7109375" bestFit="1" customWidth="1"/>
    <col min="5643" max="5644" width="11.140625" bestFit="1" customWidth="1"/>
    <col min="5645" max="5645" width="12.7109375" bestFit="1" customWidth="1"/>
    <col min="5646" max="5646" width="11.140625" bestFit="1" customWidth="1"/>
    <col min="5647" max="5647" width="13.42578125" bestFit="1" customWidth="1"/>
    <col min="5649" max="5650" width="11.7109375" customWidth="1"/>
    <col min="5652" max="5652" width="15.85546875" customWidth="1"/>
    <col min="5654" max="5654" width="11.140625" bestFit="1" customWidth="1"/>
    <col min="5655" max="5655" width="8.28515625" customWidth="1"/>
    <col min="5656" max="5656" width="7" customWidth="1"/>
    <col min="5891" max="5891" width="11.140625" bestFit="1" customWidth="1"/>
    <col min="5892" max="5892" width="10.7109375" bestFit="1" customWidth="1"/>
    <col min="5893" max="5893" width="16.85546875" bestFit="1" customWidth="1"/>
    <col min="5894" max="5894" width="15" bestFit="1" customWidth="1"/>
    <col min="5895" max="5895" width="11.28515625" bestFit="1" customWidth="1"/>
    <col min="5896" max="5897" width="11.140625" bestFit="1" customWidth="1"/>
    <col min="5898" max="5898" width="10.7109375" bestFit="1" customWidth="1"/>
    <col min="5899" max="5900" width="11.140625" bestFit="1" customWidth="1"/>
    <col min="5901" max="5901" width="12.7109375" bestFit="1" customWidth="1"/>
    <col min="5902" max="5902" width="11.140625" bestFit="1" customWidth="1"/>
    <col min="5903" max="5903" width="13.42578125" bestFit="1" customWidth="1"/>
    <col min="5905" max="5906" width="11.7109375" customWidth="1"/>
    <col min="5908" max="5908" width="15.85546875" customWidth="1"/>
    <col min="5910" max="5910" width="11.140625" bestFit="1" customWidth="1"/>
    <col min="5911" max="5911" width="8.28515625" customWidth="1"/>
    <col min="5912" max="5912" width="7" customWidth="1"/>
    <col min="6147" max="6147" width="11.140625" bestFit="1" customWidth="1"/>
    <col min="6148" max="6148" width="10.7109375" bestFit="1" customWidth="1"/>
    <col min="6149" max="6149" width="16.85546875" bestFit="1" customWidth="1"/>
    <col min="6150" max="6150" width="15" bestFit="1" customWidth="1"/>
    <col min="6151" max="6151" width="11.28515625" bestFit="1" customWidth="1"/>
    <col min="6152" max="6153" width="11.140625" bestFit="1" customWidth="1"/>
    <col min="6154" max="6154" width="10.7109375" bestFit="1" customWidth="1"/>
    <col min="6155" max="6156" width="11.140625" bestFit="1" customWidth="1"/>
    <col min="6157" max="6157" width="12.7109375" bestFit="1" customWidth="1"/>
    <col min="6158" max="6158" width="11.140625" bestFit="1" customWidth="1"/>
    <col min="6159" max="6159" width="13.42578125" bestFit="1" customWidth="1"/>
    <col min="6161" max="6162" width="11.7109375" customWidth="1"/>
    <col min="6164" max="6164" width="15.85546875" customWidth="1"/>
    <col min="6166" max="6166" width="11.140625" bestFit="1" customWidth="1"/>
    <col min="6167" max="6167" width="8.28515625" customWidth="1"/>
    <col min="6168" max="6168" width="7" customWidth="1"/>
    <col min="6403" max="6403" width="11.140625" bestFit="1" customWidth="1"/>
    <col min="6404" max="6404" width="10.7109375" bestFit="1" customWidth="1"/>
    <col min="6405" max="6405" width="16.85546875" bestFit="1" customWidth="1"/>
    <col min="6406" max="6406" width="15" bestFit="1" customWidth="1"/>
    <col min="6407" max="6407" width="11.28515625" bestFit="1" customWidth="1"/>
    <col min="6408" max="6409" width="11.140625" bestFit="1" customWidth="1"/>
    <col min="6410" max="6410" width="10.7109375" bestFit="1" customWidth="1"/>
    <col min="6411" max="6412" width="11.140625" bestFit="1" customWidth="1"/>
    <col min="6413" max="6413" width="12.7109375" bestFit="1" customWidth="1"/>
    <col min="6414" max="6414" width="11.140625" bestFit="1" customWidth="1"/>
    <col min="6415" max="6415" width="13.42578125" bestFit="1" customWidth="1"/>
    <col min="6417" max="6418" width="11.7109375" customWidth="1"/>
    <col min="6420" max="6420" width="15.85546875" customWidth="1"/>
    <col min="6422" max="6422" width="11.140625" bestFit="1" customWidth="1"/>
    <col min="6423" max="6423" width="8.28515625" customWidth="1"/>
    <col min="6424" max="6424" width="7" customWidth="1"/>
    <col min="6659" max="6659" width="11.140625" bestFit="1" customWidth="1"/>
    <col min="6660" max="6660" width="10.7109375" bestFit="1" customWidth="1"/>
    <col min="6661" max="6661" width="16.85546875" bestFit="1" customWidth="1"/>
    <col min="6662" max="6662" width="15" bestFit="1" customWidth="1"/>
    <col min="6663" max="6663" width="11.28515625" bestFit="1" customWidth="1"/>
    <col min="6664" max="6665" width="11.140625" bestFit="1" customWidth="1"/>
    <col min="6666" max="6666" width="10.7109375" bestFit="1" customWidth="1"/>
    <col min="6667" max="6668" width="11.140625" bestFit="1" customWidth="1"/>
    <col min="6669" max="6669" width="12.7109375" bestFit="1" customWidth="1"/>
    <col min="6670" max="6670" width="11.140625" bestFit="1" customWidth="1"/>
    <col min="6671" max="6671" width="13.42578125" bestFit="1" customWidth="1"/>
    <col min="6673" max="6674" width="11.7109375" customWidth="1"/>
    <col min="6676" max="6676" width="15.85546875" customWidth="1"/>
    <col min="6678" max="6678" width="11.140625" bestFit="1" customWidth="1"/>
    <col min="6679" max="6679" width="8.28515625" customWidth="1"/>
    <col min="6680" max="6680" width="7" customWidth="1"/>
    <col min="6915" max="6915" width="11.140625" bestFit="1" customWidth="1"/>
    <col min="6916" max="6916" width="10.7109375" bestFit="1" customWidth="1"/>
    <col min="6917" max="6917" width="16.85546875" bestFit="1" customWidth="1"/>
    <col min="6918" max="6918" width="15" bestFit="1" customWidth="1"/>
    <col min="6919" max="6919" width="11.28515625" bestFit="1" customWidth="1"/>
    <col min="6920" max="6921" width="11.140625" bestFit="1" customWidth="1"/>
    <col min="6922" max="6922" width="10.7109375" bestFit="1" customWidth="1"/>
    <col min="6923" max="6924" width="11.140625" bestFit="1" customWidth="1"/>
    <col min="6925" max="6925" width="12.7109375" bestFit="1" customWidth="1"/>
    <col min="6926" max="6926" width="11.140625" bestFit="1" customWidth="1"/>
    <col min="6927" max="6927" width="13.42578125" bestFit="1" customWidth="1"/>
    <col min="6929" max="6930" width="11.7109375" customWidth="1"/>
    <col min="6932" max="6932" width="15.85546875" customWidth="1"/>
    <col min="6934" max="6934" width="11.140625" bestFit="1" customWidth="1"/>
    <col min="6935" max="6935" width="8.28515625" customWidth="1"/>
    <col min="6936" max="6936" width="7" customWidth="1"/>
    <col min="7171" max="7171" width="11.140625" bestFit="1" customWidth="1"/>
    <col min="7172" max="7172" width="10.7109375" bestFit="1" customWidth="1"/>
    <col min="7173" max="7173" width="16.85546875" bestFit="1" customWidth="1"/>
    <col min="7174" max="7174" width="15" bestFit="1" customWidth="1"/>
    <col min="7175" max="7175" width="11.28515625" bestFit="1" customWidth="1"/>
    <col min="7176" max="7177" width="11.140625" bestFit="1" customWidth="1"/>
    <col min="7178" max="7178" width="10.7109375" bestFit="1" customWidth="1"/>
    <col min="7179" max="7180" width="11.140625" bestFit="1" customWidth="1"/>
    <col min="7181" max="7181" width="12.7109375" bestFit="1" customWidth="1"/>
    <col min="7182" max="7182" width="11.140625" bestFit="1" customWidth="1"/>
    <col min="7183" max="7183" width="13.42578125" bestFit="1" customWidth="1"/>
    <col min="7185" max="7186" width="11.7109375" customWidth="1"/>
    <col min="7188" max="7188" width="15.85546875" customWidth="1"/>
    <col min="7190" max="7190" width="11.140625" bestFit="1" customWidth="1"/>
    <col min="7191" max="7191" width="8.28515625" customWidth="1"/>
    <col min="7192" max="7192" width="7" customWidth="1"/>
    <col min="7427" max="7427" width="11.140625" bestFit="1" customWidth="1"/>
    <col min="7428" max="7428" width="10.7109375" bestFit="1" customWidth="1"/>
    <col min="7429" max="7429" width="16.85546875" bestFit="1" customWidth="1"/>
    <col min="7430" max="7430" width="15" bestFit="1" customWidth="1"/>
    <col min="7431" max="7431" width="11.28515625" bestFit="1" customWidth="1"/>
    <col min="7432" max="7433" width="11.140625" bestFit="1" customWidth="1"/>
    <col min="7434" max="7434" width="10.7109375" bestFit="1" customWidth="1"/>
    <col min="7435" max="7436" width="11.140625" bestFit="1" customWidth="1"/>
    <col min="7437" max="7437" width="12.7109375" bestFit="1" customWidth="1"/>
    <col min="7438" max="7438" width="11.140625" bestFit="1" customWidth="1"/>
    <col min="7439" max="7439" width="13.42578125" bestFit="1" customWidth="1"/>
    <col min="7441" max="7442" width="11.7109375" customWidth="1"/>
    <col min="7444" max="7444" width="15.85546875" customWidth="1"/>
    <col min="7446" max="7446" width="11.140625" bestFit="1" customWidth="1"/>
    <col min="7447" max="7447" width="8.28515625" customWidth="1"/>
    <col min="7448" max="7448" width="7" customWidth="1"/>
    <col min="7683" max="7683" width="11.140625" bestFit="1" customWidth="1"/>
    <col min="7684" max="7684" width="10.7109375" bestFit="1" customWidth="1"/>
    <col min="7685" max="7685" width="16.85546875" bestFit="1" customWidth="1"/>
    <col min="7686" max="7686" width="15" bestFit="1" customWidth="1"/>
    <col min="7687" max="7687" width="11.28515625" bestFit="1" customWidth="1"/>
    <col min="7688" max="7689" width="11.140625" bestFit="1" customWidth="1"/>
    <col min="7690" max="7690" width="10.7109375" bestFit="1" customWidth="1"/>
    <col min="7691" max="7692" width="11.140625" bestFit="1" customWidth="1"/>
    <col min="7693" max="7693" width="12.7109375" bestFit="1" customWidth="1"/>
    <col min="7694" max="7694" width="11.140625" bestFit="1" customWidth="1"/>
    <col min="7695" max="7695" width="13.42578125" bestFit="1" customWidth="1"/>
    <col min="7697" max="7698" width="11.7109375" customWidth="1"/>
    <col min="7700" max="7700" width="15.85546875" customWidth="1"/>
    <col min="7702" max="7702" width="11.140625" bestFit="1" customWidth="1"/>
    <col min="7703" max="7703" width="8.28515625" customWidth="1"/>
    <col min="7704" max="7704" width="7" customWidth="1"/>
    <col min="7939" max="7939" width="11.140625" bestFit="1" customWidth="1"/>
    <col min="7940" max="7940" width="10.7109375" bestFit="1" customWidth="1"/>
    <col min="7941" max="7941" width="16.85546875" bestFit="1" customWidth="1"/>
    <col min="7942" max="7942" width="15" bestFit="1" customWidth="1"/>
    <col min="7943" max="7943" width="11.28515625" bestFit="1" customWidth="1"/>
    <col min="7944" max="7945" width="11.140625" bestFit="1" customWidth="1"/>
    <col min="7946" max="7946" width="10.7109375" bestFit="1" customWidth="1"/>
    <col min="7947" max="7948" width="11.140625" bestFit="1" customWidth="1"/>
    <col min="7949" max="7949" width="12.7109375" bestFit="1" customWidth="1"/>
    <col min="7950" max="7950" width="11.140625" bestFit="1" customWidth="1"/>
    <col min="7951" max="7951" width="13.42578125" bestFit="1" customWidth="1"/>
    <col min="7953" max="7954" width="11.7109375" customWidth="1"/>
    <col min="7956" max="7956" width="15.85546875" customWidth="1"/>
    <col min="7958" max="7958" width="11.140625" bestFit="1" customWidth="1"/>
    <col min="7959" max="7959" width="8.28515625" customWidth="1"/>
    <col min="7960" max="7960" width="7" customWidth="1"/>
    <col min="8195" max="8195" width="11.140625" bestFit="1" customWidth="1"/>
    <col min="8196" max="8196" width="10.7109375" bestFit="1" customWidth="1"/>
    <col min="8197" max="8197" width="16.85546875" bestFit="1" customWidth="1"/>
    <col min="8198" max="8198" width="15" bestFit="1" customWidth="1"/>
    <col min="8199" max="8199" width="11.28515625" bestFit="1" customWidth="1"/>
    <col min="8200" max="8201" width="11.140625" bestFit="1" customWidth="1"/>
    <col min="8202" max="8202" width="10.7109375" bestFit="1" customWidth="1"/>
    <col min="8203" max="8204" width="11.140625" bestFit="1" customWidth="1"/>
    <col min="8205" max="8205" width="12.7109375" bestFit="1" customWidth="1"/>
    <col min="8206" max="8206" width="11.140625" bestFit="1" customWidth="1"/>
    <col min="8207" max="8207" width="13.42578125" bestFit="1" customWidth="1"/>
    <col min="8209" max="8210" width="11.7109375" customWidth="1"/>
    <col min="8212" max="8212" width="15.85546875" customWidth="1"/>
    <col min="8214" max="8214" width="11.140625" bestFit="1" customWidth="1"/>
    <col min="8215" max="8215" width="8.28515625" customWidth="1"/>
    <col min="8216" max="8216" width="7" customWidth="1"/>
    <col min="8451" max="8451" width="11.140625" bestFit="1" customWidth="1"/>
    <col min="8452" max="8452" width="10.7109375" bestFit="1" customWidth="1"/>
    <col min="8453" max="8453" width="16.85546875" bestFit="1" customWidth="1"/>
    <col min="8454" max="8454" width="15" bestFit="1" customWidth="1"/>
    <col min="8455" max="8455" width="11.28515625" bestFit="1" customWidth="1"/>
    <col min="8456" max="8457" width="11.140625" bestFit="1" customWidth="1"/>
    <col min="8458" max="8458" width="10.7109375" bestFit="1" customWidth="1"/>
    <col min="8459" max="8460" width="11.140625" bestFit="1" customWidth="1"/>
    <col min="8461" max="8461" width="12.7109375" bestFit="1" customWidth="1"/>
    <col min="8462" max="8462" width="11.140625" bestFit="1" customWidth="1"/>
    <col min="8463" max="8463" width="13.42578125" bestFit="1" customWidth="1"/>
    <col min="8465" max="8466" width="11.7109375" customWidth="1"/>
    <col min="8468" max="8468" width="15.85546875" customWidth="1"/>
    <col min="8470" max="8470" width="11.140625" bestFit="1" customWidth="1"/>
    <col min="8471" max="8471" width="8.28515625" customWidth="1"/>
    <col min="8472" max="8472" width="7" customWidth="1"/>
    <col min="8707" max="8707" width="11.140625" bestFit="1" customWidth="1"/>
    <col min="8708" max="8708" width="10.7109375" bestFit="1" customWidth="1"/>
    <col min="8709" max="8709" width="16.85546875" bestFit="1" customWidth="1"/>
    <col min="8710" max="8710" width="15" bestFit="1" customWidth="1"/>
    <col min="8711" max="8711" width="11.28515625" bestFit="1" customWidth="1"/>
    <col min="8712" max="8713" width="11.140625" bestFit="1" customWidth="1"/>
    <col min="8714" max="8714" width="10.7109375" bestFit="1" customWidth="1"/>
    <col min="8715" max="8716" width="11.140625" bestFit="1" customWidth="1"/>
    <col min="8717" max="8717" width="12.7109375" bestFit="1" customWidth="1"/>
    <col min="8718" max="8718" width="11.140625" bestFit="1" customWidth="1"/>
    <col min="8719" max="8719" width="13.42578125" bestFit="1" customWidth="1"/>
    <col min="8721" max="8722" width="11.7109375" customWidth="1"/>
    <col min="8724" max="8724" width="15.85546875" customWidth="1"/>
    <col min="8726" max="8726" width="11.140625" bestFit="1" customWidth="1"/>
    <col min="8727" max="8727" width="8.28515625" customWidth="1"/>
    <col min="8728" max="8728" width="7" customWidth="1"/>
    <col min="8963" max="8963" width="11.140625" bestFit="1" customWidth="1"/>
    <col min="8964" max="8964" width="10.7109375" bestFit="1" customWidth="1"/>
    <col min="8965" max="8965" width="16.85546875" bestFit="1" customWidth="1"/>
    <col min="8966" max="8966" width="15" bestFit="1" customWidth="1"/>
    <col min="8967" max="8967" width="11.28515625" bestFit="1" customWidth="1"/>
    <col min="8968" max="8969" width="11.140625" bestFit="1" customWidth="1"/>
    <col min="8970" max="8970" width="10.7109375" bestFit="1" customWidth="1"/>
    <col min="8971" max="8972" width="11.140625" bestFit="1" customWidth="1"/>
    <col min="8973" max="8973" width="12.7109375" bestFit="1" customWidth="1"/>
    <col min="8974" max="8974" width="11.140625" bestFit="1" customWidth="1"/>
    <col min="8975" max="8975" width="13.42578125" bestFit="1" customWidth="1"/>
    <col min="8977" max="8978" width="11.7109375" customWidth="1"/>
    <col min="8980" max="8980" width="15.85546875" customWidth="1"/>
    <col min="8982" max="8982" width="11.140625" bestFit="1" customWidth="1"/>
    <col min="8983" max="8983" width="8.28515625" customWidth="1"/>
    <col min="8984" max="8984" width="7" customWidth="1"/>
    <col min="9219" max="9219" width="11.140625" bestFit="1" customWidth="1"/>
    <col min="9220" max="9220" width="10.7109375" bestFit="1" customWidth="1"/>
    <col min="9221" max="9221" width="16.85546875" bestFit="1" customWidth="1"/>
    <col min="9222" max="9222" width="15" bestFit="1" customWidth="1"/>
    <col min="9223" max="9223" width="11.28515625" bestFit="1" customWidth="1"/>
    <col min="9224" max="9225" width="11.140625" bestFit="1" customWidth="1"/>
    <col min="9226" max="9226" width="10.7109375" bestFit="1" customWidth="1"/>
    <col min="9227" max="9228" width="11.140625" bestFit="1" customWidth="1"/>
    <col min="9229" max="9229" width="12.7109375" bestFit="1" customWidth="1"/>
    <col min="9230" max="9230" width="11.140625" bestFit="1" customWidth="1"/>
    <col min="9231" max="9231" width="13.42578125" bestFit="1" customWidth="1"/>
    <col min="9233" max="9234" width="11.7109375" customWidth="1"/>
    <col min="9236" max="9236" width="15.85546875" customWidth="1"/>
    <col min="9238" max="9238" width="11.140625" bestFit="1" customWidth="1"/>
    <col min="9239" max="9239" width="8.28515625" customWidth="1"/>
    <col min="9240" max="9240" width="7" customWidth="1"/>
    <col min="9475" max="9475" width="11.140625" bestFit="1" customWidth="1"/>
    <col min="9476" max="9476" width="10.7109375" bestFit="1" customWidth="1"/>
    <col min="9477" max="9477" width="16.85546875" bestFit="1" customWidth="1"/>
    <col min="9478" max="9478" width="15" bestFit="1" customWidth="1"/>
    <col min="9479" max="9479" width="11.28515625" bestFit="1" customWidth="1"/>
    <col min="9480" max="9481" width="11.140625" bestFit="1" customWidth="1"/>
    <col min="9482" max="9482" width="10.7109375" bestFit="1" customWidth="1"/>
    <col min="9483" max="9484" width="11.140625" bestFit="1" customWidth="1"/>
    <col min="9485" max="9485" width="12.7109375" bestFit="1" customWidth="1"/>
    <col min="9486" max="9486" width="11.140625" bestFit="1" customWidth="1"/>
    <col min="9487" max="9487" width="13.42578125" bestFit="1" customWidth="1"/>
    <col min="9489" max="9490" width="11.7109375" customWidth="1"/>
    <col min="9492" max="9492" width="15.85546875" customWidth="1"/>
    <col min="9494" max="9494" width="11.140625" bestFit="1" customWidth="1"/>
    <col min="9495" max="9495" width="8.28515625" customWidth="1"/>
    <col min="9496" max="9496" width="7" customWidth="1"/>
    <col min="9731" max="9731" width="11.140625" bestFit="1" customWidth="1"/>
    <col min="9732" max="9732" width="10.7109375" bestFit="1" customWidth="1"/>
    <col min="9733" max="9733" width="16.85546875" bestFit="1" customWidth="1"/>
    <col min="9734" max="9734" width="15" bestFit="1" customWidth="1"/>
    <col min="9735" max="9735" width="11.28515625" bestFit="1" customWidth="1"/>
    <col min="9736" max="9737" width="11.140625" bestFit="1" customWidth="1"/>
    <col min="9738" max="9738" width="10.7109375" bestFit="1" customWidth="1"/>
    <col min="9739" max="9740" width="11.140625" bestFit="1" customWidth="1"/>
    <col min="9741" max="9741" width="12.7109375" bestFit="1" customWidth="1"/>
    <col min="9742" max="9742" width="11.140625" bestFit="1" customWidth="1"/>
    <col min="9743" max="9743" width="13.42578125" bestFit="1" customWidth="1"/>
    <col min="9745" max="9746" width="11.7109375" customWidth="1"/>
    <col min="9748" max="9748" width="15.85546875" customWidth="1"/>
    <col min="9750" max="9750" width="11.140625" bestFit="1" customWidth="1"/>
    <col min="9751" max="9751" width="8.28515625" customWidth="1"/>
    <col min="9752" max="9752" width="7" customWidth="1"/>
    <col min="9987" max="9987" width="11.140625" bestFit="1" customWidth="1"/>
    <col min="9988" max="9988" width="10.7109375" bestFit="1" customWidth="1"/>
    <col min="9989" max="9989" width="16.85546875" bestFit="1" customWidth="1"/>
    <col min="9990" max="9990" width="15" bestFit="1" customWidth="1"/>
    <col min="9991" max="9991" width="11.28515625" bestFit="1" customWidth="1"/>
    <col min="9992" max="9993" width="11.140625" bestFit="1" customWidth="1"/>
    <col min="9994" max="9994" width="10.7109375" bestFit="1" customWidth="1"/>
    <col min="9995" max="9996" width="11.140625" bestFit="1" customWidth="1"/>
    <col min="9997" max="9997" width="12.7109375" bestFit="1" customWidth="1"/>
    <col min="9998" max="9998" width="11.140625" bestFit="1" customWidth="1"/>
    <col min="9999" max="9999" width="13.42578125" bestFit="1" customWidth="1"/>
    <col min="10001" max="10002" width="11.7109375" customWidth="1"/>
    <col min="10004" max="10004" width="15.85546875" customWidth="1"/>
    <col min="10006" max="10006" width="11.140625" bestFit="1" customWidth="1"/>
    <col min="10007" max="10007" width="8.28515625" customWidth="1"/>
    <col min="10008" max="10008" width="7" customWidth="1"/>
    <col min="10243" max="10243" width="11.140625" bestFit="1" customWidth="1"/>
    <col min="10244" max="10244" width="10.7109375" bestFit="1" customWidth="1"/>
    <col min="10245" max="10245" width="16.85546875" bestFit="1" customWidth="1"/>
    <col min="10246" max="10246" width="15" bestFit="1" customWidth="1"/>
    <col min="10247" max="10247" width="11.28515625" bestFit="1" customWidth="1"/>
    <col min="10248" max="10249" width="11.140625" bestFit="1" customWidth="1"/>
    <col min="10250" max="10250" width="10.7109375" bestFit="1" customWidth="1"/>
    <col min="10251" max="10252" width="11.140625" bestFit="1" customWidth="1"/>
    <col min="10253" max="10253" width="12.7109375" bestFit="1" customWidth="1"/>
    <col min="10254" max="10254" width="11.140625" bestFit="1" customWidth="1"/>
    <col min="10255" max="10255" width="13.42578125" bestFit="1" customWidth="1"/>
    <col min="10257" max="10258" width="11.7109375" customWidth="1"/>
    <col min="10260" max="10260" width="15.85546875" customWidth="1"/>
    <col min="10262" max="10262" width="11.140625" bestFit="1" customWidth="1"/>
    <col min="10263" max="10263" width="8.28515625" customWidth="1"/>
    <col min="10264" max="10264" width="7" customWidth="1"/>
    <col min="10499" max="10499" width="11.140625" bestFit="1" customWidth="1"/>
    <col min="10500" max="10500" width="10.7109375" bestFit="1" customWidth="1"/>
    <col min="10501" max="10501" width="16.85546875" bestFit="1" customWidth="1"/>
    <col min="10502" max="10502" width="15" bestFit="1" customWidth="1"/>
    <col min="10503" max="10503" width="11.28515625" bestFit="1" customWidth="1"/>
    <col min="10504" max="10505" width="11.140625" bestFit="1" customWidth="1"/>
    <col min="10506" max="10506" width="10.7109375" bestFit="1" customWidth="1"/>
    <col min="10507" max="10508" width="11.140625" bestFit="1" customWidth="1"/>
    <col min="10509" max="10509" width="12.7109375" bestFit="1" customWidth="1"/>
    <col min="10510" max="10510" width="11.140625" bestFit="1" customWidth="1"/>
    <col min="10511" max="10511" width="13.42578125" bestFit="1" customWidth="1"/>
    <col min="10513" max="10514" width="11.7109375" customWidth="1"/>
    <col min="10516" max="10516" width="15.85546875" customWidth="1"/>
    <col min="10518" max="10518" width="11.140625" bestFit="1" customWidth="1"/>
    <col min="10519" max="10519" width="8.28515625" customWidth="1"/>
    <col min="10520" max="10520" width="7" customWidth="1"/>
    <col min="10755" max="10755" width="11.140625" bestFit="1" customWidth="1"/>
    <col min="10756" max="10756" width="10.7109375" bestFit="1" customWidth="1"/>
    <col min="10757" max="10757" width="16.85546875" bestFit="1" customWidth="1"/>
    <col min="10758" max="10758" width="15" bestFit="1" customWidth="1"/>
    <col min="10759" max="10759" width="11.28515625" bestFit="1" customWidth="1"/>
    <col min="10760" max="10761" width="11.140625" bestFit="1" customWidth="1"/>
    <col min="10762" max="10762" width="10.7109375" bestFit="1" customWidth="1"/>
    <col min="10763" max="10764" width="11.140625" bestFit="1" customWidth="1"/>
    <col min="10765" max="10765" width="12.7109375" bestFit="1" customWidth="1"/>
    <col min="10766" max="10766" width="11.140625" bestFit="1" customWidth="1"/>
    <col min="10767" max="10767" width="13.42578125" bestFit="1" customWidth="1"/>
    <col min="10769" max="10770" width="11.7109375" customWidth="1"/>
    <col min="10772" max="10772" width="15.85546875" customWidth="1"/>
    <col min="10774" max="10774" width="11.140625" bestFit="1" customWidth="1"/>
    <col min="10775" max="10775" width="8.28515625" customWidth="1"/>
    <col min="10776" max="10776" width="7" customWidth="1"/>
    <col min="11011" max="11011" width="11.140625" bestFit="1" customWidth="1"/>
    <col min="11012" max="11012" width="10.7109375" bestFit="1" customWidth="1"/>
    <col min="11013" max="11013" width="16.85546875" bestFit="1" customWidth="1"/>
    <col min="11014" max="11014" width="15" bestFit="1" customWidth="1"/>
    <col min="11015" max="11015" width="11.28515625" bestFit="1" customWidth="1"/>
    <col min="11016" max="11017" width="11.140625" bestFit="1" customWidth="1"/>
    <col min="11018" max="11018" width="10.7109375" bestFit="1" customWidth="1"/>
    <col min="11019" max="11020" width="11.140625" bestFit="1" customWidth="1"/>
    <col min="11021" max="11021" width="12.7109375" bestFit="1" customWidth="1"/>
    <col min="11022" max="11022" width="11.140625" bestFit="1" customWidth="1"/>
    <col min="11023" max="11023" width="13.42578125" bestFit="1" customWidth="1"/>
    <col min="11025" max="11026" width="11.7109375" customWidth="1"/>
    <col min="11028" max="11028" width="15.85546875" customWidth="1"/>
    <col min="11030" max="11030" width="11.140625" bestFit="1" customWidth="1"/>
    <col min="11031" max="11031" width="8.28515625" customWidth="1"/>
    <col min="11032" max="11032" width="7" customWidth="1"/>
    <col min="11267" max="11267" width="11.140625" bestFit="1" customWidth="1"/>
    <col min="11268" max="11268" width="10.7109375" bestFit="1" customWidth="1"/>
    <col min="11269" max="11269" width="16.85546875" bestFit="1" customWidth="1"/>
    <col min="11270" max="11270" width="15" bestFit="1" customWidth="1"/>
    <col min="11271" max="11271" width="11.28515625" bestFit="1" customWidth="1"/>
    <col min="11272" max="11273" width="11.140625" bestFit="1" customWidth="1"/>
    <col min="11274" max="11274" width="10.7109375" bestFit="1" customWidth="1"/>
    <col min="11275" max="11276" width="11.140625" bestFit="1" customWidth="1"/>
    <col min="11277" max="11277" width="12.7109375" bestFit="1" customWidth="1"/>
    <col min="11278" max="11278" width="11.140625" bestFit="1" customWidth="1"/>
    <col min="11279" max="11279" width="13.42578125" bestFit="1" customWidth="1"/>
    <col min="11281" max="11282" width="11.7109375" customWidth="1"/>
    <col min="11284" max="11284" width="15.85546875" customWidth="1"/>
    <col min="11286" max="11286" width="11.140625" bestFit="1" customWidth="1"/>
    <col min="11287" max="11287" width="8.28515625" customWidth="1"/>
    <col min="11288" max="11288" width="7" customWidth="1"/>
    <col min="11523" max="11523" width="11.140625" bestFit="1" customWidth="1"/>
    <col min="11524" max="11524" width="10.7109375" bestFit="1" customWidth="1"/>
    <col min="11525" max="11525" width="16.85546875" bestFit="1" customWidth="1"/>
    <col min="11526" max="11526" width="15" bestFit="1" customWidth="1"/>
    <col min="11527" max="11527" width="11.28515625" bestFit="1" customWidth="1"/>
    <col min="11528" max="11529" width="11.140625" bestFit="1" customWidth="1"/>
    <col min="11530" max="11530" width="10.7109375" bestFit="1" customWidth="1"/>
    <col min="11531" max="11532" width="11.140625" bestFit="1" customWidth="1"/>
    <col min="11533" max="11533" width="12.7109375" bestFit="1" customWidth="1"/>
    <col min="11534" max="11534" width="11.140625" bestFit="1" customWidth="1"/>
    <col min="11535" max="11535" width="13.42578125" bestFit="1" customWidth="1"/>
    <col min="11537" max="11538" width="11.7109375" customWidth="1"/>
    <col min="11540" max="11540" width="15.85546875" customWidth="1"/>
    <col min="11542" max="11542" width="11.140625" bestFit="1" customWidth="1"/>
    <col min="11543" max="11543" width="8.28515625" customWidth="1"/>
    <col min="11544" max="11544" width="7" customWidth="1"/>
    <col min="11779" max="11779" width="11.140625" bestFit="1" customWidth="1"/>
    <col min="11780" max="11780" width="10.7109375" bestFit="1" customWidth="1"/>
    <col min="11781" max="11781" width="16.85546875" bestFit="1" customWidth="1"/>
    <col min="11782" max="11782" width="15" bestFit="1" customWidth="1"/>
    <col min="11783" max="11783" width="11.28515625" bestFit="1" customWidth="1"/>
    <col min="11784" max="11785" width="11.140625" bestFit="1" customWidth="1"/>
    <col min="11786" max="11786" width="10.7109375" bestFit="1" customWidth="1"/>
    <col min="11787" max="11788" width="11.140625" bestFit="1" customWidth="1"/>
    <col min="11789" max="11789" width="12.7109375" bestFit="1" customWidth="1"/>
    <col min="11790" max="11790" width="11.140625" bestFit="1" customWidth="1"/>
    <col min="11791" max="11791" width="13.42578125" bestFit="1" customWidth="1"/>
    <col min="11793" max="11794" width="11.7109375" customWidth="1"/>
    <col min="11796" max="11796" width="15.85546875" customWidth="1"/>
    <col min="11798" max="11798" width="11.140625" bestFit="1" customWidth="1"/>
    <col min="11799" max="11799" width="8.28515625" customWidth="1"/>
    <col min="11800" max="11800" width="7" customWidth="1"/>
    <col min="12035" max="12035" width="11.140625" bestFit="1" customWidth="1"/>
    <col min="12036" max="12036" width="10.7109375" bestFit="1" customWidth="1"/>
    <col min="12037" max="12037" width="16.85546875" bestFit="1" customWidth="1"/>
    <col min="12038" max="12038" width="15" bestFit="1" customWidth="1"/>
    <col min="12039" max="12039" width="11.28515625" bestFit="1" customWidth="1"/>
    <col min="12040" max="12041" width="11.140625" bestFit="1" customWidth="1"/>
    <col min="12042" max="12042" width="10.7109375" bestFit="1" customWidth="1"/>
    <col min="12043" max="12044" width="11.140625" bestFit="1" customWidth="1"/>
    <col min="12045" max="12045" width="12.7109375" bestFit="1" customWidth="1"/>
    <col min="12046" max="12046" width="11.140625" bestFit="1" customWidth="1"/>
    <col min="12047" max="12047" width="13.42578125" bestFit="1" customWidth="1"/>
    <col min="12049" max="12050" width="11.7109375" customWidth="1"/>
    <col min="12052" max="12052" width="15.85546875" customWidth="1"/>
    <col min="12054" max="12054" width="11.140625" bestFit="1" customWidth="1"/>
    <col min="12055" max="12055" width="8.28515625" customWidth="1"/>
    <col min="12056" max="12056" width="7" customWidth="1"/>
    <col min="12291" max="12291" width="11.140625" bestFit="1" customWidth="1"/>
    <col min="12292" max="12292" width="10.7109375" bestFit="1" customWidth="1"/>
    <col min="12293" max="12293" width="16.85546875" bestFit="1" customWidth="1"/>
    <col min="12294" max="12294" width="15" bestFit="1" customWidth="1"/>
    <col min="12295" max="12295" width="11.28515625" bestFit="1" customWidth="1"/>
    <col min="12296" max="12297" width="11.140625" bestFit="1" customWidth="1"/>
    <col min="12298" max="12298" width="10.7109375" bestFit="1" customWidth="1"/>
    <col min="12299" max="12300" width="11.140625" bestFit="1" customWidth="1"/>
    <col min="12301" max="12301" width="12.7109375" bestFit="1" customWidth="1"/>
    <col min="12302" max="12302" width="11.140625" bestFit="1" customWidth="1"/>
    <col min="12303" max="12303" width="13.42578125" bestFit="1" customWidth="1"/>
    <col min="12305" max="12306" width="11.7109375" customWidth="1"/>
    <col min="12308" max="12308" width="15.85546875" customWidth="1"/>
    <col min="12310" max="12310" width="11.140625" bestFit="1" customWidth="1"/>
    <col min="12311" max="12311" width="8.28515625" customWidth="1"/>
    <col min="12312" max="12312" width="7" customWidth="1"/>
    <col min="12547" max="12547" width="11.140625" bestFit="1" customWidth="1"/>
    <col min="12548" max="12548" width="10.7109375" bestFit="1" customWidth="1"/>
    <col min="12549" max="12549" width="16.85546875" bestFit="1" customWidth="1"/>
    <col min="12550" max="12550" width="15" bestFit="1" customWidth="1"/>
    <col min="12551" max="12551" width="11.28515625" bestFit="1" customWidth="1"/>
    <col min="12552" max="12553" width="11.140625" bestFit="1" customWidth="1"/>
    <col min="12554" max="12554" width="10.7109375" bestFit="1" customWidth="1"/>
    <col min="12555" max="12556" width="11.140625" bestFit="1" customWidth="1"/>
    <col min="12557" max="12557" width="12.7109375" bestFit="1" customWidth="1"/>
    <col min="12558" max="12558" width="11.140625" bestFit="1" customWidth="1"/>
    <col min="12559" max="12559" width="13.42578125" bestFit="1" customWidth="1"/>
    <col min="12561" max="12562" width="11.7109375" customWidth="1"/>
    <col min="12564" max="12564" width="15.85546875" customWidth="1"/>
    <col min="12566" max="12566" width="11.140625" bestFit="1" customWidth="1"/>
    <col min="12567" max="12567" width="8.28515625" customWidth="1"/>
    <col min="12568" max="12568" width="7" customWidth="1"/>
    <col min="12803" max="12803" width="11.140625" bestFit="1" customWidth="1"/>
    <col min="12804" max="12804" width="10.7109375" bestFit="1" customWidth="1"/>
    <col min="12805" max="12805" width="16.85546875" bestFit="1" customWidth="1"/>
    <col min="12806" max="12806" width="15" bestFit="1" customWidth="1"/>
    <col min="12807" max="12807" width="11.28515625" bestFit="1" customWidth="1"/>
    <col min="12808" max="12809" width="11.140625" bestFit="1" customWidth="1"/>
    <col min="12810" max="12810" width="10.7109375" bestFit="1" customWidth="1"/>
    <col min="12811" max="12812" width="11.140625" bestFit="1" customWidth="1"/>
    <col min="12813" max="12813" width="12.7109375" bestFit="1" customWidth="1"/>
    <col min="12814" max="12814" width="11.140625" bestFit="1" customWidth="1"/>
    <col min="12815" max="12815" width="13.42578125" bestFit="1" customWidth="1"/>
    <col min="12817" max="12818" width="11.7109375" customWidth="1"/>
    <col min="12820" max="12820" width="15.85546875" customWidth="1"/>
    <col min="12822" max="12822" width="11.140625" bestFit="1" customWidth="1"/>
    <col min="12823" max="12823" width="8.28515625" customWidth="1"/>
    <col min="12824" max="12824" width="7" customWidth="1"/>
    <col min="13059" max="13059" width="11.140625" bestFit="1" customWidth="1"/>
    <col min="13060" max="13060" width="10.7109375" bestFit="1" customWidth="1"/>
    <col min="13061" max="13061" width="16.85546875" bestFit="1" customWidth="1"/>
    <col min="13062" max="13062" width="15" bestFit="1" customWidth="1"/>
    <col min="13063" max="13063" width="11.28515625" bestFit="1" customWidth="1"/>
    <col min="13064" max="13065" width="11.140625" bestFit="1" customWidth="1"/>
    <col min="13066" max="13066" width="10.7109375" bestFit="1" customWidth="1"/>
    <col min="13067" max="13068" width="11.140625" bestFit="1" customWidth="1"/>
    <col min="13069" max="13069" width="12.7109375" bestFit="1" customWidth="1"/>
    <col min="13070" max="13070" width="11.140625" bestFit="1" customWidth="1"/>
    <col min="13071" max="13071" width="13.42578125" bestFit="1" customWidth="1"/>
    <col min="13073" max="13074" width="11.7109375" customWidth="1"/>
    <col min="13076" max="13076" width="15.85546875" customWidth="1"/>
    <col min="13078" max="13078" width="11.140625" bestFit="1" customWidth="1"/>
    <col min="13079" max="13079" width="8.28515625" customWidth="1"/>
    <col min="13080" max="13080" width="7" customWidth="1"/>
    <col min="13315" max="13315" width="11.140625" bestFit="1" customWidth="1"/>
    <col min="13316" max="13316" width="10.7109375" bestFit="1" customWidth="1"/>
    <col min="13317" max="13317" width="16.85546875" bestFit="1" customWidth="1"/>
    <col min="13318" max="13318" width="15" bestFit="1" customWidth="1"/>
    <col min="13319" max="13319" width="11.28515625" bestFit="1" customWidth="1"/>
    <col min="13320" max="13321" width="11.140625" bestFit="1" customWidth="1"/>
    <col min="13322" max="13322" width="10.7109375" bestFit="1" customWidth="1"/>
    <col min="13323" max="13324" width="11.140625" bestFit="1" customWidth="1"/>
    <col min="13325" max="13325" width="12.7109375" bestFit="1" customWidth="1"/>
    <col min="13326" max="13326" width="11.140625" bestFit="1" customWidth="1"/>
    <col min="13327" max="13327" width="13.42578125" bestFit="1" customWidth="1"/>
    <col min="13329" max="13330" width="11.7109375" customWidth="1"/>
    <col min="13332" max="13332" width="15.85546875" customWidth="1"/>
    <col min="13334" max="13334" width="11.140625" bestFit="1" customWidth="1"/>
    <col min="13335" max="13335" width="8.28515625" customWidth="1"/>
    <col min="13336" max="13336" width="7" customWidth="1"/>
    <col min="13571" max="13571" width="11.140625" bestFit="1" customWidth="1"/>
    <col min="13572" max="13572" width="10.7109375" bestFit="1" customWidth="1"/>
    <col min="13573" max="13573" width="16.85546875" bestFit="1" customWidth="1"/>
    <col min="13574" max="13574" width="15" bestFit="1" customWidth="1"/>
    <col min="13575" max="13575" width="11.28515625" bestFit="1" customWidth="1"/>
    <col min="13576" max="13577" width="11.140625" bestFit="1" customWidth="1"/>
    <col min="13578" max="13578" width="10.7109375" bestFit="1" customWidth="1"/>
    <col min="13579" max="13580" width="11.140625" bestFit="1" customWidth="1"/>
    <col min="13581" max="13581" width="12.7109375" bestFit="1" customWidth="1"/>
    <col min="13582" max="13582" width="11.140625" bestFit="1" customWidth="1"/>
    <col min="13583" max="13583" width="13.42578125" bestFit="1" customWidth="1"/>
    <col min="13585" max="13586" width="11.7109375" customWidth="1"/>
    <col min="13588" max="13588" width="15.85546875" customWidth="1"/>
    <col min="13590" max="13590" width="11.140625" bestFit="1" customWidth="1"/>
    <col min="13591" max="13591" width="8.28515625" customWidth="1"/>
    <col min="13592" max="13592" width="7" customWidth="1"/>
    <col min="13827" max="13827" width="11.140625" bestFit="1" customWidth="1"/>
    <col min="13828" max="13828" width="10.7109375" bestFit="1" customWidth="1"/>
    <col min="13829" max="13829" width="16.85546875" bestFit="1" customWidth="1"/>
    <col min="13830" max="13830" width="15" bestFit="1" customWidth="1"/>
    <col min="13831" max="13831" width="11.28515625" bestFit="1" customWidth="1"/>
    <col min="13832" max="13833" width="11.140625" bestFit="1" customWidth="1"/>
    <col min="13834" max="13834" width="10.7109375" bestFit="1" customWidth="1"/>
    <col min="13835" max="13836" width="11.140625" bestFit="1" customWidth="1"/>
    <col min="13837" max="13837" width="12.7109375" bestFit="1" customWidth="1"/>
    <col min="13838" max="13838" width="11.140625" bestFit="1" customWidth="1"/>
    <col min="13839" max="13839" width="13.42578125" bestFit="1" customWidth="1"/>
    <col min="13841" max="13842" width="11.7109375" customWidth="1"/>
    <col min="13844" max="13844" width="15.85546875" customWidth="1"/>
    <col min="13846" max="13846" width="11.140625" bestFit="1" customWidth="1"/>
    <col min="13847" max="13847" width="8.28515625" customWidth="1"/>
    <col min="13848" max="13848" width="7" customWidth="1"/>
    <col min="14083" max="14083" width="11.140625" bestFit="1" customWidth="1"/>
    <col min="14084" max="14084" width="10.7109375" bestFit="1" customWidth="1"/>
    <col min="14085" max="14085" width="16.85546875" bestFit="1" customWidth="1"/>
    <col min="14086" max="14086" width="15" bestFit="1" customWidth="1"/>
    <col min="14087" max="14087" width="11.28515625" bestFit="1" customWidth="1"/>
    <col min="14088" max="14089" width="11.140625" bestFit="1" customWidth="1"/>
    <col min="14090" max="14090" width="10.7109375" bestFit="1" customWidth="1"/>
    <col min="14091" max="14092" width="11.140625" bestFit="1" customWidth="1"/>
    <col min="14093" max="14093" width="12.7109375" bestFit="1" customWidth="1"/>
    <col min="14094" max="14094" width="11.140625" bestFit="1" customWidth="1"/>
    <col min="14095" max="14095" width="13.42578125" bestFit="1" customWidth="1"/>
    <col min="14097" max="14098" width="11.7109375" customWidth="1"/>
    <col min="14100" max="14100" width="15.85546875" customWidth="1"/>
    <col min="14102" max="14102" width="11.140625" bestFit="1" customWidth="1"/>
    <col min="14103" max="14103" width="8.28515625" customWidth="1"/>
    <col min="14104" max="14104" width="7" customWidth="1"/>
    <col min="14339" max="14339" width="11.140625" bestFit="1" customWidth="1"/>
    <col min="14340" max="14340" width="10.7109375" bestFit="1" customWidth="1"/>
    <col min="14341" max="14341" width="16.85546875" bestFit="1" customWidth="1"/>
    <col min="14342" max="14342" width="15" bestFit="1" customWidth="1"/>
    <col min="14343" max="14343" width="11.28515625" bestFit="1" customWidth="1"/>
    <col min="14344" max="14345" width="11.140625" bestFit="1" customWidth="1"/>
    <col min="14346" max="14346" width="10.7109375" bestFit="1" customWidth="1"/>
    <col min="14347" max="14348" width="11.140625" bestFit="1" customWidth="1"/>
    <col min="14349" max="14349" width="12.7109375" bestFit="1" customWidth="1"/>
    <col min="14350" max="14350" width="11.140625" bestFit="1" customWidth="1"/>
    <col min="14351" max="14351" width="13.42578125" bestFit="1" customWidth="1"/>
    <col min="14353" max="14354" width="11.7109375" customWidth="1"/>
    <col min="14356" max="14356" width="15.85546875" customWidth="1"/>
    <col min="14358" max="14358" width="11.140625" bestFit="1" customWidth="1"/>
    <col min="14359" max="14359" width="8.28515625" customWidth="1"/>
    <col min="14360" max="14360" width="7" customWidth="1"/>
    <col min="14595" max="14595" width="11.140625" bestFit="1" customWidth="1"/>
    <col min="14596" max="14596" width="10.7109375" bestFit="1" customWidth="1"/>
    <col min="14597" max="14597" width="16.85546875" bestFit="1" customWidth="1"/>
    <col min="14598" max="14598" width="15" bestFit="1" customWidth="1"/>
    <col min="14599" max="14599" width="11.28515625" bestFit="1" customWidth="1"/>
    <col min="14600" max="14601" width="11.140625" bestFit="1" customWidth="1"/>
    <col min="14602" max="14602" width="10.7109375" bestFit="1" customWidth="1"/>
    <col min="14603" max="14604" width="11.140625" bestFit="1" customWidth="1"/>
    <col min="14605" max="14605" width="12.7109375" bestFit="1" customWidth="1"/>
    <col min="14606" max="14606" width="11.140625" bestFit="1" customWidth="1"/>
    <col min="14607" max="14607" width="13.42578125" bestFit="1" customWidth="1"/>
    <col min="14609" max="14610" width="11.7109375" customWidth="1"/>
    <col min="14612" max="14612" width="15.85546875" customWidth="1"/>
    <col min="14614" max="14614" width="11.140625" bestFit="1" customWidth="1"/>
    <col min="14615" max="14615" width="8.28515625" customWidth="1"/>
    <col min="14616" max="14616" width="7" customWidth="1"/>
    <col min="14851" max="14851" width="11.140625" bestFit="1" customWidth="1"/>
    <col min="14852" max="14852" width="10.7109375" bestFit="1" customWidth="1"/>
    <col min="14853" max="14853" width="16.85546875" bestFit="1" customWidth="1"/>
    <col min="14854" max="14854" width="15" bestFit="1" customWidth="1"/>
    <col min="14855" max="14855" width="11.28515625" bestFit="1" customWidth="1"/>
    <col min="14856" max="14857" width="11.140625" bestFit="1" customWidth="1"/>
    <col min="14858" max="14858" width="10.7109375" bestFit="1" customWidth="1"/>
    <col min="14859" max="14860" width="11.140625" bestFit="1" customWidth="1"/>
    <col min="14861" max="14861" width="12.7109375" bestFit="1" customWidth="1"/>
    <col min="14862" max="14862" width="11.140625" bestFit="1" customWidth="1"/>
    <col min="14863" max="14863" width="13.42578125" bestFit="1" customWidth="1"/>
    <col min="14865" max="14866" width="11.7109375" customWidth="1"/>
    <col min="14868" max="14868" width="15.85546875" customWidth="1"/>
    <col min="14870" max="14870" width="11.140625" bestFit="1" customWidth="1"/>
    <col min="14871" max="14871" width="8.28515625" customWidth="1"/>
    <col min="14872" max="14872" width="7" customWidth="1"/>
    <col min="15107" max="15107" width="11.140625" bestFit="1" customWidth="1"/>
    <col min="15108" max="15108" width="10.7109375" bestFit="1" customWidth="1"/>
    <col min="15109" max="15109" width="16.85546875" bestFit="1" customWidth="1"/>
    <col min="15110" max="15110" width="15" bestFit="1" customWidth="1"/>
    <col min="15111" max="15111" width="11.28515625" bestFit="1" customWidth="1"/>
    <col min="15112" max="15113" width="11.140625" bestFit="1" customWidth="1"/>
    <col min="15114" max="15114" width="10.7109375" bestFit="1" customWidth="1"/>
    <col min="15115" max="15116" width="11.140625" bestFit="1" customWidth="1"/>
    <col min="15117" max="15117" width="12.7109375" bestFit="1" customWidth="1"/>
    <col min="15118" max="15118" width="11.140625" bestFit="1" customWidth="1"/>
    <col min="15119" max="15119" width="13.42578125" bestFit="1" customWidth="1"/>
    <col min="15121" max="15122" width="11.7109375" customWidth="1"/>
    <col min="15124" max="15124" width="15.85546875" customWidth="1"/>
    <col min="15126" max="15126" width="11.140625" bestFit="1" customWidth="1"/>
    <col min="15127" max="15127" width="8.28515625" customWidth="1"/>
    <col min="15128" max="15128" width="7" customWidth="1"/>
    <col min="15363" max="15363" width="11.140625" bestFit="1" customWidth="1"/>
    <col min="15364" max="15364" width="10.7109375" bestFit="1" customWidth="1"/>
    <col min="15365" max="15365" width="16.85546875" bestFit="1" customWidth="1"/>
    <col min="15366" max="15366" width="15" bestFit="1" customWidth="1"/>
    <col min="15367" max="15367" width="11.28515625" bestFit="1" customWidth="1"/>
    <col min="15368" max="15369" width="11.140625" bestFit="1" customWidth="1"/>
    <col min="15370" max="15370" width="10.7109375" bestFit="1" customWidth="1"/>
    <col min="15371" max="15372" width="11.140625" bestFit="1" customWidth="1"/>
    <col min="15373" max="15373" width="12.7109375" bestFit="1" customWidth="1"/>
    <col min="15374" max="15374" width="11.140625" bestFit="1" customWidth="1"/>
    <col min="15375" max="15375" width="13.42578125" bestFit="1" customWidth="1"/>
    <col min="15377" max="15378" width="11.7109375" customWidth="1"/>
    <col min="15380" max="15380" width="15.85546875" customWidth="1"/>
    <col min="15382" max="15382" width="11.140625" bestFit="1" customWidth="1"/>
    <col min="15383" max="15383" width="8.28515625" customWidth="1"/>
    <col min="15384" max="15384" width="7" customWidth="1"/>
    <col min="15619" max="15619" width="11.140625" bestFit="1" customWidth="1"/>
    <col min="15620" max="15620" width="10.7109375" bestFit="1" customWidth="1"/>
    <col min="15621" max="15621" width="16.85546875" bestFit="1" customWidth="1"/>
    <col min="15622" max="15622" width="15" bestFit="1" customWidth="1"/>
    <col min="15623" max="15623" width="11.28515625" bestFit="1" customWidth="1"/>
    <col min="15624" max="15625" width="11.140625" bestFit="1" customWidth="1"/>
    <col min="15626" max="15626" width="10.7109375" bestFit="1" customWidth="1"/>
    <col min="15627" max="15628" width="11.140625" bestFit="1" customWidth="1"/>
    <col min="15629" max="15629" width="12.7109375" bestFit="1" customWidth="1"/>
    <col min="15630" max="15630" width="11.140625" bestFit="1" customWidth="1"/>
    <col min="15631" max="15631" width="13.42578125" bestFit="1" customWidth="1"/>
    <col min="15633" max="15634" width="11.7109375" customWidth="1"/>
    <col min="15636" max="15636" width="15.85546875" customWidth="1"/>
    <col min="15638" max="15638" width="11.140625" bestFit="1" customWidth="1"/>
    <col min="15639" max="15639" width="8.28515625" customWidth="1"/>
    <col min="15640" max="15640" width="7" customWidth="1"/>
    <col min="15875" max="15875" width="11.140625" bestFit="1" customWidth="1"/>
    <col min="15876" max="15876" width="10.7109375" bestFit="1" customWidth="1"/>
    <col min="15877" max="15877" width="16.85546875" bestFit="1" customWidth="1"/>
    <col min="15878" max="15878" width="15" bestFit="1" customWidth="1"/>
    <col min="15879" max="15879" width="11.28515625" bestFit="1" customWidth="1"/>
    <col min="15880" max="15881" width="11.140625" bestFit="1" customWidth="1"/>
    <col min="15882" max="15882" width="10.7109375" bestFit="1" customWidth="1"/>
    <col min="15883" max="15884" width="11.140625" bestFit="1" customWidth="1"/>
    <col min="15885" max="15885" width="12.7109375" bestFit="1" customWidth="1"/>
    <col min="15886" max="15886" width="11.140625" bestFit="1" customWidth="1"/>
    <col min="15887" max="15887" width="13.42578125" bestFit="1" customWidth="1"/>
    <col min="15889" max="15890" width="11.7109375" customWidth="1"/>
    <col min="15892" max="15892" width="15.85546875" customWidth="1"/>
    <col min="15894" max="15894" width="11.140625" bestFit="1" customWidth="1"/>
    <col min="15895" max="15895" width="8.28515625" customWidth="1"/>
    <col min="15896" max="15896" width="7" customWidth="1"/>
    <col min="16131" max="16131" width="11.140625" bestFit="1" customWidth="1"/>
    <col min="16132" max="16132" width="10.7109375" bestFit="1" customWidth="1"/>
    <col min="16133" max="16133" width="16.85546875" bestFit="1" customWidth="1"/>
    <col min="16134" max="16134" width="15" bestFit="1" customWidth="1"/>
    <col min="16135" max="16135" width="11.28515625" bestFit="1" customWidth="1"/>
    <col min="16136" max="16137" width="11.140625" bestFit="1" customWidth="1"/>
    <col min="16138" max="16138" width="10.7109375" bestFit="1" customWidth="1"/>
    <col min="16139" max="16140" width="11.140625" bestFit="1" customWidth="1"/>
    <col min="16141" max="16141" width="12.7109375" bestFit="1" customWidth="1"/>
    <col min="16142" max="16142" width="11.140625" bestFit="1" customWidth="1"/>
    <col min="16143" max="16143" width="13.42578125" bestFit="1" customWidth="1"/>
    <col min="16145" max="16146" width="11.7109375" customWidth="1"/>
    <col min="16148" max="16148" width="15.85546875" customWidth="1"/>
    <col min="16150" max="16150" width="11.140625" bestFit="1" customWidth="1"/>
    <col min="16151" max="16151" width="8.28515625" customWidth="1"/>
    <col min="16152" max="16152" width="7" customWidth="1"/>
  </cols>
  <sheetData>
    <row r="2" spans="1:22">
      <c r="C2" t="s">
        <v>0</v>
      </c>
      <c r="E2" t="s">
        <v>1</v>
      </c>
      <c r="I2" t="s">
        <v>2</v>
      </c>
      <c r="K2" t="s">
        <v>1</v>
      </c>
      <c r="M2" t="s">
        <v>3</v>
      </c>
      <c r="O2" t="s">
        <v>1</v>
      </c>
      <c r="Q2" s="1" t="s">
        <v>4</v>
      </c>
      <c r="T2" t="s">
        <v>5</v>
      </c>
    </row>
    <row r="3" spans="1:22" s="2" customFormat="1" ht="12.75">
      <c r="A3" s="2">
        <v>2019</v>
      </c>
      <c r="C3" s="3">
        <v>908.9</v>
      </c>
      <c r="D3" s="3"/>
      <c r="F3" s="3"/>
      <c r="I3" s="3">
        <v>75505.320000000007</v>
      </c>
      <c r="M3" s="3"/>
      <c r="Q3" s="3">
        <v>124544.71</v>
      </c>
      <c r="R3" s="3"/>
      <c r="T3" s="3">
        <f>C3 + I3 + Q3</f>
        <v>200958.93</v>
      </c>
    </row>
    <row r="4" spans="1:22" s="2" customFormat="1" ht="12.75">
      <c r="A4" s="4">
        <v>43831</v>
      </c>
      <c r="C4" s="3">
        <v>5061.6099999999997</v>
      </c>
      <c r="D4" s="3">
        <v>4809.29</v>
      </c>
      <c r="E4" s="5">
        <f>( (C4-D4)/C3 -1)</f>
        <v>-0.72238970183738616</v>
      </c>
      <c r="F4" s="3">
        <v>1220.07</v>
      </c>
      <c r="G4" s="5">
        <f>(F4/C4)</f>
        <v>0.24104385758681526</v>
      </c>
      <c r="I4" s="3">
        <v>125984.25</v>
      </c>
      <c r="J4" s="3">
        <v>-1958.12</v>
      </c>
      <c r="K4" s="5">
        <f t="shared" ref="K4:K14" si="0">((I4+J4)/I3) -1</f>
        <v>0.64261445418680418</v>
      </c>
      <c r="L4" s="5"/>
      <c r="M4" s="3"/>
      <c r="N4" s="3"/>
      <c r="O4" s="5"/>
      <c r="P4" s="5"/>
      <c r="Q4" s="3">
        <v>169551.84</v>
      </c>
      <c r="R4" s="5">
        <f t="shared" ref="R4:R14" si="1">Q4/Q3 -1</f>
        <v>0.36137327711470024</v>
      </c>
      <c r="T4" s="3">
        <f>C4 + I4 + Q4</f>
        <v>300597.7</v>
      </c>
      <c r="U4" s="5">
        <f>T4/T3 -1</f>
        <v>0.49581658302022213</v>
      </c>
    </row>
    <row r="5" spans="1:22" s="2" customFormat="1" ht="12.75">
      <c r="A5" s="4">
        <v>44197</v>
      </c>
      <c r="C5" s="3">
        <v>15011.69</v>
      </c>
      <c r="D5" s="3">
        <v>3253.8</v>
      </c>
      <c r="E5" s="5">
        <f>( (C5-D5)/C4 -1)</f>
        <v>1.3229545539857872</v>
      </c>
      <c r="F5" s="3">
        <v>8031.94</v>
      </c>
      <c r="G5" s="5">
        <f>(F5/C5)</f>
        <v>0.53504568772736438</v>
      </c>
      <c r="I5" s="3">
        <v>135360.94</v>
      </c>
      <c r="J5" s="3"/>
      <c r="K5" s="5">
        <f t="shared" si="0"/>
        <v>7.4427478037929262E-2</v>
      </c>
      <c r="L5" s="5"/>
      <c r="M5" s="3"/>
      <c r="N5" s="3"/>
      <c r="O5" s="5"/>
      <c r="P5" s="5"/>
      <c r="Q5" s="3">
        <v>241561.18</v>
      </c>
      <c r="R5" s="5">
        <f t="shared" si="1"/>
        <v>0.42470397254314673</v>
      </c>
      <c r="T5" s="3">
        <f>C5 + I5 + Q5</f>
        <v>391933.81</v>
      </c>
      <c r="U5" s="5">
        <f>T5/T4 -1</f>
        <v>0.30384833283820867</v>
      </c>
    </row>
    <row r="6" spans="1:22" s="2" customFormat="1" ht="12.75">
      <c r="A6" s="4">
        <v>44562</v>
      </c>
      <c r="C6" s="3">
        <v>18166.45</v>
      </c>
      <c r="D6" s="3">
        <v>3109.78</v>
      </c>
      <c r="E6" s="5">
        <f>( (C6-D6)/C5 -1)</f>
        <v>2.9963315256309464E-3</v>
      </c>
      <c r="F6" s="3">
        <v>2340.23</v>
      </c>
      <c r="G6" s="5">
        <f>(F6/C6)</f>
        <v>0.12882153640364519</v>
      </c>
      <c r="I6" s="3">
        <v>170104.5</v>
      </c>
      <c r="J6" s="3"/>
      <c r="K6" s="5">
        <f t="shared" si="0"/>
        <v>0.25667345395207808</v>
      </c>
      <c r="L6" s="5"/>
      <c r="M6" s="3">
        <v>234276.84</v>
      </c>
      <c r="N6" s="3">
        <v>226247.79</v>
      </c>
      <c r="O6" s="5">
        <f>((M6-N6)/N6)</f>
        <v>3.5487860456007055E-2</v>
      </c>
      <c r="P6" s="5"/>
      <c r="Q6" s="3">
        <v>319120.92</v>
      </c>
      <c r="R6" s="5">
        <f t="shared" si="1"/>
        <v>0.32107700417757523</v>
      </c>
      <c r="T6" s="3">
        <f t="shared" ref="T6:T14" si="2">C6 + I6 + M6 + Q6</f>
        <v>741668.71</v>
      </c>
      <c r="U6" s="5">
        <f>(T6-N6)/T5 -1</f>
        <v>0.31507133819355859</v>
      </c>
      <c r="V6" s="5">
        <f>(T6-N6)/T5 -1</f>
        <v>0.31507133819355859</v>
      </c>
    </row>
    <row r="7" spans="1:22">
      <c r="A7" s="6">
        <v>44593</v>
      </c>
      <c r="C7" s="1">
        <v>15952.6</v>
      </c>
      <c r="E7" s="7">
        <f t="shared" ref="E7:E14" si="3">( C7/C6 -1)</f>
        <v>-0.12186475618516557</v>
      </c>
      <c r="F7" s="1">
        <v>-840.73</v>
      </c>
      <c r="G7" s="7">
        <f t="shared" ref="G7:G14" si="4">(F7/C6)</f>
        <v>-4.6279267550897396E-2</v>
      </c>
      <c r="I7" s="1">
        <v>161252.46</v>
      </c>
      <c r="J7" s="1"/>
      <c r="K7" s="7">
        <f t="shared" si="0"/>
        <v>-5.2038834951456336E-2</v>
      </c>
      <c r="L7" s="7"/>
      <c r="M7" s="1">
        <v>213574.66</v>
      </c>
      <c r="N7" s="1"/>
      <c r="O7" s="7">
        <f>((M7+N7)/M6) -1</f>
        <v>-8.8366310558055994E-2</v>
      </c>
      <c r="P7" s="7"/>
      <c r="Q7" s="1">
        <v>302670.87</v>
      </c>
      <c r="R7" s="7">
        <f t="shared" si="1"/>
        <v>-5.1548015090956745E-2</v>
      </c>
      <c r="T7" s="1">
        <f t="shared" si="2"/>
        <v>693450.59</v>
      </c>
      <c r="U7" s="7">
        <f>T7/T6 -1</f>
        <v>-6.5013016391105349E-2</v>
      </c>
      <c r="V7" s="7">
        <f>T7/T6 -1</f>
        <v>-6.5013016391105349E-2</v>
      </c>
    </row>
    <row r="8" spans="1:22">
      <c r="A8" s="6">
        <v>44621</v>
      </c>
      <c r="C8" s="1">
        <v>15776.79</v>
      </c>
      <c r="E8" s="7">
        <f t="shared" si="3"/>
        <v>-1.1020774043102644E-2</v>
      </c>
      <c r="F8" s="1">
        <v>-300.99</v>
      </c>
      <c r="G8" s="7">
        <f t="shared" si="4"/>
        <v>-1.8867770770908818E-2</v>
      </c>
      <c r="I8" s="1">
        <v>170336.7</v>
      </c>
      <c r="J8" s="1"/>
      <c r="K8" s="7">
        <f t="shared" si="0"/>
        <v>5.6335512648923336E-2</v>
      </c>
      <c r="L8" s="7"/>
      <c r="M8" s="1">
        <v>207227.01</v>
      </c>
      <c r="N8" s="1"/>
      <c r="O8" s="7">
        <f>((M8+N8)/M7) -1</f>
        <v>-2.9720988435613105E-2</v>
      </c>
      <c r="P8" s="7"/>
      <c r="Q8" s="1">
        <v>305049.56</v>
      </c>
      <c r="R8" s="7">
        <f t="shared" si="1"/>
        <v>7.8589987863715294E-3</v>
      </c>
      <c r="T8" s="1">
        <f t="shared" si="2"/>
        <v>698390.06</v>
      </c>
      <c r="U8" s="7">
        <f>T8/T7 -1</f>
        <v>7.1230309285628124E-3</v>
      </c>
      <c r="V8" s="7">
        <f>T8/T6 -1</f>
        <v>-5.8353075189055637E-2</v>
      </c>
    </row>
    <row r="9" spans="1:22">
      <c r="A9" s="6">
        <v>44652</v>
      </c>
      <c r="C9" s="1">
        <v>16243.31</v>
      </c>
      <c r="E9" s="7">
        <f t="shared" si="3"/>
        <v>2.9570020263944619E-2</v>
      </c>
      <c r="F9" s="1">
        <v>-3034.9</v>
      </c>
      <c r="G9" s="7">
        <f t="shared" si="4"/>
        <v>-0.19236486002539172</v>
      </c>
      <c r="I9" s="1">
        <v>176978.76</v>
      </c>
      <c r="J9" s="1"/>
      <c r="K9" s="7">
        <f t="shared" si="0"/>
        <v>3.8993710691823891E-2</v>
      </c>
      <c r="L9" s="7"/>
      <c r="M9" s="1">
        <v>213792.28</v>
      </c>
      <c r="N9" s="1"/>
      <c r="O9" s="7">
        <f>((M9+N9)/M8) -1</f>
        <v>3.1681536108637554E-2</v>
      </c>
      <c r="P9" s="7"/>
      <c r="Q9" s="1">
        <v>309812.78999999998</v>
      </c>
      <c r="R9" s="7">
        <f t="shared" si="1"/>
        <v>1.5614610294799158E-2</v>
      </c>
      <c r="T9" s="1">
        <f t="shared" si="2"/>
        <v>716827.1399999999</v>
      </c>
      <c r="U9" s="7">
        <f>T9/T8 -1</f>
        <v>2.6399402076255019E-2</v>
      </c>
      <c r="V9" s="7">
        <f>T9/T6 -1</f>
        <v>-3.3494159407102542E-2</v>
      </c>
    </row>
    <row r="10" spans="1:22">
      <c r="A10" s="6">
        <v>44682</v>
      </c>
      <c r="C10" s="1">
        <v>14239.69</v>
      </c>
      <c r="E10" s="7">
        <f t="shared" si="3"/>
        <v>-0.12335047474929672</v>
      </c>
      <c r="F10" s="1">
        <v>-1078.9000000000001</v>
      </c>
      <c r="G10" s="7">
        <f t="shared" si="4"/>
        <v>-6.642119124735045E-2</v>
      </c>
      <c r="I10" s="1">
        <v>123185.34</v>
      </c>
      <c r="J10" s="1">
        <v>-34901.51</v>
      </c>
      <c r="K10" s="7">
        <f>((I10-J10)/I9) -1</f>
        <v>-0.10674676441398956</v>
      </c>
      <c r="L10" s="7"/>
      <c r="M10" s="1">
        <v>105544.48</v>
      </c>
      <c r="N10" s="1">
        <v>-97098.49</v>
      </c>
      <c r="O10" s="7">
        <f t="shared" ref="O10:O15" si="5">((M10-N10)/M9) -1</f>
        <v>-5.2150199249477058E-2</v>
      </c>
      <c r="P10" s="7"/>
      <c r="Q10" s="1">
        <v>289593.7</v>
      </c>
      <c r="R10" s="7">
        <f t="shared" si="1"/>
        <v>-6.5262283071011895E-2</v>
      </c>
      <c r="T10" s="1">
        <f t="shared" si="2"/>
        <v>532563.21</v>
      </c>
      <c r="U10" s="7">
        <f t="shared" ref="U10:U15" si="6">(T10 - J10 - N10)/T9 -1</f>
        <v>-7.2910088197832401E-2</v>
      </c>
      <c r="V10" s="7">
        <f>(T10 - J10 - N10)/T9 -1</f>
        <v>-7.2910088197832401E-2</v>
      </c>
    </row>
    <row r="11" spans="1:22">
      <c r="A11" s="6">
        <v>44713</v>
      </c>
      <c r="C11" s="1">
        <v>14233.49</v>
      </c>
      <c r="E11" s="7">
        <f t="shared" si="3"/>
        <v>-4.3540273699782528E-4</v>
      </c>
      <c r="F11" s="1">
        <v>-2509.69</v>
      </c>
      <c r="G11" s="7">
        <f t="shared" si="4"/>
        <v>-0.17624611209935048</v>
      </c>
      <c r="I11" s="1">
        <v>131572</v>
      </c>
      <c r="J11" s="1">
        <v>-996.49</v>
      </c>
      <c r="K11" s="7">
        <f t="shared" si="0"/>
        <v>5.9992284796226647E-2</v>
      </c>
      <c r="L11" s="7"/>
      <c r="M11" s="1">
        <v>104652.96</v>
      </c>
      <c r="N11" s="1">
        <v>-3003.51</v>
      </c>
      <c r="O11" s="7">
        <f t="shared" si="5"/>
        <v>2.0010425936060283E-2</v>
      </c>
      <c r="P11" s="7"/>
      <c r="Q11" s="1">
        <v>294296.27</v>
      </c>
      <c r="R11" s="7">
        <f t="shared" si="1"/>
        <v>1.6238509332212603E-2</v>
      </c>
      <c r="T11" s="1">
        <f t="shared" si="2"/>
        <v>544754.72</v>
      </c>
      <c r="U11" s="7">
        <f t="shared" si="6"/>
        <v>3.0402982586799521E-2</v>
      </c>
      <c r="V11" s="7">
        <f>(T11 - J11 - N11 - J10 - N10) /T6 -1</f>
        <v>-8.2130996196401518E-2</v>
      </c>
    </row>
    <row r="12" spans="1:22">
      <c r="A12" s="6">
        <v>44743</v>
      </c>
      <c r="C12" s="1">
        <v>11480.75</v>
      </c>
      <c r="E12" s="7">
        <f t="shared" si="3"/>
        <v>-0.19339880802248777</v>
      </c>
      <c r="F12" s="1">
        <v>-1117.49</v>
      </c>
      <c r="G12" s="7">
        <f t="shared" si="4"/>
        <v>-7.8511313809894831E-2</v>
      </c>
      <c r="I12" s="1">
        <v>108588.48</v>
      </c>
      <c r="J12" s="1">
        <v>-1938.2</v>
      </c>
      <c r="K12" s="7">
        <f t="shared" si="0"/>
        <v>-0.18941507311586048</v>
      </c>
      <c r="L12" s="7"/>
      <c r="M12" s="1">
        <v>90470.34</v>
      </c>
      <c r="N12" s="1">
        <v>-2561.8000000000002</v>
      </c>
      <c r="O12" s="7">
        <f t="shared" si="5"/>
        <v>-0.11104148415868986</v>
      </c>
      <c r="P12" s="7"/>
      <c r="Q12" s="1">
        <v>277762.61</v>
      </c>
      <c r="R12" s="7">
        <f t="shared" si="1"/>
        <v>-5.6180324677577609E-2</v>
      </c>
      <c r="T12" s="1">
        <f t="shared" si="2"/>
        <v>488302.18</v>
      </c>
      <c r="U12" s="7">
        <f t="shared" si="6"/>
        <v>-9.53686826247232E-2</v>
      </c>
      <c r="V12" s="7">
        <f>(T12 - J10 - N10 - J11 - N11) /T6 -1</f>
        <v>-0.15824657076338022</v>
      </c>
    </row>
    <row r="13" spans="1:22">
      <c r="A13" s="6">
        <v>44774</v>
      </c>
      <c r="C13" s="1">
        <v>12173.38</v>
      </c>
      <c r="E13" s="7">
        <f t="shared" si="3"/>
        <v>6.0329682294275155E-2</v>
      </c>
      <c r="F13" s="1">
        <v>-364.58</v>
      </c>
      <c r="G13" s="7">
        <f t="shared" si="4"/>
        <v>-3.1755765085033645E-2</v>
      </c>
      <c r="I13" s="1">
        <v>103919.51</v>
      </c>
      <c r="J13" s="1">
        <v>-2015.2</v>
      </c>
      <c r="K13" s="7">
        <f>((I13+J13)/I12) -1</f>
        <v>-6.1555056300631517E-2</v>
      </c>
      <c r="L13" s="7"/>
      <c r="M13" s="1">
        <v>86907.01</v>
      </c>
      <c r="N13" s="1">
        <v>-2484.8000000000002</v>
      </c>
      <c r="O13" s="7">
        <f t="shared" si="5"/>
        <v>-1.1921365609988799E-2</v>
      </c>
      <c r="P13" s="7"/>
      <c r="Q13" s="1">
        <v>294002.36</v>
      </c>
      <c r="R13" s="7">
        <f t="shared" si="1"/>
        <v>5.8466292493435379E-2</v>
      </c>
      <c r="T13" s="1">
        <f t="shared" si="2"/>
        <v>497002.26</v>
      </c>
      <c r="U13" s="7">
        <f t="shared" si="6"/>
        <v>2.7032605097114359E-2</v>
      </c>
      <c r="V13" s="7">
        <f>(T13 -J10 - N10 - J11 - N11 - J12 - J13 - N12 - N13) /T6 -1</f>
        <v>-0.13438136010888202</v>
      </c>
    </row>
    <row r="14" spans="1:22">
      <c r="A14" s="6">
        <v>44805</v>
      </c>
      <c r="C14" s="1">
        <v>11420.61</v>
      </c>
      <c r="E14" s="7">
        <f t="shared" si="3"/>
        <v>-6.1837386165551234E-2</v>
      </c>
      <c r="F14" s="1">
        <v>-171.65</v>
      </c>
      <c r="G14" s="7">
        <f t="shared" si="4"/>
        <v>-1.4100438826357184E-2</v>
      </c>
      <c r="I14" s="1">
        <v>100037.28</v>
      </c>
      <c r="J14" s="1"/>
      <c r="K14" s="7">
        <f t="shared" si="0"/>
        <v>-3.7358047588946452E-2</v>
      </c>
      <c r="L14" s="7"/>
      <c r="M14" s="1">
        <v>84286.02</v>
      </c>
      <c r="N14" s="1"/>
      <c r="O14" s="7">
        <f t="shared" si="5"/>
        <v>-3.0158556829880445E-2</v>
      </c>
      <c r="P14" s="7"/>
      <c r="Q14" s="1">
        <v>289420.71000000002</v>
      </c>
      <c r="R14" s="7">
        <f t="shared" si="1"/>
        <v>-1.5583718443620498E-2</v>
      </c>
      <c r="T14" s="1">
        <f t="shared" si="2"/>
        <v>485164.62</v>
      </c>
      <c r="U14" s="7">
        <f t="shared" si="6"/>
        <v>-2.3818080827238131E-2</v>
      </c>
      <c r="V14" s="7">
        <f>(T14 -J10 - J11 - N10 - N11 - J12 - N12 - J13 - J14 - N13 - N14) /T6 -1</f>
        <v>-0.15034217905727743</v>
      </c>
    </row>
    <row r="15" spans="1:22">
      <c r="A15" s="6">
        <v>44835</v>
      </c>
      <c r="C15" s="1">
        <v>9696.91</v>
      </c>
      <c r="E15" s="7">
        <f>( C15/C14 -1)</f>
        <v>-0.15092889083858052</v>
      </c>
      <c r="F15" s="1">
        <v>-2258.0500000000002</v>
      </c>
      <c r="G15" s="7">
        <f>(F15/C14)</f>
        <v>-0.19771710968153192</v>
      </c>
      <c r="I15" s="1">
        <v>80763.179999999993</v>
      </c>
      <c r="J15" s="1"/>
      <c r="K15" s="7">
        <f>((I15+J15)/I14) -1</f>
        <v>-0.19266917293233088</v>
      </c>
      <c r="L15" s="7"/>
      <c r="M15" s="1">
        <v>77347.25</v>
      </c>
      <c r="N15" s="1"/>
      <c r="O15" s="7">
        <f t="shared" si="5"/>
        <v>-8.2324091231262386E-2</v>
      </c>
      <c r="P15" s="7"/>
      <c r="Q15" s="1">
        <v>274065.01</v>
      </c>
      <c r="R15" s="7">
        <f>Q15/Q14 -1</f>
        <v>-5.3056673104008412E-2</v>
      </c>
      <c r="T15" s="1">
        <f>C15 + I15 + M15 + Q15</f>
        <v>441872.35</v>
      </c>
      <c r="U15" s="7">
        <f t="shared" si="6"/>
        <v>-8.9232124964099824E-2</v>
      </c>
      <c r="V15" s="7">
        <f>(T15 -J10 -J11 - J12 - N10 - N11 - N12 - J13 - N13 - J14 - J15 - N14 - N15) /T6 -1</f>
        <v>-0.20871361824068302</v>
      </c>
    </row>
    <row r="16" spans="1:22">
      <c r="A16" s="6">
        <v>44866</v>
      </c>
      <c r="C16" s="1">
        <v>10729.97</v>
      </c>
      <c r="E16" s="7">
        <f>( C16/C15 -1)</f>
        <v>0.10653496835589893</v>
      </c>
      <c r="F16" s="1">
        <v>-126.25</v>
      </c>
      <c r="G16" s="7">
        <f>(F16/C15)</f>
        <v>-1.3019611401982694E-2</v>
      </c>
      <c r="I16" s="1">
        <v>89099.62</v>
      </c>
      <c r="J16" s="1"/>
      <c r="K16" s="7">
        <f>((I16+J16)/I15) -1</f>
        <v>0.10322079937912298</v>
      </c>
      <c r="L16" s="7"/>
      <c r="M16" s="1">
        <v>79563.66</v>
      </c>
      <c r="N16" s="1"/>
      <c r="O16" s="7">
        <f>((M16-N16)/M15) -1</f>
        <v>2.8655317415939185E-2</v>
      </c>
      <c r="P16" s="7"/>
      <c r="Q16" s="1">
        <v>289994.34999999998</v>
      </c>
      <c r="R16" s="7">
        <f>Q16/Q15 -1</f>
        <v>5.812248706976475E-2</v>
      </c>
      <c r="T16" s="1">
        <f>C16 + I16 + M16 + Q16</f>
        <v>469387.6</v>
      </c>
      <c r="U16" s="7">
        <f>(T16 - J16 - N16)/T15 -1</f>
        <v>6.2269680372623482E-2</v>
      </c>
      <c r="V16" s="7">
        <f>(T16 -J11 -J12 - J13 - N11 - N12 - N13 - J14 - N14 - J15 - J16 - N15 - N16 - N10 - J10) /T6 -1</f>
        <v>-0.17161450696767289</v>
      </c>
    </row>
    <row r="17" spans="1:22">
      <c r="A17" s="6">
        <v>44896</v>
      </c>
      <c r="C17" s="1">
        <v>11016.01</v>
      </c>
      <c r="E17" s="7">
        <f>( C17/C16 -1)</f>
        <v>2.6658042846345431E-2</v>
      </c>
      <c r="F17" s="1">
        <v>-239.81</v>
      </c>
      <c r="G17" s="7">
        <f>(F17/C16)</f>
        <v>-2.2349549905544937E-2</v>
      </c>
      <c r="I17" s="1">
        <v>95893.23</v>
      </c>
      <c r="J17" s="1"/>
      <c r="K17" s="7">
        <f>((I17+J17)/I16) -1</f>
        <v>7.6247350998803309E-2</v>
      </c>
      <c r="L17" s="7"/>
      <c r="M17" s="1">
        <v>81504.05</v>
      </c>
      <c r="N17" s="1"/>
      <c r="O17" s="7">
        <f>((M17-N17)/M16) -1</f>
        <v>2.4387892663560118E-2</v>
      </c>
      <c r="P17" s="7"/>
      <c r="Q17" s="1">
        <v>304721.18</v>
      </c>
      <c r="R17" s="7">
        <f>Q17/Q16 -1</f>
        <v>5.0783161809876631E-2</v>
      </c>
      <c r="T17" s="1">
        <f>C17 + I17 + M17 + Q17</f>
        <v>493134.47</v>
      </c>
      <c r="U17" s="7">
        <f>(T17 - J17 - N17)/T16 -1</f>
        <v>5.0591174543170636E-2</v>
      </c>
      <c r="V17" s="7">
        <f>(T17 - J10 - J12 -J13 - J14 - N10 - N12 - N13 - N14 - J15 - N15 - J16 - J17 - N16 - N17 - N11 - J11) /T6 -1</f>
        <v>-0.13959634349411887</v>
      </c>
    </row>
    <row r="18" spans="1:22">
      <c r="A18" s="6">
        <v>44927</v>
      </c>
      <c r="C18" s="1">
        <v>10169.06</v>
      </c>
      <c r="E18" s="7">
        <f>( C18/C17 -1)</f>
        <v>-7.688355402727487E-2</v>
      </c>
      <c r="F18" s="1">
        <v>-1664.9</v>
      </c>
      <c r="G18" s="7">
        <f>(F18/C17)</f>
        <v>-0.15113457594900515</v>
      </c>
      <c r="I18" s="1">
        <v>84285.27</v>
      </c>
      <c r="J18" s="1"/>
      <c r="K18" s="7">
        <f>((I18+J18)/I17) -1</f>
        <v>-0.12105088127702024</v>
      </c>
      <c r="L18" s="7"/>
      <c r="M18" s="1">
        <v>75262.63</v>
      </c>
      <c r="N18" s="1"/>
      <c r="O18" s="7">
        <f>((M18-N18)/M17) -1</f>
        <v>-7.6578035079238327E-2</v>
      </c>
      <c r="P18" s="7"/>
      <c r="Q18" s="1">
        <v>294732.3</v>
      </c>
      <c r="R18" s="7">
        <f>Q18/Q17 -1</f>
        <v>-3.2780392882437615E-2</v>
      </c>
      <c r="T18" s="1">
        <f>C18 + I18 + M18 + Q18</f>
        <v>464449.26</v>
      </c>
      <c r="U18" s="7">
        <f>(T18 - J18 - N18)/T17 -1</f>
        <v>-5.8169144006501861E-2</v>
      </c>
      <c r="V18" s="7">
        <f>(T18 - J11 - J13 -J14 - J15 - N11 - N13 - N14 - N15 - J16 - N16 - J17 - J18 - N17 - N18 - N12 - J12 - J10 - N10) /T6 -1</f>
        <v>-0.17827292457841448</v>
      </c>
    </row>
    <row r="19" spans="1:22">
      <c r="C19" s="1"/>
      <c r="E19" s="7"/>
      <c r="I19" s="1"/>
      <c r="J19" s="1"/>
      <c r="K19" s="7"/>
      <c r="L19" s="7"/>
      <c r="M19" s="1"/>
      <c r="N19" s="1"/>
      <c r="O19" s="7"/>
      <c r="P19" s="7"/>
    </row>
    <row r="20" spans="1:22">
      <c r="C20" s="1"/>
      <c r="E20" s="7"/>
      <c r="I20" s="1"/>
      <c r="J20" s="1"/>
      <c r="K20" s="7"/>
      <c r="L20" s="7"/>
      <c r="M20" s="1"/>
      <c r="N20" s="1"/>
      <c r="O20" s="7"/>
      <c r="P20" s="7"/>
    </row>
    <row r="21" spans="1:22">
      <c r="C21" s="1">
        <f>SUM(-C6,C18)</f>
        <v>-7997.3900000000012</v>
      </c>
      <c r="D21" s="1">
        <f>SUM(D7:D19)</f>
        <v>0</v>
      </c>
      <c r="E21" s="7">
        <f>( (C18-D21)/C6 -1)</f>
        <v>-0.44022855318457932</v>
      </c>
      <c r="F21" s="1">
        <f>SUM(F7:F19)</f>
        <v>-13707.939999999999</v>
      </c>
      <c r="G21" s="7">
        <f>(-F21/(C18-C6))</f>
        <v>-1.7140517093701817</v>
      </c>
      <c r="I21" s="1">
        <f>SUM(-I6,I18,-J21)</f>
        <v>-45967.83</v>
      </c>
      <c r="J21" s="1">
        <f>SUM(J7:J19)</f>
        <v>-39851.399999999994</v>
      </c>
      <c r="K21" s="7">
        <f>((I18 - J21)/I6 -1)</f>
        <v>-0.27023288625521369</v>
      </c>
      <c r="L21" s="7"/>
      <c r="M21" s="1">
        <f>SUM(M18-N21,-M6)</f>
        <v>-53865.609999999986</v>
      </c>
      <c r="N21" s="1">
        <f>SUM(N7:N19)</f>
        <v>-105148.6</v>
      </c>
      <c r="O21" s="7">
        <f>M18/(M6 + N21) -1</f>
        <v>-0.41714817765656831</v>
      </c>
      <c r="P21" s="7"/>
      <c r="Q21" s="1">
        <f>(Q18- Q6)</f>
        <v>-24388.619999999995</v>
      </c>
      <c r="R21" s="7">
        <f>(Q18/Q6) -1</f>
        <v>-7.6424384838198578E-2</v>
      </c>
      <c r="T21" s="1">
        <f>(T18 - T6 - N21 - J21)</f>
        <v>-132219.44999999995</v>
      </c>
      <c r="U21" s="7">
        <f>(T18-N21-J21)/T6 -1</f>
        <v>-0.17827292457841448</v>
      </c>
    </row>
    <row r="22" spans="1:22">
      <c r="E22" s="7"/>
      <c r="I22" s="1"/>
      <c r="J22" s="1"/>
      <c r="K22" s="7"/>
      <c r="L22" s="7"/>
      <c r="M22" s="1"/>
      <c r="N22" s="1"/>
      <c r="O22" s="7"/>
      <c r="P22" s="7"/>
      <c r="T22" s="1"/>
      <c r="U22" s="7"/>
    </row>
    <row r="23" spans="1:22">
      <c r="C23" s="1">
        <f>SUM(-C3,C18)</f>
        <v>9260.16</v>
      </c>
      <c r="D23" s="1">
        <f>SUM(D4:D20)</f>
        <v>11172.87</v>
      </c>
      <c r="E23" s="7">
        <f>( (C18-D23)/C3 -1)</f>
        <v>-2.1044229288150529</v>
      </c>
      <c r="F23" s="1">
        <f>SUM(F4:F20)</f>
        <v>-2115.6999999999994</v>
      </c>
      <c r="G23" s="7">
        <f>(F23/(C18-C3))</f>
        <v>-0.22847337411016649</v>
      </c>
      <c r="I23" s="1">
        <f>SUM(-I3,I18, -J23)</f>
        <v>50589.469999999994</v>
      </c>
      <c r="J23" s="1">
        <f>SUM(J4:J20)</f>
        <v>-41809.519999999997</v>
      </c>
      <c r="K23" s="7">
        <f>((I18-J23)/I3 -1)</f>
        <v>0.67001199385685672</v>
      </c>
      <c r="L23" s="7"/>
      <c r="M23" s="1">
        <f>SUM(-M3-N23,M18)</f>
        <v>-45836.56</v>
      </c>
      <c r="N23" s="1">
        <f>SUM(N4:N20)</f>
        <v>121099.19</v>
      </c>
      <c r="O23" s="7">
        <f>(M18/N23) -1</f>
        <v>-0.3785042658006218</v>
      </c>
      <c r="P23" s="7"/>
      <c r="Q23" s="1">
        <f>(Q18- Q3)</f>
        <v>170187.58999999997</v>
      </c>
      <c r="R23" s="7">
        <f>Q18/Q3 -1</f>
        <v>1.3664778696742719</v>
      </c>
      <c r="T23" s="1">
        <f>(T18 - T3 - N23)</f>
        <v>142391.14000000001</v>
      </c>
      <c r="U23" s="7">
        <f>(T18-N23-J23)/T3 -1</f>
        <v>0.91660848313633059</v>
      </c>
    </row>
    <row r="24" spans="1:22">
      <c r="E24" s="7">
        <f>(C18/C3 -1)</f>
        <v>10.188315546264715</v>
      </c>
      <c r="I24" s="1"/>
      <c r="J24" s="1"/>
      <c r="K24" s="7"/>
      <c r="L24" s="7"/>
      <c r="M24" s="1"/>
      <c r="N24" s="1"/>
      <c r="O24" s="7"/>
      <c r="P24" s="7"/>
    </row>
    <row r="25" spans="1:22">
      <c r="E25" s="7"/>
      <c r="I25" s="1"/>
      <c r="J25" s="1"/>
      <c r="K25" s="7"/>
      <c r="L25" s="7"/>
      <c r="M25" s="1"/>
      <c r="N25" s="1"/>
      <c r="O25" s="7"/>
      <c r="P25" s="7"/>
    </row>
    <row r="26" spans="1:22">
      <c r="E26" s="7">
        <f>AVERAGE(E7:E18)</f>
        <v>-4.3052277750666085E-2</v>
      </c>
      <c r="G26" s="7">
        <f>AVERAGE(G7:G18)</f>
        <v>-8.4063963862770763E-2</v>
      </c>
      <c r="I26" s="1"/>
      <c r="J26" s="1"/>
      <c r="K26" s="7">
        <f>AVERAGE(K7:K18)</f>
        <v>-3.5503681005444605E-2</v>
      </c>
      <c r="L26" s="7"/>
      <c r="M26" s="1"/>
      <c r="N26" s="1"/>
      <c r="O26" s="7">
        <f>AVERAGE(O7:O18)</f>
        <v>-3.1460488252334072E-2</v>
      </c>
      <c r="P26" s="7"/>
      <c r="R26" s="7">
        <f>AVERAGE(R7:R18)</f>
        <v>-5.6106122902627271E-3</v>
      </c>
      <c r="U26" s="7">
        <f>AVERAGE(U7:U18)</f>
        <v>-1.6724355117247913E-2</v>
      </c>
    </row>
    <row r="27" spans="1:22">
      <c r="E27" s="7"/>
      <c r="I27" s="1"/>
      <c r="J27" s="1"/>
      <c r="K27" s="7"/>
      <c r="L27" s="7"/>
      <c r="M27" s="7"/>
      <c r="N27" s="7"/>
    </row>
    <row r="28" spans="1:22">
      <c r="E28" s="7"/>
      <c r="I28" s="1"/>
      <c r="J28" s="1"/>
      <c r="K28" s="7"/>
      <c r="L28" s="7"/>
      <c r="M28" s="7"/>
      <c r="N28" s="7"/>
    </row>
    <row r="29" spans="1:22">
      <c r="E29" s="7"/>
      <c r="I29" s="1"/>
      <c r="J29" s="1"/>
      <c r="K29" s="7"/>
      <c r="L29" s="7"/>
      <c r="M29" s="7"/>
      <c r="N29" s="7"/>
    </row>
    <row r="30" spans="1:22">
      <c r="E30" s="7"/>
      <c r="I30" s="1"/>
      <c r="J30" s="1"/>
      <c r="K30" s="7"/>
      <c r="L30" s="7"/>
      <c r="M30" s="7"/>
      <c r="N30" s="7"/>
    </row>
    <row r="31" spans="1:22">
      <c r="C31" s="1"/>
      <c r="D31"/>
      <c r="E31" s="1"/>
      <c r="F31"/>
      <c r="N31" s="2"/>
      <c r="O31" s="1"/>
      <c r="Q31"/>
      <c r="R31"/>
    </row>
    <row r="32" spans="1:22">
      <c r="P32" s="1"/>
      <c r="Q32"/>
      <c r="R32"/>
    </row>
    <row r="33" spans="16:20">
      <c r="P33" s="1"/>
      <c r="Q33"/>
      <c r="R33"/>
    </row>
    <row r="34" spans="16:20">
      <c r="Q34"/>
      <c r="R34"/>
      <c r="S34" s="1"/>
      <c r="T34" s="1"/>
    </row>
    <row r="35" spans="16:20">
      <c r="P35" s="1"/>
      <c r="Q35"/>
      <c r="R35"/>
    </row>
    <row r="36" spans="16:20">
      <c r="P36" s="1"/>
      <c r="Q36"/>
      <c r="R36"/>
    </row>
    <row r="37" spans="16:20">
      <c r="P37" s="1"/>
      <c r="Q37"/>
      <c r="R37"/>
    </row>
    <row r="38" spans="16:20">
      <c r="P38" s="1"/>
      <c r="Q38"/>
      <c r="R38"/>
    </row>
    <row r="39" spans="16:20">
      <c r="P39" s="1"/>
      <c r="Q39"/>
      <c r="R39"/>
    </row>
    <row r="40" spans="16:20">
      <c r="P40" s="1"/>
      <c r="Q40"/>
      <c r="R40"/>
    </row>
    <row r="41" spans="16:20">
      <c r="P41" s="1"/>
      <c r="Q41"/>
      <c r="R41"/>
    </row>
    <row r="42" spans="16:20">
      <c r="P42" s="1"/>
      <c r="Q42"/>
      <c r="R42"/>
    </row>
    <row r="43" spans="16:20">
      <c r="P43" s="1"/>
      <c r="Q43"/>
      <c r="R43"/>
    </row>
    <row r="44" spans="16:20">
      <c r="P44" s="1"/>
      <c r="Q44"/>
      <c r="R44"/>
    </row>
    <row r="45" spans="16:20">
      <c r="P45" s="1"/>
      <c r="Q45"/>
      <c r="R45"/>
    </row>
    <row r="46" spans="16:20">
      <c r="P46" s="1"/>
      <c r="Q46"/>
      <c r="R46"/>
    </row>
    <row r="47" spans="16:20">
      <c r="P47" s="1"/>
      <c r="Q47"/>
      <c r="R47"/>
    </row>
    <row r="48" spans="16:20">
      <c r="P48" s="1"/>
      <c r="Q48"/>
      <c r="R48"/>
    </row>
    <row r="49" spans="15:18">
      <c r="P49" s="1"/>
      <c r="Q49"/>
      <c r="R49"/>
    </row>
    <row r="50" spans="15:18">
      <c r="P50" s="1"/>
      <c r="Q50"/>
      <c r="R50"/>
    </row>
    <row r="51" spans="15:18">
      <c r="P51" s="1"/>
      <c r="Q51"/>
      <c r="R51"/>
    </row>
    <row r="52" spans="15:18">
      <c r="P52" s="1"/>
      <c r="Q52"/>
      <c r="R52"/>
    </row>
    <row r="53" spans="15:18">
      <c r="P53" s="1"/>
      <c r="Q53"/>
      <c r="R53"/>
    </row>
    <row r="54" spans="15:18">
      <c r="P54" s="1"/>
      <c r="Q54"/>
      <c r="R54"/>
    </row>
    <row r="55" spans="15:18">
      <c r="P55" s="1"/>
      <c r="Q55"/>
      <c r="R55"/>
    </row>
    <row r="56" spans="15:18">
      <c r="P56" s="1"/>
      <c r="Q56"/>
      <c r="R56"/>
    </row>
    <row r="57" spans="15:18">
      <c r="P57" s="1"/>
      <c r="Q57"/>
      <c r="R57"/>
    </row>
    <row r="58" spans="15:18">
      <c r="O58" s="1"/>
      <c r="P58" s="1"/>
      <c r="Q58"/>
      <c r="R58"/>
    </row>
    <row r="59" spans="15:18">
      <c r="O59" s="1"/>
      <c r="P59" s="1"/>
      <c r="Q59"/>
      <c r="R59"/>
    </row>
    <row r="60" spans="15:18">
      <c r="O60" s="1"/>
      <c r="P60" s="1"/>
      <c r="Q60"/>
      <c r="R60"/>
    </row>
    <row r="61" spans="15:18">
      <c r="O61" s="1"/>
      <c r="P61" s="1"/>
      <c r="Q61"/>
      <c r="R61"/>
    </row>
    <row r="62" spans="15:18">
      <c r="O62" s="1"/>
      <c r="P62" s="1"/>
      <c r="Q62"/>
      <c r="R62"/>
    </row>
    <row r="63" spans="15:18">
      <c r="O63" s="1"/>
      <c r="P63" s="1"/>
      <c r="Q63"/>
      <c r="R63"/>
    </row>
    <row r="64" spans="15:18">
      <c r="O64" s="1"/>
      <c r="P64" s="1"/>
      <c r="Q64"/>
      <c r="R64"/>
    </row>
    <row r="65" spans="15:18">
      <c r="O65" s="1"/>
      <c r="P65" s="1"/>
      <c r="Q65"/>
      <c r="R65"/>
    </row>
    <row r="66" spans="15:18">
      <c r="O66" s="1"/>
      <c r="P66" s="1"/>
      <c r="Q66"/>
      <c r="R66"/>
    </row>
    <row r="67" spans="15:18">
      <c r="O67" s="1"/>
      <c r="P67" s="1"/>
      <c r="Q67"/>
      <c r="R67"/>
    </row>
    <row r="68" spans="15:18">
      <c r="O68" s="1"/>
      <c r="P68" s="1"/>
      <c r="Q68"/>
      <c r="R68"/>
    </row>
    <row r="69" spans="15:18">
      <c r="O69" s="1"/>
      <c r="P69" s="1"/>
      <c r="Q69"/>
      <c r="R69"/>
    </row>
    <row r="70" spans="15:18">
      <c r="O70" s="1"/>
      <c r="P70" s="1"/>
      <c r="Q70"/>
      <c r="R70"/>
    </row>
    <row r="71" spans="15:18">
      <c r="O71" s="1"/>
      <c r="P71" s="1"/>
      <c r="Q71"/>
      <c r="R71"/>
    </row>
    <row r="72" spans="15:18">
      <c r="O72" s="1"/>
      <c r="P72" s="1"/>
      <c r="Q72"/>
      <c r="R72"/>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AC66E-6F48-408E-A802-1EB2A8C81A43}">
  <dimension ref="A2:V73"/>
  <sheetViews>
    <sheetView zoomScale="85" zoomScaleNormal="85" workbookViewId="0">
      <selection activeCell="O12" sqref="O12"/>
    </sheetView>
  </sheetViews>
  <sheetFormatPr defaultRowHeight="15"/>
  <cols>
    <col min="1" max="1" width="9.7109375" bestFit="1" customWidth="1"/>
    <col min="2" max="2" width="9" bestFit="1" customWidth="1"/>
    <col min="3" max="3" width="10.85546875" bestFit="1" customWidth="1"/>
    <col min="4" max="4" width="10.140625" style="1" bestFit="1" customWidth="1"/>
    <col min="5" max="5" width="17" bestFit="1" customWidth="1"/>
    <col min="6" max="6" width="15.85546875" style="1" bestFit="1" customWidth="1"/>
    <col min="7" max="7" width="11" customWidth="1"/>
    <col min="8" max="8" width="12.28515625" bestFit="1" customWidth="1"/>
    <col min="9" max="9" width="12.7109375" bestFit="1" customWidth="1"/>
    <col min="10" max="10" width="10.85546875" bestFit="1" customWidth="1"/>
    <col min="11" max="11" width="8.85546875" bestFit="1" customWidth="1"/>
    <col min="12" max="12" width="11.140625" bestFit="1" customWidth="1"/>
    <col min="13" max="13" width="12.7109375" bestFit="1" customWidth="1"/>
    <col min="14" max="14" width="11.85546875" bestFit="1" customWidth="1"/>
    <col min="15" max="15" width="8.85546875" bestFit="1" customWidth="1"/>
    <col min="17" max="17" width="11.140625" style="1" bestFit="1" customWidth="1"/>
    <col min="18" max="18" width="8.140625" style="1" bestFit="1" customWidth="1"/>
    <col min="20" max="20" width="11.85546875" bestFit="1" customWidth="1"/>
    <col min="21" max="21" width="8.140625" bestFit="1" customWidth="1"/>
    <col min="22" max="22" width="13.42578125" bestFit="1" customWidth="1"/>
    <col min="23" max="23" width="8.28515625" customWidth="1"/>
    <col min="24" max="24" width="7" customWidth="1"/>
    <col min="259" max="259" width="11.140625" bestFit="1" customWidth="1"/>
    <col min="260" max="260" width="10.7109375" bestFit="1" customWidth="1"/>
    <col min="261" max="261" width="16.85546875" bestFit="1" customWidth="1"/>
    <col min="262" max="262" width="15" bestFit="1" customWidth="1"/>
    <col min="263" max="263" width="11.28515625" bestFit="1" customWidth="1"/>
    <col min="264" max="265" width="11.140625" bestFit="1" customWidth="1"/>
    <col min="266" max="266" width="10.7109375" bestFit="1" customWidth="1"/>
    <col min="267" max="268" width="11.140625" bestFit="1" customWidth="1"/>
    <col min="269" max="269" width="12.7109375" bestFit="1" customWidth="1"/>
    <col min="270" max="270" width="11.140625" bestFit="1" customWidth="1"/>
    <col min="271" max="271" width="13.42578125" bestFit="1" customWidth="1"/>
    <col min="273" max="274" width="11.7109375" customWidth="1"/>
    <col min="276" max="276" width="15.85546875" customWidth="1"/>
    <col min="278" max="278" width="11.140625" bestFit="1" customWidth="1"/>
    <col min="279" max="279" width="8.28515625" customWidth="1"/>
    <col min="280" max="280" width="7" customWidth="1"/>
    <col min="515" max="515" width="11.140625" bestFit="1" customWidth="1"/>
    <col min="516" max="516" width="10.7109375" bestFit="1" customWidth="1"/>
    <col min="517" max="517" width="16.85546875" bestFit="1" customWidth="1"/>
    <col min="518" max="518" width="15" bestFit="1" customWidth="1"/>
    <col min="519" max="519" width="11.28515625" bestFit="1" customWidth="1"/>
    <col min="520" max="521" width="11.140625" bestFit="1" customWidth="1"/>
    <col min="522" max="522" width="10.7109375" bestFit="1" customWidth="1"/>
    <col min="523" max="524" width="11.140625" bestFit="1" customWidth="1"/>
    <col min="525" max="525" width="12.7109375" bestFit="1" customWidth="1"/>
    <col min="526" max="526" width="11.140625" bestFit="1" customWidth="1"/>
    <col min="527" max="527" width="13.42578125" bestFit="1" customWidth="1"/>
    <col min="529" max="530" width="11.7109375" customWidth="1"/>
    <col min="532" max="532" width="15.85546875" customWidth="1"/>
    <col min="534" max="534" width="11.140625" bestFit="1" customWidth="1"/>
    <col min="535" max="535" width="8.28515625" customWidth="1"/>
    <col min="536" max="536" width="7" customWidth="1"/>
    <col min="771" max="771" width="11.140625" bestFit="1" customWidth="1"/>
    <col min="772" max="772" width="10.7109375" bestFit="1" customWidth="1"/>
    <col min="773" max="773" width="16.85546875" bestFit="1" customWidth="1"/>
    <col min="774" max="774" width="15" bestFit="1" customWidth="1"/>
    <col min="775" max="775" width="11.28515625" bestFit="1" customWidth="1"/>
    <col min="776" max="777" width="11.140625" bestFit="1" customWidth="1"/>
    <col min="778" max="778" width="10.7109375" bestFit="1" customWidth="1"/>
    <col min="779" max="780" width="11.140625" bestFit="1" customWidth="1"/>
    <col min="781" max="781" width="12.7109375" bestFit="1" customWidth="1"/>
    <col min="782" max="782" width="11.140625" bestFit="1" customWidth="1"/>
    <col min="783" max="783" width="13.42578125" bestFit="1" customWidth="1"/>
    <col min="785" max="786" width="11.7109375" customWidth="1"/>
    <col min="788" max="788" width="15.85546875" customWidth="1"/>
    <col min="790" max="790" width="11.140625" bestFit="1" customWidth="1"/>
    <col min="791" max="791" width="8.28515625" customWidth="1"/>
    <col min="792" max="792" width="7" customWidth="1"/>
    <col min="1027" max="1027" width="11.140625" bestFit="1" customWidth="1"/>
    <col min="1028" max="1028" width="10.7109375" bestFit="1" customWidth="1"/>
    <col min="1029" max="1029" width="16.85546875" bestFit="1" customWidth="1"/>
    <col min="1030" max="1030" width="15" bestFit="1" customWidth="1"/>
    <col min="1031" max="1031" width="11.28515625" bestFit="1" customWidth="1"/>
    <col min="1032" max="1033" width="11.140625" bestFit="1" customWidth="1"/>
    <col min="1034" max="1034" width="10.7109375" bestFit="1" customWidth="1"/>
    <col min="1035" max="1036" width="11.140625" bestFit="1" customWidth="1"/>
    <col min="1037" max="1037" width="12.7109375" bestFit="1" customWidth="1"/>
    <col min="1038" max="1038" width="11.140625" bestFit="1" customWidth="1"/>
    <col min="1039" max="1039" width="13.42578125" bestFit="1" customWidth="1"/>
    <col min="1041" max="1042" width="11.7109375" customWidth="1"/>
    <col min="1044" max="1044" width="15.85546875" customWidth="1"/>
    <col min="1046" max="1046" width="11.140625" bestFit="1" customWidth="1"/>
    <col min="1047" max="1047" width="8.28515625" customWidth="1"/>
    <col min="1048" max="1048" width="7" customWidth="1"/>
    <col min="1283" max="1283" width="11.140625" bestFit="1" customWidth="1"/>
    <col min="1284" max="1284" width="10.7109375" bestFit="1" customWidth="1"/>
    <col min="1285" max="1285" width="16.85546875" bestFit="1" customWidth="1"/>
    <col min="1286" max="1286" width="15" bestFit="1" customWidth="1"/>
    <col min="1287" max="1287" width="11.28515625" bestFit="1" customWidth="1"/>
    <col min="1288" max="1289" width="11.140625" bestFit="1" customWidth="1"/>
    <col min="1290" max="1290" width="10.7109375" bestFit="1" customWidth="1"/>
    <col min="1291" max="1292" width="11.140625" bestFit="1" customWidth="1"/>
    <col min="1293" max="1293" width="12.7109375" bestFit="1" customWidth="1"/>
    <col min="1294" max="1294" width="11.140625" bestFit="1" customWidth="1"/>
    <col min="1295" max="1295" width="13.42578125" bestFit="1" customWidth="1"/>
    <col min="1297" max="1298" width="11.7109375" customWidth="1"/>
    <col min="1300" max="1300" width="15.85546875" customWidth="1"/>
    <col min="1302" max="1302" width="11.140625" bestFit="1" customWidth="1"/>
    <col min="1303" max="1303" width="8.28515625" customWidth="1"/>
    <col min="1304" max="1304" width="7" customWidth="1"/>
    <col min="1539" max="1539" width="11.140625" bestFit="1" customWidth="1"/>
    <col min="1540" max="1540" width="10.7109375" bestFit="1" customWidth="1"/>
    <col min="1541" max="1541" width="16.85546875" bestFit="1" customWidth="1"/>
    <col min="1542" max="1542" width="15" bestFit="1" customWidth="1"/>
    <col min="1543" max="1543" width="11.28515625" bestFit="1" customWidth="1"/>
    <col min="1544" max="1545" width="11.140625" bestFit="1" customWidth="1"/>
    <col min="1546" max="1546" width="10.7109375" bestFit="1" customWidth="1"/>
    <col min="1547" max="1548" width="11.140625" bestFit="1" customWidth="1"/>
    <col min="1549" max="1549" width="12.7109375" bestFit="1" customWidth="1"/>
    <col min="1550" max="1550" width="11.140625" bestFit="1" customWidth="1"/>
    <col min="1551" max="1551" width="13.42578125" bestFit="1" customWidth="1"/>
    <col min="1553" max="1554" width="11.7109375" customWidth="1"/>
    <col min="1556" max="1556" width="15.85546875" customWidth="1"/>
    <col min="1558" max="1558" width="11.140625" bestFit="1" customWidth="1"/>
    <col min="1559" max="1559" width="8.28515625" customWidth="1"/>
    <col min="1560" max="1560" width="7" customWidth="1"/>
    <col min="1795" max="1795" width="11.140625" bestFit="1" customWidth="1"/>
    <col min="1796" max="1796" width="10.7109375" bestFit="1" customWidth="1"/>
    <col min="1797" max="1797" width="16.85546875" bestFit="1" customWidth="1"/>
    <col min="1798" max="1798" width="15" bestFit="1" customWidth="1"/>
    <col min="1799" max="1799" width="11.28515625" bestFit="1" customWidth="1"/>
    <col min="1800" max="1801" width="11.140625" bestFit="1" customWidth="1"/>
    <col min="1802" max="1802" width="10.7109375" bestFit="1" customWidth="1"/>
    <col min="1803" max="1804" width="11.140625" bestFit="1" customWidth="1"/>
    <col min="1805" max="1805" width="12.7109375" bestFit="1" customWidth="1"/>
    <col min="1806" max="1806" width="11.140625" bestFit="1" customWidth="1"/>
    <col min="1807" max="1807" width="13.42578125" bestFit="1" customWidth="1"/>
    <col min="1809" max="1810" width="11.7109375" customWidth="1"/>
    <col min="1812" max="1812" width="15.85546875" customWidth="1"/>
    <col min="1814" max="1814" width="11.140625" bestFit="1" customWidth="1"/>
    <col min="1815" max="1815" width="8.28515625" customWidth="1"/>
    <col min="1816" max="1816" width="7" customWidth="1"/>
    <col min="2051" max="2051" width="11.140625" bestFit="1" customWidth="1"/>
    <col min="2052" max="2052" width="10.7109375" bestFit="1" customWidth="1"/>
    <col min="2053" max="2053" width="16.85546875" bestFit="1" customWidth="1"/>
    <col min="2054" max="2054" width="15" bestFit="1" customWidth="1"/>
    <col min="2055" max="2055" width="11.28515625" bestFit="1" customWidth="1"/>
    <col min="2056" max="2057" width="11.140625" bestFit="1" customWidth="1"/>
    <col min="2058" max="2058" width="10.7109375" bestFit="1" customWidth="1"/>
    <col min="2059" max="2060" width="11.140625" bestFit="1" customWidth="1"/>
    <col min="2061" max="2061" width="12.7109375" bestFit="1" customWidth="1"/>
    <col min="2062" max="2062" width="11.140625" bestFit="1" customWidth="1"/>
    <col min="2063" max="2063" width="13.42578125" bestFit="1" customWidth="1"/>
    <col min="2065" max="2066" width="11.7109375" customWidth="1"/>
    <col min="2068" max="2068" width="15.85546875" customWidth="1"/>
    <col min="2070" max="2070" width="11.140625" bestFit="1" customWidth="1"/>
    <col min="2071" max="2071" width="8.28515625" customWidth="1"/>
    <col min="2072" max="2072" width="7" customWidth="1"/>
    <col min="2307" max="2307" width="11.140625" bestFit="1" customWidth="1"/>
    <col min="2308" max="2308" width="10.7109375" bestFit="1" customWidth="1"/>
    <col min="2309" max="2309" width="16.85546875" bestFit="1" customWidth="1"/>
    <col min="2310" max="2310" width="15" bestFit="1" customWidth="1"/>
    <col min="2311" max="2311" width="11.28515625" bestFit="1" customWidth="1"/>
    <col min="2312" max="2313" width="11.140625" bestFit="1" customWidth="1"/>
    <col min="2314" max="2314" width="10.7109375" bestFit="1" customWidth="1"/>
    <col min="2315" max="2316" width="11.140625" bestFit="1" customWidth="1"/>
    <col min="2317" max="2317" width="12.7109375" bestFit="1" customWidth="1"/>
    <col min="2318" max="2318" width="11.140625" bestFit="1" customWidth="1"/>
    <col min="2319" max="2319" width="13.42578125" bestFit="1" customWidth="1"/>
    <col min="2321" max="2322" width="11.7109375" customWidth="1"/>
    <col min="2324" max="2324" width="15.85546875" customWidth="1"/>
    <col min="2326" max="2326" width="11.140625" bestFit="1" customWidth="1"/>
    <col min="2327" max="2327" width="8.28515625" customWidth="1"/>
    <col min="2328" max="2328" width="7" customWidth="1"/>
    <col min="2563" max="2563" width="11.140625" bestFit="1" customWidth="1"/>
    <col min="2564" max="2564" width="10.7109375" bestFit="1" customWidth="1"/>
    <col min="2565" max="2565" width="16.85546875" bestFit="1" customWidth="1"/>
    <col min="2566" max="2566" width="15" bestFit="1" customWidth="1"/>
    <col min="2567" max="2567" width="11.28515625" bestFit="1" customWidth="1"/>
    <col min="2568" max="2569" width="11.140625" bestFit="1" customWidth="1"/>
    <col min="2570" max="2570" width="10.7109375" bestFit="1" customWidth="1"/>
    <col min="2571" max="2572" width="11.140625" bestFit="1" customWidth="1"/>
    <col min="2573" max="2573" width="12.7109375" bestFit="1" customWidth="1"/>
    <col min="2574" max="2574" width="11.140625" bestFit="1" customWidth="1"/>
    <col min="2575" max="2575" width="13.42578125" bestFit="1" customWidth="1"/>
    <col min="2577" max="2578" width="11.7109375" customWidth="1"/>
    <col min="2580" max="2580" width="15.85546875" customWidth="1"/>
    <col min="2582" max="2582" width="11.140625" bestFit="1" customWidth="1"/>
    <col min="2583" max="2583" width="8.28515625" customWidth="1"/>
    <col min="2584" max="2584" width="7" customWidth="1"/>
    <col min="2819" max="2819" width="11.140625" bestFit="1" customWidth="1"/>
    <col min="2820" max="2820" width="10.7109375" bestFit="1" customWidth="1"/>
    <col min="2821" max="2821" width="16.85546875" bestFit="1" customWidth="1"/>
    <col min="2822" max="2822" width="15" bestFit="1" customWidth="1"/>
    <col min="2823" max="2823" width="11.28515625" bestFit="1" customWidth="1"/>
    <col min="2824" max="2825" width="11.140625" bestFit="1" customWidth="1"/>
    <col min="2826" max="2826" width="10.7109375" bestFit="1" customWidth="1"/>
    <col min="2827" max="2828" width="11.140625" bestFit="1" customWidth="1"/>
    <col min="2829" max="2829" width="12.7109375" bestFit="1" customWidth="1"/>
    <col min="2830" max="2830" width="11.140625" bestFit="1" customWidth="1"/>
    <col min="2831" max="2831" width="13.42578125" bestFit="1" customWidth="1"/>
    <col min="2833" max="2834" width="11.7109375" customWidth="1"/>
    <col min="2836" max="2836" width="15.85546875" customWidth="1"/>
    <col min="2838" max="2838" width="11.140625" bestFit="1" customWidth="1"/>
    <col min="2839" max="2839" width="8.28515625" customWidth="1"/>
    <col min="2840" max="2840" width="7" customWidth="1"/>
    <col min="3075" max="3075" width="11.140625" bestFit="1" customWidth="1"/>
    <col min="3076" max="3076" width="10.7109375" bestFit="1" customWidth="1"/>
    <col min="3077" max="3077" width="16.85546875" bestFit="1" customWidth="1"/>
    <col min="3078" max="3078" width="15" bestFit="1" customWidth="1"/>
    <col min="3079" max="3079" width="11.28515625" bestFit="1" customWidth="1"/>
    <col min="3080" max="3081" width="11.140625" bestFit="1" customWidth="1"/>
    <col min="3082" max="3082" width="10.7109375" bestFit="1" customWidth="1"/>
    <col min="3083" max="3084" width="11.140625" bestFit="1" customWidth="1"/>
    <col min="3085" max="3085" width="12.7109375" bestFit="1" customWidth="1"/>
    <col min="3086" max="3086" width="11.140625" bestFit="1" customWidth="1"/>
    <col min="3087" max="3087" width="13.42578125" bestFit="1" customWidth="1"/>
    <col min="3089" max="3090" width="11.7109375" customWidth="1"/>
    <col min="3092" max="3092" width="15.85546875" customWidth="1"/>
    <col min="3094" max="3094" width="11.140625" bestFit="1" customWidth="1"/>
    <col min="3095" max="3095" width="8.28515625" customWidth="1"/>
    <col min="3096" max="3096" width="7" customWidth="1"/>
    <col min="3331" max="3331" width="11.140625" bestFit="1" customWidth="1"/>
    <col min="3332" max="3332" width="10.7109375" bestFit="1" customWidth="1"/>
    <col min="3333" max="3333" width="16.85546875" bestFit="1" customWidth="1"/>
    <col min="3334" max="3334" width="15" bestFit="1" customWidth="1"/>
    <col min="3335" max="3335" width="11.28515625" bestFit="1" customWidth="1"/>
    <col min="3336" max="3337" width="11.140625" bestFit="1" customWidth="1"/>
    <col min="3338" max="3338" width="10.7109375" bestFit="1" customWidth="1"/>
    <col min="3339" max="3340" width="11.140625" bestFit="1" customWidth="1"/>
    <col min="3341" max="3341" width="12.7109375" bestFit="1" customWidth="1"/>
    <col min="3342" max="3342" width="11.140625" bestFit="1" customWidth="1"/>
    <col min="3343" max="3343" width="13.42578125" bestFit="1" customWidth="1"/>
    <col min="3345" max="3346" width="11.7109375" customWidth="1"/>
    <col min="3348" max="3348" width="15.85546875" customWidth="1"/>
    <col min="3350" max="3350" width="11.140625" bestFit="1" customWidth="1"/>
    <col min="3351" max="3351" width="8.28515625" customWidth="1"/>
    <col min="3352" max="3352" width="7" customWidth="1"/>
    <col min="3587" max="3587" width="11.140625" bestFit="1" customWidth="1"/>
    <col min="3588" max="3588" width="10.7109375" bestFit="1" customWidth="1"/>
    <col min="3589" max="3589" width="16.85546875" bestFit="1" customWidth="1"/>
    <col min="3590" max="3590" width="15" bestFit="1" customWidth="1"/>
    <col min="3591" max="3591" width="11.28515625" bestFit="1" customWidth="1"/>
    <col min="3592" max="3593" width="11.140625" bestFit="1" customWidth="1"/>
    <col min="3594" max="3594" width="10.7109375" bestFit="1" customWidth="1"/>
    <col min="3595" max="3596" width="11.140625" bestFit="1" customWidth="1"/>
    <col min="3597" max="3597" width="12.7109375" bestFit="1" customWidth="1"/>
    <col min="3598" max="3598" width="11.140625" bestFit="1" customWidth="1"/>
    <col min="3599" max="3599" width="13.42578125" bestFit="1" customWidth="1"/>
    <col min="3601" max="3602" width="11.7109375" customWidth="1"/>
    <col min="3604" max="3604" width="15.85546875" customWidth="1"/>
    <col min="3606" max="3606" width="11.140625" bestFit="1" customWidth="1"/>
    <col min="3607" max="3607" width="8.28515625" customWidth="1"/>
    <col min="3608" max="3608" width="7" customWidth="1"/>
    <col min="3843" max="3843" width="11.140625" bestFit="1" customWidth="1"/>
    <col min="3844" max="3844" width="10.7109375" bestFit="1" customWidth="1"/>
    <col min="3845" max="3845" width="16.85546875" bestFit="1" customWidth="1"/>
    <col min="3846" max="3846" width="15" bestFit="1" customWidth="1"/>
    <col min="3847" max="3847" width="11.28515625" bestFit="1" customWidth="1"/>
    <col min="3848" max="3849" width="11.140625" bestFit="1" customWidth="1"/>
    <col min="3850" max="3850" width="10.7109375" bestFit="1" customWidth="1"/>
    <col min="3851" max="3852" width="11.140625" bestFit="1" customWidth="1"/>
    <col min="3853" max="3853" width="12.7109375" bestFit="1" customWidth="1"/>
    <col min="3854" max="3854" width="11.140625" bestFit="1" customWidth="1"/>
    <col min="3855" max="3855" width="13.42578125" bestFit="1" customWidth="1"/>
    <col min="3857" max="3858" width="11.7109375" customWidth="1"/>
    <col min="3860" max="3860" width="15.85546875" customWidth="1"/>
    <col min="3862" max="3862" width="11.140625" bestFit="1" customWidth="1"/>
    <col min="3863" max="3863" width="8.28515625" customWidth="1"/>
    <col min="3864" max="3864" width="7" customWidth="1"/>
    <col min="4099" max="4099" width="11.140625" bestFit="1" customWidth="1"/>
    <col min="4100" max="4100" width="10.7109375" bestFit="1" customWidth="1"/>
    <col min="4101" max="4101" width="16.85546875" bestFit="1" customWidth="1"/>
    <col min="4102" max="4102" width="15" bestFit="1" customWidth="1"/>
    <col min="4103" max="4103" width="11.28515625" bestFit="1" customWidth="1"/>
    <col min="4104" max="4105" width="11.140625" bestFit="1" customWidth="1"/>
    <col min="4106" max="4106" width="10.7109375" bestFit="1" customWidth="1"/>
    <col min="4107" max="4108" width="11.140625" bestFit="1" customWidth="1"/>
    <col min="4109" max="4109" width="12.7109375" bestFit="1" customWidth="1"/>
    <col min="4110" max="4110" width="11.140625" bestFit="1" customWidth="1"/>
    <col min="4111" max="4111" width="13.42578125" bestFit="1" customWidth="1"/>
    <col min="4113" max="4114" width="11.7109375" customWidth="1"/>
    <col min="4116" max="4116" width="15.85546875" customWidth="1"/>
    <col min="4118" max="4118" width="11.140625" bestFit="1" customWidth="1"/>
    <col min="4119" max="4119" width="8.28515625" customWidth="1"/>
    <col min="4120" max="4120" width="7" customWidth="1"/>
    <col min="4355" max="4355" width="11.140625" bestFit="1" customWidth="1"/>
    <col min="4356" max="4356" width="10.7109375" bestFit="1" customWidth="1"/>
    <col min="4357" max="4357" width="16.85546875" bestFit="1" customWidth="1"/>
    <col min="4358" max="4358" width="15" bestFit="1" customWidth="1"/>
    <col min="4359" max="4359" width="11.28515625" bestFit="1" customWidth="1"/>
    <col min="4360" max="4361" width="11.140625" bestFit="1" customWidth="1"/>
    <col min="4362" max="4362" width="10.7109375" bestFit="1" customWidth="1"/>
    <col min="4363" max="4364" width="11.140625" bestFit="1" customWidth="1"/>
    <col min="4365" max="4365" width="12.7109375" bestFit="1" customWidth="1"/>
    <col min="4366" max="4366" width="11.140625" bestFit="1" customWidth="1"/>
    <col min="4367" max="4367" width="13.42578125" bestFit="1" customWidth="1"/>
    <col min="4369" max="4370" width="11.7109375" customWidth="1"/>
    <col min="4372" max="4372" width="15.85546875" customWidth="1"/>
    <col min="4374" max="4374" width="11.140625" bestFit="1" customWidth="1"/>
    <col min="4375" max="4375" width="8.28515625" customWidth="1"/>
    <col min="4376" max="4376" width="7" customWidth="1"/>
    <col min="4611" max="4611" width="11.140625" bestFit="1" customWidth="1"/>
    <col min="4612" max="4612" width="10.7109375" bestFit="1" customWidth="1"/>
    <col min="4613" max="4613" width="16.85546875" bestFit="1" customWidth="1"/>
    <col min="4614" max="4614" width="15" bestFit="1" customWidth="1"/>
    <col min="4615" max="4615" width="11.28515625" bestFit="1" customWidth="1"/>
    <col min="4616" max="4617" width="11.140625" bestFit="1" customWidth="1"/>
    <col min="4618" max="4618" width="10.7109375" bestFit="1" customWidth="1"/>
    <col min="4619" max="4620" width="11.140625" bestFit="1" customWidth="1"/>
    <col min="4621" max="4621" width="12.7109375" bestFit="1" customWidth="1"/>
    <col min="4622" max="4622" width="11.140625" bestFit="1" customWidth="1"/>
    <col min="4623" max="4623" width="13.42578125" bestFit="1" customWidth="1"/>
    <col min="4625" max="4626" width="11.7109375" customWidth="1"/>
    <col min="4628" max="4628" width="15.85546875" customWidth="1"/>
    <col min="4630" max="4630" width="11.140625" bestFit="1" customWidth="1"/>
    <col min="4631" max="4631" width="8.28515625" customWidth="1"/>
    <col min="4632" max="4632" width="7" customWidth="1"/>
    <col min="4867" max="4867" width="11.140625" bestFit="1" customWidth="1"/>
    <col min="4868" max="4868" width="10.7109375" bestFit="1" customWidth="1"/>
    <col min="4869" max="4869" width="16.85546875" bestFit="1" customWidth="1"/>
    <col min="4870" max="4870" width="15" bestFit="1" customWidth="1"/>
    <col min="4871" max="4871" width="11.28515625" bestFit="1" customWidth="1"/>
    <col min="4872" max="4873" width="11.140625" bestFit="1" customWidth="1"/>
    <col min="4874" max="4874" width="10.7109375" bestFit="1" customWidth="1"/>
    <col min="4875" max="4876" width="11.140625" bestFit="1" customWidth="1"/>
    <col min="4877" max="4877" width="12.7109375" bestFit="1" customWidth="1"/>
    <col min="4878" max="4878" width="11.140625" bestFit="1" customWidth="1"/>
    <col min="4879" max="4879" width="13.42578125" bestFit="1" customWidth="1"/>
    <col min="4881" max="4882" width="11.7109375" customWidth="1"/>
    <col min="4884" max="4884" width="15.85546875" customWidth="1"/>
    <col min="4886" max="4886" width="11.140625" bestFit="1" customWidth="1"/>
    <col min="4887" max="4887" width="8.28515625" customWidth="1"/>
    <col min="4888" max="4888" width="7" customWidth="1"/>
    <col min="5123" max="5123" width="11.140625" bestFit="1" customWidth="1"/>
    <col min="5124" max="5124" width="10.7109375" bestFit="1" customWidth="1"/>
    <col min="5125" max="5125" width="16.85546875" bestFit="1" customWidth="1"/>
    <col min="5126" max="5126" width="15" bestFit="1" customWidth="1"/>
    <col min="5127" max="5127" width="11.28515625" bestFit="1" customWidth="1"/>
    <col min="5128" max="5129" width="11.140625" bestFit="1" customWidth="1"/>
    <col min="5130" max="5130" width="10.7109375" bestFit="1" customWidth="1"/>
    <col min="5131" max="5132" width="11.140625" bestFit="1" customWidth="1"/>
    <col min="5133" max="5133" width="12.7109375" bestFit="1" customWidth="1"/>
    <col min="5134" max="5134" width="11.140625" bestFit="1" customWidth="1"/>
    <col min="5135" max="5135" width="13.42578125" bestFit="1" customWidth="1"/>
    <col min="5137" max="5138" width="11.7109375" customWidth="1"/>
    <col min="5140" max="5140" width="15.85546875" customWidth="1"/>
    <col min="5142" max="5142" width="11.140625" bestFit="1" customWidth="1"/>
    <col min="5143" max="5143" width="8.28515625" customWidth="1"/>
    <col min="5144" max="5144" width="7" customWidth="1"/>
    <col min="5379" max="5379" width="11.140625" bestFit="1" customWidth="1"/>
    <col min="5380" max="5380" width="10.7109375" bestFit="1" customWidth="1"/>
    <col min="5381" max="5381" width="16.85546875" bestFit="1" customWidth="1"/>
    <col min="5382" max="5382" width="15" bestFit="1" customWidth="1"/>
    <col min="5383" max="5383" width="11.28515625" bestFit="1" customWidth="1"/>
    <col min="5384" max="5385" width="11.140625" bestFit="1" customWidth="1"/>
    <col min="5386" max="5386" width="10.7109375" bestFit="1" customWidth="1"/>
    <col min="5387" max="5388" width="11.140625" bestFit="1" customWidth="1"/>
    <col min="5389" max="5389" width="12.7109375" bestFit="1" customWidth="1"/>
    <col min="5390" max="5390" width="11.140625" bestFit="1" customWidth="1"/>
    <col min="5391" max="5391" width="13.42578125" bestFit="1" customWidth="1"/>
    <col min="5393" max="5394" width="11.7109375" customWidth="1"/>
    <col min="5396" max="5396" width="15.85546875" customWidth="1"/>
    <col min="5398" max="5398" width="11.140625" bestFit="1" customWidth="1"/>
    <col min="5399" max="5399" width="8.28515625" customWidth="1"/>
    <col min="5400" max="5400" width="7" customWidth="1"/>
    <col min="5635" max="5635" width="11.140625" bestFit="1" customWidth="1"/>
    <col min="5636" max="5636" width="10.7109375" bestFit="1" customWidth="1"/>
    <col min="5637" max="5637" width="16.85546875" bestFit="1" customWidth="1"/>
    <col min="5638" max="5638" width="15" bestFit="1" customWidth="1"/>
    <col min="5639" max="5639" width="11.28515625" bestFit="1" customWidth="1"/>
    <col min="5640" max="5641" width="11.140625" bestFit="1" customWidth="1"/>
    <col min="5642" max="5642" width="10.7109375" bestFit="1" customWidth="1"/>
    <col min="5643" max="5644" width="11.140625" bestFit="1" customWidth="1"/>
    <col min="5645" max="5645" width="12.7109375" bestFit="1" customWidth="1"/>
    <col min="5646" max="5646" width="11.140625" bestFit="1" customWidth="1"/>
    <col min="5647" max="5647" width="13.42578125" bestFit="1" customWidth="1"/>
    <col min="5649" max="5650" width="11.7109375" customWidth="1"/>
    <col min="5652" max="5652" width="15.85546875" customWidth="1"/>
    <col min="5654" max="5654" width="11.140625" bestFit="1" customWidth="1"/>
    <col min="5655" max="5655" width="8.28515625" customWidth="1"/>
    <col min="5656" max="5656" width="7" customWidth="1"/>
    <col min="5891" max="5891" width="11.140625" bestFit="1" customWidth="1"/>
    <col min="5892" max="5892" width="10.7109375" bestFit="1" customWidth="1"/>
    <col min="5893" max="5893" width="16.85546875" bestFit="1" customWidth="1"/>
    <col min="5894" max="5894" width="15" bestFit="1" customWidth="1"/>
    <col min="5895" max="5895" width="11.28515625" bestFit="1" customWidth="1"/>
    <col min="5896" max="5897" width="11.140625" bestFit="1" customWidth="1"/>
    <col min="5898" max="5898" width="10.7109375" bestFit="1" customWidth="1"/>
    <col min="5899" max="5900" width="11.140625" bestFit="1" customWidth="1"/>
    <col min="5901" max="5901" width="12.7109375" bestFit="1" customWidth="1"/>
    <col min="5902" max="5902" width="11.140625" bestFit="1" customWidth="1"/>
    <col min="5903" max="5903" width="13.42578125" bestFit="1" customWidth="1"/>
    <col min="5905" max="5906" width="11.7109375" customWidth="1"/>
    <col min="5908" max="5908" width="15.85546875" customWidth="1"/>
    <col min="5910" max="5910" width="11.140625" bestFit="1" customWidth="1"/>
    <col min="5911" max="5911" width="8.28515625" customWidth="1"/>
    <col min="5912" max="5912" width="7" customWidth="1"/>
    <col min="6147" max="6147" width="11.140625" bestFit="1" customWidth="1"/>
    <col min="6148" max="6148" width="10.7109375" bestFit="1" customWidth="1"/>
    <col min="6149" max="6149" width="16.85546875" bestFit="1" customWidth="1"/>
    <col min="6150" max="6150" width="15" bestFit="1" customWidth="1"/>
    <col min="6151" max="6151" width="11.28515625" bestFit="1" customWidth="1"/>
    <col min="6152" max="6153" width="11.140625" bestFit="1" customWidth="1"/>
    <col min="6154" max="6154" width="10.7109375" bestFit="1" customWidth="1"/>
    <col min="6155" max="6156" width="11.140625" bestFit="1" customWidth="1"/>
    <col min="6157" max="6157" width="12.7109375" bestFit="1" customWidth="1"/>
    <col min="6158" max="6158" width="11.140625" bestFit="1" customWidth="1"/>
    <col min="6159" max="6159" width="13.42578125" bestFit="1" customWidth="1"/>
    <col min="6161" max="6162" width="11.7109375" customWidth="1"/>
    <col min="6164" max="6164" width="15.85546875" customWidth="1"/>
    <col min="6166" max="6166" width="11.140625" bestFit="1" customWidth="1"/>
    <col min="6167" max="6167" width="8.28515625" customWidth="1"/>
    <col min="6168" max="6168" width="7" customWidth="1"/>
    <col min="6403" max="6403" width="11.140625" bestFit="1" customWidth="1"/>
    <col min="6404" max="6404" width="10.7109375" bestFit="1" customWidth="1"/>
    <col min="6405" max="6405" width="16.85546875" bestFit="1" customWidth="1"/>
    <col min="6406" max="6406" width="15" bestFit="1" customWidth="1"/>
    <col min="6407" max="6407" width="11.28515625" bestFit="1" customWidth="1"/>
    <col min="6408" max="6409" width="11.140625" bestFit="1" customWidth="1"/>
    <col min="6410" max="6410" width="10.7109375" bestFit="1" customWidth="1"/>
    <col min="6411" max="6412" width="11.140625" bestFit="1" customWidth="1"/>
    <col min="6413" max="6413" width="12.7109375" bestFit="1" customWidth="1"/>
    <col min="6414" max="6414" width="11.140625" bestFit="1" customWidth="1"/>
    <col min="6415" max="6415" width="13.42578125" bestFit="1" customWidth="1"/>
    <col min="6417" max="6418" width="11.7109375" customWidth="1"/>
    <col min="6420" max="6420" width="15.85546875" customWidth="1"/>
    <col min="6422" max="6422" width="11.140625" bestFit="1" customWidth="1"/>
    <col min="6423" max="6423" width="8.28515625" customWidth="1"/>
    <col min="6424" max="6424" width="7" customWidth="1"/>
    <col min="6659" max="6659" width="11.140625" bestFit="1" customWidth="1"/>
    <col min="6660" max="6660" width="10.7109375" bestFit="1" customWidth="1"/>
    <col min="6661" max="6661" width="16.85546875" bestFit="1" customWidth="1"/>
    <col min="6662" max="6662" width="15" bestFit="1" customWidth="1"/>
    <col min="6663" max="6663" width="11.28515625" bestFit="1" customWidth="1"/>
    <col min="6664" max="6665" width="11.140625" bestFit="1" customWidth="1"/>
    <col min="6666" max="6666" width="10.7109375" bestFit="1" customWidth="1"/>
    <col min="6667" max="6668" width="11.140625" bestFit="1" customWidth="1"/>
    <col min="6669" max="6669" width="12.7109375" bestFit="1" customWidth="1"/>
    <col min="6670" max="6670" width="11.140625" bestFit="1" customWidth="1"/>
    <col min="6671" max="6671" width="13.42578125" bestFit="1" customWidth="1"/>
    <col min="6673" max="6674" width="11.7109375" customWidth="1"/>
    <col min="6676" max="6676" width="15.85546875" customWidth="1"/>
    <col min="6678" max="6678" width="11.140625" bestFit="1" customWidth="1"/>
    <col min="6679" max="6679" width="8.28515625" customWidth="1"/>
    <col min="6680" max="6680" width="7" customWidth="1"/>
    <col min="6915" max="6915" width="11.140625" bestFit="1" customWidth="1"/>
    <col min="6916" max="6916" width="10.7109375" bestFit="1" customWidth="1"/>
    <col min="6917" max="6917" width="16.85546875" bestFit="1" customWidth="1"/>
    <col min="6918" max="6918" width="15" bestFit="1" customWidth="1"/>
    <col min="6919" max="6919" width="11.28515625" bestFit="1" customWidth="1"/>
    <col min="6920" max="6921" width="11.140625" bestFit="1" customWidth="1"/>
    <col min="6922" max="6922" width="10.7109375" bestFit="1" customWidth="1"/>
    <col min="6923" max="6924" width="11.140625" bestFit="1" customWidth="1"/>
    <col min="6925" max="6925" width="12.7109375" bestFit="1" customWidth="1"/>
    <col min="6926" max="6926" width="11.140625" bestFit="1" customWidth="1"/>
    <col min="6927" max="6927" width="13.42578125" bestFit="1" customWidth="1"/>
    <col min="6929" max="6930" width="11.7109375" customWidth="1"/>
    <col min="6932" max="6932" width="15.85546875" customWidth="1"/>
    <col min="6934" max="6934" width="11.140625" bestFit="1" customWidth="1"/>
    <col min="6935" max="6935" width="8.28515625" customWidth="1"/>
    <col min="6936" max="6936" width="7" customWidth="1"/>
    <col min="7171" max="7171" width="11.140625" bestFit="1" customWidth="1"/>
    <col min="7172" max="7172" width="10.7109375" bestFit="1" customWidth="1"/>
    <col min="7173" max="7173" width="16.85546875" bestFit="1" customWidth="1"/>
    <col min="7174" max="7174" width="15" bestFit="1" customWidth="1"/>
    <col min="7175" max="7175" width="11.28515625" bestFit="1" customWidth="1"/>
    <col min="7176" max="7177" width="11.140625" bestFit="1" customWidth="1"/>
    <col min="7178" max="7178" width="10.7109375" bestFit="1" customWidth="1"/>
    <col min="7179" max="7180" width="11.140625" bestFit="1" customWidth="1"/>
    <col min="7181" max="7181" width="12.7109375" bestFit="1" customWidth="1"/>
    <col min="7182" max="7182" width="11.140625" bestFit="1" customWidth="1"/>
    <col min="7183" max="7183" width="13.42578125" bestFit="1" customWidth="1"/>
    <col min="7185" max="7186" width="11.7109375" customWidth="1"/>
    <col min="7188" max="7188" width="15.85546875" customWidth="1"/>
    <col min="7190" max="7190" width="11.140625" bestFit="1" customWidth="1"/>
    <col min="7191" max="7191" width="8.28515625" customWidth="1"/>
    <col min="7192" max="7192" width="7" customWidth="1"/>
    <col min="7427" max="7427" width="11.140625" bestFit="1" customWidth="1"/>
    <col min="7428" max="7428" width="10.7109375" bestFit="1" customWidth="1"/>
    <col min="7429" max="7429" width="16.85546875" bestFit="1" customWidth="1"/>
    <col min="7430" max="7430" width="15" bestFit="1" customWidth="1"/>
    <col min="7431" max="7431" width="11.28515625" bestFit="1" customWidth="1"/>
    <col min="7432" max="7433" width="11.140625" bestFit="1" customWidth="1"/>
    <col min="7434" max="7434" width="10.7109375" bestFit="1" customWidth="1"/>
    <col min="7435" max="7436" width="11.140625" bestFit="1" customWidth="1"/>
    <col min="7437" max="7437" width="12.7109375" bestFit="1" customWidth="1"/>
    <col min="7438" max="7438" width="11.140625" bestFit="1" customWidth="1"/>
    <col min="7439" max="7439" width="13.42578125" bestFit="1" customWidth="1"/>
    <col min="7441" max="7442" width="11.7109375" customWidth="1"/>
    <col min="7444" max="7444" width="15.85546875" customWidth="1"/>
    <col min="7446" max="7446" width="11.140625" bestFit="1" customWidth="1"/>
    <col min="7447" max="7447" width="8.28515625" customWidth="1"/>
    <col min="7448" max="7448" width="7" customWidth="1"/>
    <col min="7683" max="7683" width="11.140625" bestFit="1" customWidth="1"/>
    <col min="7684" max="7684" width="10.7109375" bestFit="1" customWidth="1"/>
    <col min="7685" max="7685" width="16.85546875" bestFit="1" customWidth="1"/>
    <col min="7686" max="7686" width="15" bestFit="1" customWidth="1"/>
    <col min="7687" max="7687" width="11.28515625" bestFit="1" customWidth="1"/>
    <col min="7688" max="7689" width="11.140625" bestFit="1" customWidth="1"/>
    <col min="7690" max="7690" width="10.7109375" bestFit="1" customWidth="1"/>
    <col min="7691" max="7692" width="11.140625" bestFit="1" customWidth="1"/>
    <col min="7693" max="7693" width="12.7109375" bestFit="1" customWidth="1"/>
    <col min="7694" max="7694" width="11.140625" bestFit="1" customWidth="1"/>
    <col min="7695" max="7695" width="13.42578125" bestFit="1" customWidth="1"/>
    <col min="7697" max="7698" width="11.7109375" customWidth="1"/>
    <col min="7700" max="7700" width="15.85546875" customWidth="1"/>
    <col min="7702" max="7702" width="11.140625" bestFit="1" customWidth="1"/>
    <col min="7703" max="7703" width="8.28515625" customWidth="1"/>
    <col min="7704" max="7704" width="7" customWidth="1"/>
    <col min="7939" max="7939" width="11.140625" bestFit="1" customWidth="1"/>
    <col min="7940" max="7940" width="10.7109375" bestFit="1" customWidth="1"/>
    <col min="7941" max="7941" width="16.85546875" bestFit="1" customWidth="1"/>
    <col min="7942" max="7942" width="15" bestFit="1" customWidth="1"/>
    <col min="7943" max="7943" width="11.28515625" bestFit="1" customWidth="1"/>
    <col min="7944" max="7945" width="11.140625" bestFit="1" customWidth="1"/>
    <col min="7946" max="7946" width="10.7109375" bestFit="1" customWidth="1"/>
    <col min="7947" max="7948" width="11.140625" bestFit="1" customWidth="1"/>
    <col min="7949" max="7949" width="12.7109375" bestFit="1" customWidth="1"/>
    <col min="7950" max="7950" width="11.140625" bestFit="1" customWidth="1"/>
    <col min="7951" max="7951" width="13.42578125" bestFit="1" customWidth="1"/>
    <col min="7953" max="7954" width="11.7109375" customWidth="1"/>
    <col min="7956" max="7956" width="15.85546875" customWidth="1"/>
    <col min="7958" max="7958" width="11.140625" bestFit="1" customWidth="1"/>
    <col min="7959" max="7959" width="8.28515625" customWidth="1"/>
    <col min="7960" max="7960" width="7" customWidth="1"/>
    <col min="8195" max="8195" width="11.140625" bestFit="1" customWidth="1"/>
    <col min="8196" max="8196" width="10.7109375" bestFit="1" customWidth="1"/>
    <col min="8197" max="8197" width="16.85546875" bestFit="1" customWidth="1"/>
    <col min="8198" max="8198" width="15" bestFit="1" customWidth="1"/>
    <col min="8199" max="8199" width="11.28515625" bestFit="1" customWidth="1"/>
    <col min="8200" max="8201" width="11.140625" bestFit="1" customWidth="1"/>
    <col min="8202" max="8202" width="10.7109375" bestFit="1" customWidth="1"/>
    <col min="8203" max="8204" width="11.140625" bestFit="1" customWidth="1"/>
    <col min="8205" max="8205" width="12.7109375" bestFit="1" customWidth="1"/>
    <col min="8206" max="8206" width="11.140625" bestFit="1" customWidth="1"/>
    <col min="8207" max="8207" width="13.42578125" bestFit="1" customWidth="1"/>
    <col min="8209" max="8210" width="11.7109375" customWidth="1"/>
    <col min="8212" max="8212" width="15.85546875" customWidth="1"/>
    <col min="8214" max="8214" width="11.140625" bestFit="1" customWidth="1"/>
    <col min="8215" max="8215" width="8.28515625" customWidth="1"/>
    <col min="8216" max="8216" width="7" customWidth="1"/>
    <col min="8451" max="8451" width="11.140625" bestFit="1" customWidth="1"/>
    <col min="8452" max="8452" width="10.7109375" bestFit="1" customWidth="1"/>
    <col min="8453" max="8453" width="16.85546875" bestFit="1" customWidth="1"/>
    <col min="8454" max="8454" width="15" bestFit="1" customWidth="1"/>
    <col min="8455" max="8455" width="11.28515625" bestFit="1" customWidth="1"/>
    <col min="8456" max="8457" width="11.140625" bestFit="1" customWidth="1"/>
    <col min="8458" max="8458" width="10.7109375" bestFit="1" customWidth="1"/>
    <col min="8459" max="8460" width="11.140625" bestFit="1" customWidth="1"/>
    <col min="8461" max="8461" width="12.7109375" bestFit="1" customWidth="1"/>
    <col min="8462" max="8462" width="11.140625" bestFit="1" customWidth="1"/>
    <col min="8463" max="8463" width="13.42578125" bestFit="1" customWidth="1"/>
    <col min="8465" max="8466" width="11.7109375" customWidth="1"/>
    <col min="8468" max="8468" width="15.85546875" customWidth="1"/>
    <col min="8470" max="8470" width="11.140625" bestFit="1" customWidth="1"/>
    <col min="8471" max="8471" width="8.28515625" customWidth="1"/>
    <col min="8472" max="8472" width="7" customWidth="1"/>
    <col min="8707" max="8707" width="11.140625" bestFit="1" customWidth="1"/>
    <col min="8708" max="8708" width="10.7109375" bestFit="1" customWidth="1"/>
    <col min="8709" max="8709" width="16.85546875" bestFit="1" customWidth="1"/>
    <col min="8710" max="8710" width="15" bestFit="1" customWidth="1"/>
    <col min="8711" max="8711" width="11.28515625" bestFit="1" customWidth="1"/>
    <col min="8712" max="8713" width="11.140625" bestFit="1" customWidth="1"/>
    <col min="8714" max="8714" width="10.7109375" bestFit="1" customWidth="1"/>
    <col min="8715" max="8716" width="11.140625" bestFit="1" customWidth="1"/>
    <col min="8717" max="8717" width="12.7109375" bestFit="1" customWidth="1"/>
    <col min="8718" max="8718" width="11.140625" bestFit="1" customWidth="1"/>
    <col min="8719" max="8719" width="13.42578125" bestFit="1" customWidth="1"/>
    <col min="8721" max="8722" width="11.7109375" customWidth="1"/>
    <col min="8724" max="8724" width="15.85546875" customWidth="1"/>
    <col min="8726" max="8726" width="11.140625" bestFit="1" customWidth="1"/>
    <col min="8727" max="8727" width="8.28515625" customWidth="1"/>
    <col min="8728" max="8728" width="7" customWidth="1"/>
    <col min="8963" max="8963" width="11.140625" bestFit="1" customWidth="1"/>
    <col min="8964" max="8964" width="10.7109375" bestFit="1" customWidth="1"/>
    <col min="8965" max="8965" width="16.85546875" bestFit="1" customWidth="1"/>
    <col min="8966" max="8966" width="15" bestFit="1" customWidth="1"/>
    <col min="8967" max="8967" width="11.28515625" bestFit="1" customWidth="1"/>
    <col min="8968" max="8969" width="11.140625" bestFit="1" customWidth="1"/>
    <col min="8970" max="8970" width="10.7109375" bestFit="1" customWidth="1"/>
    <col min="8971" max="8972" width="11.140625" bestFit="1" customWidth="1"/>
    <col min="8973" max="8973" width="12.7109375" bestFit="1" customWidth="1"/>
    <col min="8974" max="8974" width="11.140625" bestFit="1" customWidth="1"/>
    <col min="8975" max="8975" width="13.42578125" bestFit="1" customWidth="1"/>
    <col min="8977" max="8978" width="11.7109375" customWidth="1"/>
    <col min="8980" max="8980" width="15.85546875" customWidth="1"/>
    <col min="8982" max="8982" width="11.140625" bestFit="1" customWidth="1"/>
    <col min="8983" max="8983" width="8.28515625" customWidth="1"/>
    <col min="8984" max="8984" width="7" customWidth="1"/>
    <col min="9219" max="9219" width="11.140625" bestFit="1" customWidth="1"/>
    <col min="9220" max="9220" width="10.7109375" bestFit="1" customWidth="1"/>
    <col min="9221" max="9221" width="16.85546875" bestFit="1" customWidth="1"/>
    <col min="9222" max="9222" width="15" bestFit="1" customWidth="1"/>
    <col min="9223" max="9223" width="11.28515625" bestFit="1" customWidth="1"/>
    <col min="9224" max="9225" width="11.140625" bestFit="1" customWidth="1"/>
    <col min="9226" max="9226" width="10.7109375" bestFit="1" customWidth="1"/>
    <col min="9227" max="9228" width="11.140625" bestFit="1" customWidth="1"/>
    <col min="9229" max="9229" width="12.7109375" bestFit="1" customWidth="1"/>
    <col min="9230" max="9230" width="11.140625" bestFit="1" customWidth="1"/>
    <col min="9231" max="9231" width="13.42578125" bestFit="1" customWidth="1"/>
    <col min="9233" max="9234" width="11.7109375" customWidth="1"/>
    <col min="9236" max="9236" width="15.85546875" customWidth="1"/>
    <col min="9238" max="9238" width="11.140625" bestFit="1" customWidth="1"/>
    <col min="9239" max="9239" width="8.28515625" customWidth="1"/>
    <col min="9240" max="9240" width="7" customWidth="1"/>
    <col min="9475" max="9475" width="11.140625" bestFit="1" customWidth="1"/>
    <col min="9476" max="9476" width="10.7109375" bestFit="1" customWidth="1"/>
    <col min="9477" max="9477" width="16.85546875" bestFit="1" customWidth="1"/>
    <col min="9478" max="9478" width="15" bestFit="1" customWidth="1"/>
    <col min="9479" max="9479" width="11.28515625" bestFit="1" customWidth="1"/>
    <col min="9480" max="9481" width="11.140625" bestFit="1" customWidth="1"/>
    <col min="9482" max="9482" width="10.7109375" bestFit="1" customWidth="1"/>
    <col min="9483" max="9484" width="11.140625" bestFit="1" customWidth="1"/>
    <col min="9485" max="9485" width="12.7109375" bestFit="1" customWidth="1"/>
    <col min="9486" max="9486" width="11.140625" bestFit="1" customWidth="1"/>
    <col min="9487" max="9487" width="13.42578125" bestFit="1" customWidth="1"/>
    <col min="9489" max="9490" width="11.7109375" customWidth="1"/>
    <col min="9492" max="9492" width="15.85546875" customWidth="1"/>
    <col min="9494" max="9494" width="11.140625" bestFit="1" customWidth="1"/>
    <col min="9495" max="9495" width="8.28515625" customWidth="1"/>
    <col min="9496" max="9496" width="7" customWidth="1"/>
    <col min="9731" max="9731" width="11.140625" bestFit="1" customWidth="1"/>
    <col min="9732" max="9732" width="10.7109375" bestFit="1" customWidth="1"/>
    <col min="9733" max="9733" width="16.85546875" bestFit="1" customWidth="1"/>
    <col min="9734" max="9734" width="15" bestFit="1" customWidth="1"/>
    <col min="9735" max="9735" width="11.28515625" bestFit="1" customWidth="1"/>
    <col min="9736" max="9737" width="11.140625" bestFit="1" customWidth="1"/>
    <col min="9738" max="9738" width="10.7109375" bestFit="1" customWidth="1"/>
    <col min="9739" max="9740" width="11.140625" bestFit="1" customWidth="1"/>
    <col min="9741" max="9741" width="12.7109375" bestFit="1" customWidth="1"/>
    <col min="9742" max="9742" width="11.140625" bestFit="1" customWidth="1"/>
    <col min="9743" max="9743" width="13.42578125" bestFit="1" customWidth="1"/>
    <col min="9745" max="9746" width="11.7109375" customWidth="1"/>
    <col min="9748" max="9748" width="15.85546875" customWidth="1"/>
    <col min="9750" max="9750" width="11.140625" bestFit="1" customWidth="1"/>
    <col min="9751" max="9751" width="8.28515625" customWidth="1"/>
    <col min="9752" max="9752" width="7" customWidth="1"/>
    <col min="9987" max="9987" width="11.140625" bestFit="1" customWidth="1"/>
    <col min="9988" max="9988" width="10.7109375" bestFit="1" customWidth="1"/>
    <col min="9989" max="9989" width="16.85546875" bestFit="1" customWidth="1"/>
    <col min="9990" max="9990" width="15" bestFit="1" customWidth="1"/>
    <col min="9991" max="9991" width="11.28515625" bestFit="1" customWidth="1"/>
    <col min="9992" max="9993" width="11.140625" bestFit="1" customWidth="1"/>
    <col min="9994" max="9994" width="10.7109375" bestFit="1" customWidth="1"/>
    <col min="9995" max="9996" width="11.140625" bestFit="1" customWidth="1"/>
    <col min="9997" max="9997" width="12.7109375" bestFit="1" customWidth="1"/>
    <col min="9998" max="9998" width="11.140625" bestFit="1" customWidth="1"/>
    <col min="9999" max="9999" width="13.42578125" bestFit="1" customWidth="1"/>
    <col min="10001" max="10002" width="11.7109375" customWidth="1"/>
    <col min="10004" max="10004" width="15.85546875" customWidth="1"/>
    <col min="10006" max="10006" width="11.140625" bestFit="1" customWidth="1"/>
    <col min="10007" max="10007" width="8.28515625" customWidth="1"/>
    <col min="10008" max="10008" width="7" customWidth="1"/>
    <col min="10243" max="10243" width="11.140625" bestFit="1" customWidth="1"/>
    <col min="10244" max="10244" width="10.7109375" bestFit="1" customWidth="1"/>
    <col min="10245" max="10245" width="16.85546875" bestFit="1" customWidth="1"/>
    <col min="10246" max="10246" width="15" bestFit="1" customWidth="1"/>
    <col min="10247" max="10247" width="11.28515625" bestFit="1" customWidth="1"/>
    <col min="10248" max="10249" width="11.140625" bestFit="1" customWidth="1"/>
    <col min="10250" max="10250" width="10.7109375" bestFit="1" customWidth="1"/>
    <col min="10251" max="10252" width="11.140625" bestFit="1" customWidth="1"/>
    <col min="10253" max="10253" width="12.7109375" bestFit="1" customWidth="1"/>
    <col min="10254" max="10254" width="11.140625" bestFit="1" customWidth="1"/>
    <col min="10255" max="10255" width="13.42578125" bestFit="1" customWidth="1"/>
    <col min="10257" max="10258" width="11.7109375" customWidth="1"/>
    <col min="10260" max="10260" width="15.85546875" customWidth="1"/>
    <col min="10262" max="10262" width="11.140625" bestFit="1" customWidth="1"/>
    <col min="10263" max="10263" width="8.28515625" customWidth="1"/>
    <col min="10264" max="10264" width="7" customWidth="1"/>
    <col min="10499" max="10499" width="11.140625" bestFit="1" customWidth="1"/>
    <col min="10500" max="10500" width="10.7109375" bestFit="1" customWidth="1"/>
    <col min="10501" max="10501" width="16.85546875" bestFit="1" customWidth="1"/>
    <col min="10502" max="10502" width="15" bestFit="1" customWidth="1"/>
    <col min="10503" max="10503" width="11.28515625" bestFit="1" customWidth="1"/>
    <col min="10504" max="10505" width="11.140625" bestFit="1" customWidth="1"/>
    <col min="10506" max="10506" width="10.7109375" bestFit="1" customWidth="1"/>
    <col min="10507" max="10508" width="11.140625" bestFit="1" customWidth="1"/>
    <col min="10509" max="10509" width="12.7109375" bestFit="1" customWidth="1"/>
    <col min="10510" max="10510" width="11.140625" bestFit="1" customWidth="1"/>
    <col min="10511" max="10511" width="13.42578125" bestFit="1" customWidth="1"/>
    <col min="10513" max="10514" width="11.7109375" customWidth="1"/>
    <col min="10516" max="10516" width="15.85546875" customWidth="1"/>
    <col min="10518" max="10518" width="11.140625" bestFit="1" customWidth="1"/>
    <col min="10519" max="10519" width="8.28515625" customWidth="1"/>
    <col min="10520" max="10520" width="7" customWidth="1"/>
    <col min="10755" max="10755" width="11.140625" bestFit="1" customWidth="1"/>
    <col min="10756" max="10756" width="10.7109375" bestFit="1" customWidth="1"/>
    <col min="10757" max="10757" width="16.85546875" bestFit="1" customWidth="1"/>
    <col min="10758" max="10758" width="15" bestFit="1" customWidth="1"/>
    <col min="10759" max="10759" width="11.28515625" bestFit="1" customWidth="1"/>
    <col min="10760" max="10761" width="11.140625" bestFit="1" customWidth="1"/>
    <col min="10762" max="10762" width="10.7109375" bestFit="1" customWidth="1"/>
    <col min="10763" max="10764" width="11.140625" bestFit="1" customWidth="1"/>
    <col min="10765" max="10765" width="12.7109375" bestFit="1" customWidth="1"/>
    <col min="10766" max="10766" width="11.140625" bestFit="1" customWidth="1"/>
    <col min="10767" max="10767" width="13.42578125" bestFit="1" customWidth="1"/>
    <col min="10769" max="10770" width="11.7109375" customWidth="1"/>
    <col min="10772" max="10772" width="15.85546875" customWidth="1"/>
    <col min="10774" max="10774" width="11.140625" bestFit="1" customWidth="1"/>
    <col min="10775" max="10775" width="8.28515625" customWidth="1"/>
    <col min="10776" max="10776" width="7" customWidth="1"/>
    <col min="11011" max="11011" width="11.140625" bestFit="1" customWidth="1"/>
    <col min="11012" max="11012" width="10.7109375" bestFit="1" customWidth="1"/>
    <col min="11013" max="11013" width="16.85546875" bestFit="1" customWidth="1"/>
    <col min="11014" max="11014" width="15" bestFit="1" customWidth="1"/>
    <col min="11015" max="11015" width="11.28515625" bestFit="1" customWidth="1"/>
    <col min="11016" max="11017" width="11.140625" bestFit="1" customWidth="1"/>
    <col min="11018" max="11018" width="10.7109375" bestFit="1" customWidth="1"/>
    <col min="11019" max="11020" width="11.140625" bestFit="1" customWidth="1"/>
    <col min="11021" max="11021" width="12.7109375" bestFit="1" customWidth="1"/>
    <col min="11022" max="11022" width="11.140625" bestFit="1" customWidth="1"/>
    <col min="11023" max="11023" width="13.42578125" bestFit="1" customWidth="1"/>
    <col min="11025" max="11026" width="11.7109375" customWidth="1"/>
    <col min="11028" max="11028" width="15.85546875" customWidth="1"/>
    <col min="11030" max="11030" width="11.140625" bestFit="1" customWidth="1"/>
    <col min="11031" max="11031" width="8.28515625" customWidth="1"/>
    <col min="11032" max="11032" width="7" customWidth="1"/>
    <col min="11267" max="11267" width="11.140625" bestFit="1" customWidth="1"/>
    <col min="11268" max="11268" width="10.7109375" bestFit="1" customWidth="1"/>
    <col min="11269" max="11269" width="16.85546875" bestFit="1" customWidth="1"/>
    <col min="11270" max="11270" width="15" bestFit="1" customWidth="1"/>
    <col min="11271" max="11271" width="11.28515625" bestFit="1" customWidth="1"/>
    <col min="11272" max="11273" width="11.140625" bestFit="1" customWidth="1"/>
    <col min="11274" max="11274" width="10.7109375" bestFit="1" customWidth="1"/>
    <col min="11275" max="11276" width="11.140625" bestFit="1" customWidth="1"/>
    <col min="11277" max="11277" width="12.7109375" bestFit="1" customWidth="1"/>
    <col min="11278" max="11278" width="11.140625" bestFit="1" customWidth="1"/>
    <col min="11279" max="11279" width="13.42578125" bestFit="1" customWidth="1"/>
    <col min="11281" max="11282" width="11.7109375" customWidth="1"/>
    <col min="11284" max="11284" width="15.85546875" customWidth="1"/>
    <col min="11286" max="11286" width="11.140625" bestFit="1" customWidth="1"/>
    <col min="11287" max="11287" width="8.28515625" customWidth="1"/>
    <col min="11288" max="11288" width="7" customWidth="1"/>
    <col min="11523" max="11523" width="11.140625" bestFit="1" customWidth="1"/>
    <col min="11524" max="11524" width="10.7109375" bestFit="1" customWidth="1"/>
    <col min="11525" max="11525" width="16.85546875" bestFit="1" customWidth="1"/>
    <col min="11526" max="11526" width="15" bestFit="1" customWidth="1"/>
    <col min="11527" max="11527" width="11.28515625" bestFit="1" customWidth="1"/>
    <col min="11528" max="11529" width="11.140625" bestFit="1" customWidth="1"/>
    <col min="11530" max="11530" width="10.7109375" bestFit="1" customWidth="1"/>
    <col min="11531" max="11532" width="11.140625" bestFit="1" customWidth="1"/>
    <col min="11533" max="11533" width="12.7109375" bestFit="1" customWidth="1"/>
    <col min="11534" max="11534" width="11.140625" bestFit="1" customWidth="1"/>
    <col min="11535" max="11535" width="13.42578125" bestFit="1" customWidth="1"/>
    <col min="11537" max="11538" width="11.7109375" customWidth="1"/>
    <col min="11540" max="11540" width="15.85546875" customWidth="1"/>
    <col min="11542" max="11542" width="11.140625" bestFit="1" customWidth="1"/>
    <col min="11543" max="11543" width="8.28515625" customWidth="1"/>
    <col min="11544" max="11544" width="7" customWidth="1"/>
    <col min="11779" max="11779" width="11.140625" bestFit="1" customWidth="1"/>
    <col min="11780" max="11780" width="10.7109375" bestFit="1" customWidth="1"/>
    <col min="11781" max="11781" width="16.85546875" bestFit="1" customWidth="1"/>
    <col min="11782" max="11782" width="15" bestFit="1" customWidth="1"/>
    <col min="11783" max="11783" width="11.28515625" bestFit="1" customWidth="1"/>
    <col min="11784" max="11785" width="11.140625" bestFit="1" customWidth="1"/>
    <col min="11786" max="11786" width="10.7109375" bestFit="1" customWidth="1"/>
    <col min="11787" max="11788" width="11.140625" bestFit="1" customWidth="1"/>
    <col min="11789" max="11789" width="12.7109375" bestFit="1" customWidth="1"/>
    <col min="11790" max="11790" width="11.140625" bestFit="1" customWidth="1"/>
    <col min="11791" max="11791" width="13.42578125" bestFit="1" customWidth="1"/>
    <col min="11793" max="11794" width="11.7109375" customWidth="1"/>
    <col min="11796" max="11796" width="15.85546875" customWidth="1"/>
    <col min="11798" max="11798" width="11.140625" bestFit="1" customWidth="1"/>
    <col min="11799" max="11799" width="8.28515625" customWidth="1"/>
    <col min="11800" max="11800" width="7" customWidth="1"/>
    <col min="12035" max="12035" width="11.140625" bestFit="1" customWidth="1"/>
    <col min="12036" max="12036" width="10.7109375" bestFit="1" customWidth="1"/>
    <col min="12037" max="12037" width="16.85546875" bestFit="1" customWidth="1"/>
    <col min="12038" max="12038" width="15" bestFit="1" customWidth="1"/>
    <col min="12039" max="12039" width="11.28515625" bestFit="1" customWidth="1"/>
    <col min="12040" max="12041" width="11.140625" bestFit="1" customWidth="1"/>
    <col min="12042" max="12042" width="10.7109375" bestFit="1" customWidth="1"/>
    <col min="12043" max="12044" width="11.140625" bestFit="1" customWidth="1"/>
    <col min="12045" max="12045" width="12.7109375" bestFit="1" customWidth="1"/>
    <col min="12046" max="12046" width="11.140625" bestFit="1" customWidth="1"/>
    <col min="12047" max="12047" width="13.42578125" bestFit="1" customWidth="1"/>
    <col min="12049" max="12050" width="11.7109375" customWidth="1"/>
    <col min="12052" max="12052" width="15.85546875" customWidth="1"/>
    <col min="12054" max="12054" width="11.140625" bestFit="1" customWidth="1"/>
    <col min="12055" max="12055" width="8.28515625" customWidth="1"/>
    <col min="12056" max="12056" width="7" customWidth="1"/>
    <col min="12291" max="12291" width="11.140625" bestFit="1" customWidth="1"/>
    <col min="12292" max="12292" width="10.7109375" bestFit="1" customWidth="1"/>
    <col min="12293" max="12293" width="16.85546875" bestFit="1" customWidth="1"/>
    <col min="12294" max="12294" width="15" bestFit="1" customWidth="1"/>
    <col min="12295" max="12295" width="11.28515625" bestFit="1" customWidth="1"/>
    <col min="12296" max="12297" width="11.140625" bestFit="1" customWidth="1"/>
    <col min="12298" max="12298" width="10.7109375" bestFit="1" customWidth="1"/>
    <col min="12299" max="12300" width="11.140625" bestFit="1" customWidth="1"/>
    <col min="12301" max="12301" width="12.7109375" bestFit="1" customWidth="1"/>
    <col min="12302" max="12302" width="11.140625" bestFit="1" customWidth="1"/>
    <col min="12303" max="12303" width="13.42578125" bestFit="1" customWidth="1"/>
    <col min="12305" max="12306" width="11.7109375" customWidth="1"/>
    <col min="12308" max="12308" width="15.85546875" customWidth="1"/>
    <col min="12310" max="12310" width="11.140625" bestFit="1" customWidth="1"/>
    <col min="12311" max="12311" width="8.28515625" customWidth="1"/>
    <col min="12312" max="12312" width="7" customWidth="1"/>
    <col min="12547" max="12547" width="11.140625" bestFit="1" customWidth="1"/>
    <col min="12548" max="12548" width="10.7109375" bestFit="1" customWidth="1"/>
    <col min="12549" max="12549" width="16.85546875" bestFit="1" customWidth="1"/>
    <col min="12550" max="12550" width="15" bestFit="1" customWidth="1"/>
    <col min="12551" max="12551" width="11.28515625" bestFit="1" customWidth="1"/>
    <col min="12552" max="12553" width="11.140625" bestFit="1" customWidth="1"/>
    <col min="12554" max="12554" width="10.7109375" bestFit="1" customWidth="1"/>
    <col min="12555" max="12556" width="11.140625" bestFit="1" customWidth="1"/>
    <col min="12557" max="12557" width="12.7109375" bestFit="1" customWidth="1"/>
    <col min="12558" max="12558" width="11.140625" bestFit="1" customWidth="1"/>
    <col min="12559" max="12559" width="13.42578125" bestFit="1" customWidth="1"/>
    <col min="12561" max="12562" width="11.7109375" customWidth="1"/>
    <col min="12564" max="12564" width="15.85546875" customWidth="1"/>
    <col min="12566" max="12566" width="11.140625" bestFit="1" customWidth="1"/>
    <col min="12567" max="12567" width="8.28515625" customWidth="1"/>
    <col min="12568" max="12568" width="7" customWidth="1"/>
    <col min="12803" max="12803" width="11.140625" bestFit="1" customWidth="1"/>
    <col min="12804" max="12804" width="10.7109375" bestFit="1" customWidth="1"/>
    <col min="12805" max="12805" width="16.85546875" bestFit="1" customWidth="1"/>
    <col min="12806" max="12806" width="15" bestFit="1" customWidth="1"/>
    <col min="12807" max="12807" width="11.28515625" bestFit="1" customWidth="1"/>
    <col min="12808" max="12809" width="11.140625" bestFit="1" customWidth="1"/>
    <col min="12810" max="12810" width="10.7109375" bestFit="1" customWidth="1"/>
    <col min="12811" max="12812" width="11.140625" bestFit="1" customWidth="1"/>
    <col min="12813" max="12813" width="12.7109375" bestFit="1" customWidth="1"/>
    <col min="12814" max="12814" width="11.140625" bestFit="1" customWidth="1"/>
    <col min="12815" max="12815" width="13.42578125" bestFit="1" customWidth="1"/>
    <col min="12817" max="12818" width="11.7109375" customWidth="1"/>
    <col min="12820" max="12820" width="15.85546875" customWidth="1"/>
    <col min="12822" max="12822" width="11.140625" bestFit="1" customWidth="1"/>
    <col min="12823" max="12823" width="8.28515625" customWidth="1"/>
    <col min="12824" max="12824" width="7" customWidth="1"/>
    <col min="13059" max="13059" width="11.140625" bestFit="1" customWidth="1"/>
    <col min="13060" max="13060" width="10.7109375" bestFit="1" customWidth="1"/>
    <col min="13061" max="13061" width="16.85546875" bestFit="1" customWidth="1"/>
    <col min="13062" max="13062" width="15" bestFit="1" customWidth="1"/>
    <col min="13063" max="13063" width="11.28515625" bestFit="1" customWidth="1"/>
    <col min="13064" max="13065" width="11.140625" bestFit="1" customWidth="1"/>
    <col min="13066" max="13066" width="10.7109375" bestFit="1" customWidth="1"/>
    <col min="13067" max="13068" width="11.140625" bestFit="1" customWidth="1"/>
    <col min="13069" max="13069" width="12.7109375" bestFit="1" customWidth="1"/>
    <col min="13070" max="13070" width="11.140625" bestFit="1" customWidth="1"/>
    <col min="13071" max="13071" width="13.42578125" bestFit="1" customWidth="1"/>
    <col min="13073" max="13074" width="11.7109375" customWidth="1"/>
    <col min="13076" max="13076" width="15.85546875" customWidth="1"/>
    <col min="13078" max="13078" width="11.140625" bestFit="1" customWidth="1"/>
    <col min="13079" max="13079" width="8.28515625" customWidth="1"/>
    <col min="13080" max="13080" width="7" customWidth="1"/>
    <col min="13315" max="13315" width="11.140625" bestFit="1" customWidth="1"/>
    <col min="13316" max="13316" width="10.7109375" bestFit="1" customWidth="1"/>
    <col min="13317" max="13317" width="16.85546875" bestFit="1" customWidth="1"/>
    <col min="13318" max="13318" width="15" bestFit="1" customWidth="1"/>
    <col min="13319" max="13319" width="11.28515625" bestFit="1" customWidth="1"/>
    <col min="13320" max="13321" width="11.140625" bestFit="1" customWidth="1"/>
    <col min="13322" max="13322" width="10.7109375" bestFit="1" customWidth="1"/>
    <col min="13323" max="13324" width="11.140625" bestFit="1" customWidth="1"/>
    <col min="13325" max="13325" width="12.7109375" bestFit="1" customWidth="1"/>
    <col min="13326" max="13326" width="11.140625" bestFit="1" customWidth="1"/>
    <col min="13327" max="13327" width="13.42578125" bestFit="1" customWidth="1"/>
    <col min="13329" max="13330" width="11.7109375" customWidth="1"/>
    <col min="13332" max="13332" width="15.85546875" customWidth="1"/>
    <col min="13334" max="13334" width="11.140625" bestFit="1" customWidth="1"/>
    <col min="13335" max="13335" width="8.28515625" customWidth="1"/>
    <col min="13336" max="13336" width="7" customWidth="1"/>
    <col min="13571" max="13571" width="11.140625" bestFit="1" customWidth="1"/>
    <col min="13572" max="13572" width="10.7109375" bestFit="1" customWidth="1"/>
    <col min="13573" max="13573" width="16.85546875" bestFit="1" customWidth="1"/>
    <col min="13574" max="13574" width="15" bestFit="1" customWidth="1"/>
    <col min="13575" max="13575" width="11.28515625" bestFit="1" customWidth="1"/>
    <col min="13576" max="13577" width="11.140625" bestFit="1" customWidth="1"/>
    <col min="13578" max="13578" width="10.7109375" bestFit="1" customWidth="1"/>
    <col min="13579" max="13580" width="11.140625" bestFit="1" customWidth="1"/>
    <col min="13581" max="13581" width="12.7109375" bestFit="1" customWidth="1"/>
    <col min="13582" max="13582" width="11.140625" bestFit="1" customWidth="1"/>
    <col min="13583" max="13583" width="13.42578125" bestFit="1" customWidth="1"/>
    <col min="13585" max="13586" width="11.7109375" customWidth="1"/>
    <col min="13588" max="13588" width="15.85546875" customWidth="1"/>
    <col min="13590" max="13590" width="11.140625" bestFit="1" customWidth="1"/>
    <col min="13591" max="13591" width="8.28515625" customWidth="1"/>
    <col min="13592" max="13592" width="7" customWidth="1"/>
    <col min="13827" max="13827" width="11.140625" bestFit="1" customWidth="1"/>
    <col min="13828" max="13828" width="10.7109375" bestFit="1" customWidth="1"/>
    <col min="13829" max="13829" width="16.85546875" bestFit="1" customWidth="1"/>
    <col min="13830" max="13830" width="15" bestFit="1" customWidth="1"/>
    <col min="13831" max="13831" width="11.28515625" bestFit="1" customWidth="1"/>
    <col min="13832" max="13833" width="11.140625" bestFit="1" customWidth="1"/>
    <col min="13834" max="13834" width="10.7109375" bestFit="1" customWidth="1"/>
    <col min="13835" max="13836" width="11.140625" bestFit="1" customWidth="1"/>
    <col min="13837" max="13837" width="12.7109375" bestFit="1" customWidth="1"/>
    <col min="13838" max="13838" width="11.140625" bestFit="1" customWidth="1"/>
    <col min="13839" max="13839" width="13.42578125" bestFit="1" customWidth="1"/>
    <col min="13841" max="13842" width="11.7109375" customWidth="1"/>
    <col min="13844" max="13844" width="15.85546875" customWidth="1"/>
    <col min="13846" max="13846" width="11.140625" bestFit="1" customWidth="1"/>
    <col min="13847" max="13847" width="8.28515625" customWidth="1"/>
    <col min="13848" max="13848" width="7" customWidth="1"/>
    <col min="14083" max="14083" width="11.140625" bestFit="1" customWidth="1"/>
    <col min="14084" max="14084" width="10.7109375" bestFit="1" customWidth="1"/>
    <col min="14085" max="14085" width="16.85546875" bestFit="1" customWidth="1"/>
    <col min="14086" max="14086" width="15" bestFit="1" customWidth="1"/>
    <col min="14087" max="14087" width="11.28515625" bestFit="1" customWidth="1"/>
    <col min="14088" max="14089" width="11.140625" bestFit="1" customWidth="1"/>
    <col min="14090" max="14090" width="10.7109375" bestFit="1" customWidth="1"/>
    <col min="14091" max="14092" width="11.140625" bestFit="1" customWidth="1"/>
    <col min="14093" max="14093" width="12.7109375" bestFit="1" customWidth="1"/>
    <col min="14094" max="14094" width="11.140625" bestFit="1" customWidth="1"/>
    <col min="14095" max="14095" width="13.42578125" bestFit="1" customWidth="1"/>
    <col min="14097" max="14098" width="11.7109375" customWidth="1"/>
    <col min="14100" max="14100" width="15.85546875" customWidth="1"/>
    <col min="14102" max="14102" width="11.140625" bestFit="1" customWidth="1"/>
    <col min="14103" max="14103" width="8.28515625" customWidth="1"/>
    <col min="14104" max="14104" width="7" customWidth="1"/>
    <col min="14339" max="14339" width="11.140625" bestFit="1" customWidth="1"/>
    <col min="14340" max="14340" width="10.7109375" bestFit="1" customWidth="1"/>
    <col min="14341" max="14341" width="16.85546875" bestFit="1" customWidth="1"/>
    <col min="14342" max="14342" width="15" bestFit="1" customWidth="1"/>
    <col min="14343" max="14343" width="11.28515625" bestFit="1" customWidth="1"/>
    <col min="14344" max="14345" width="11.140625" bestFit="1" customWidth="1"/>
    <col min="14346" max="14346" width="10.7109375" bestFit="1" customWidth="1"/>
    <col min="14347" max="14348" width="11.140625" bestFit="1" customWidth="1"/>
    <col min="14349" max="14349" width="12.7109375" bestFit="1" customWidth="1"/>
    <col min="14350" max="14350" width="11.140625" bestFit="1" customWidth="1"/>
    <col min="14351" max="14351" width="13.42578125" bestFit="1" customWidth="1"/>
    <col min="14353" max="14354" width="11.7109375" customWidth="1"/>
    <col min="14356" max="14356" width="15.85546875" customWidth="1"/>
    <col min="14358" max="14358" width="11.140625" bestFit="1" customWidth="1"/>
    <col min="14359" max="14359" width="8.28515625" customWidth="1"/>
    <col min="14360" max="14360" width="7" customWidth="1"/>
    <col min="14595" max="14595" width="11.140625" bestFit="1" customWidth="1"/>
    <col min="14596" max="14596" width="10.7109375" bestFit="1" customWidth="1"/>
    <col min="14597" max="14597" width="16.85546875" bestFit="1" customWidth="1"/>
    <col min="14598" max="14598" width="15" bestFit="1" customWidth="1"/>
    <col min="14599" max="14599" width="11.28515625" bestFit="1" customWidth="1"/>
    <col min="14600" max="14601" width="11.140625" bestFit="1" customWidth="1"/>
    <col min="14602" max="14602" width="10.7109375" bestFit="1" customWidth="1"/>
    <col min="14603" max="14604" width="11.140625" bestFit="1" customWidth="1"/>
    <col min="14605" max="14605" width="12.7109375" bestFit="1" customWidth="1"/>
    <col min="14606" max="14606" width="11.140625" bestFit="1" customWidth="1"/>
    <col min="14607" max="14607" width="13.42578125" bestFit="1" customWidth="1"/>
    <col min="14609" max="14610" width="11.7109375" customWidth="1"/>
    <col min="14612" max="14612" width="15.85546875" customWidth="1"/>
    <col min="14614" max="14614" width="11.140625" bestFit="1" customWidth="1"/>
    <col min="14615" max="14615" width="8.28515625" customWidth="1"/>
    <col min="14616" max="14616" width="7" customWidth="1"/>
    <col min="14851" max="14851" width="11.140625" bestFit="1" customWidth="1"/>
    <col min="14852" max="14852" width="10.7109375" bestFit="1" customWidth="1"/>
    <col min="14853" max="14853" width="16.85546875" bestFit="1" customWidth="1"/>
    <col min="14854" max="14854" width="15" bestFit="1" customWidth="1"/>
    <col min="14855" max="14855" width="11.28515625" bestFit="1" customWidth="1"/>
    <col min="14856" max="14857" width="11.140625" bestFit="1" customWidth="1"/>
    <col min="14858" max="14858" width="10.7109375" bestFit="1" customWidth="1"/>
    <col min="14859" max="14860" width="11.140625" bestFit="1" customWidth="1"/>
    <col min="14861" max="14861" width="12.7109375" bestFit="1" customWidth="1"/>
    <col min="14862" max="14862" width="11.140625" bestFit="1" customWidth="1"/>
    <col min="14863" max="14863" width="13.42578125" bestFit="1" customWidth="1"/>
    <col min="14865" max="14866" width="11.7109375" customWidth="1"/>
    <col min="14868" max="14868" width="15.85546875" customWidth="1"/>
    <col min="14870" max="14870" width="11.140625" bestFit="1" customWidth="1"/>
    <col min="14871" max="14871" width="8.28515625" customWidth="1"/>
    <col min="14872" max="14872" width="7" customWidth="1"/>
    <col min="15107" max="15107" width="11.140625" bestFit="1" customWidth="1"/>
    <col min="15108" max="15108" width="10.7109375" bestFit="1" customWidth="1"/>
    <col min="15109" max="15109" width="16.85546875" bestFit="1" customWidth="1"/>
    <col min="15110" max="15110" width="15" bestFit="1" customWidth="1"/>
    <col min="15111" max="15111" width="11.28515625" bestFit="1" customWidth="1"/>
    <col min="15112" max="15113" width="11.140625" bestFit="1" customWidth="1"/>
    <col min="15114" max="15114" width="10.7109375" bestFit="1" customWidth="1"/>
    <col min="15115" max="15116" width="11.140625" bestFit="1" customWidth="1"/>
    <col min="15117" max="15117" width="12.7109375" bestFit="1" customWidth="1"/>
    <col min="15118" max="15118" width="11.140625" bestFit="1" customWidth="1"/>
    <col min="15119" max="15119" width="13.42578125" bestFit="1" customWidth="1"/>
    <col min="15121" max="15122" width="11.7109375" customWidth="1"/>
    <col min="15124" max="15124" width="15.85546875" customWidth="1"/>
    <col min="15126" max="15126" width="11.140625" bestFit="1" customWidth="1"/>
    <col min="15127" max="15127" width="8.28515625" customWidth="1"/>
    <col min="15128" max="15128" width="7" customWidth="1"/>
    <col min="15363" max="15363" width="11.140625" bestFit="1" customWidth="1"/>
    <col min="15364" max="15364" width="10.7109375" bestFit="1" customWidth="1"/>
    <col min="15365" max="15365" width="16.85546875" bestFit="1" customWidth="1"/>
    <col min="15366" max="15366" width="15" bestFit="1" customWidth="1"/>
    <col min="15367" max="15367" width="11.28515625" bestFit="1" customWidth="1"/>
    <col min="15368" max="15369" width="11.140625" bestFit="1" customWidth="1"/>
    <col min="15370" max="15370" width="10.7109375" bestFit="1" customWidth="1"/>
    <col min="15371" max="15372" width="11.140625" bestFit="1" customWidth="1"/>
    <col min="15373" max="15373" width="12.7109375" bestFit="1" customWidth="1"/>
    <col min="15374" max="15374" width="11.140625" bestFit="1" customWidth="1"/>
    <col min="15375" max="15375" width="13.42578125" bestFit="1" customWidth="1"/>
    <col min="15377" max="15378" width="11.7109375" customWidth="1"/>
    <col min="15380" max="15380" width="15.85546875" customWidth="1"/>
    <col min="15382" max="15382" width="11.140625" bestFit="1" customWidth="1"/>
    <col min="15383" max="15383" width="8.28515625" customWidth="1"/>
    <col min="15384" max="15384" width="7" customWidth="1"/>
    <col min="15619" max="15619" width="11.140625" bestFit="1" customWidth="1"/>
    <col min="15620" max="15620" width="10.7109375" bestFit="1" customWidth="1"/>
    <col min="15621" max="15621" width="16.85546875" bestFit="1" customWidth="1"/>
    <col min="15622" max="15622" width="15" bestFit="1" customWidth="1"/>
    <col min="15623" max="15623" width="11.28515625" bestFit="1" customWidth="1"/>
    <col min="15624" max="15625" width="11.140625" bestFit="1" customWidth="1"/>
    <col min="15626" max="15626" width="10.7109375" bestFit="1" customWidth="1"/>
    <col min="15627" max="15628" width="11.140625" bestFit="1" customWidth="1"/>
    <col min="15629" max="15629" width="12.7109375" bestFit="1" customWidth="1"/>
    <col min="15630" max="15630" width="11.140625" bestFit="1" customWidth="1"/>
    <col min="15631" max="15631" width="13.42578125" bestFit="1" customWidth="1"/>
    <col min="15633" max="15634" width="11.7109375" customWidth="1"/>
    <col min="15636" max="15636" width="15.85546875" customWidth="1"/>
    <col min="15638" max="15638" width="11.140625" bestFit="1" customWidth="1"/>
    <col min="15639" max="15639" width="8.28515625" customWidth="1"/>
    <col min="15640" max="15640" width="7" customWidth="1"/>
    <col min="15875" max="15875" width="11.140625" bestFit="1" customWidth="1"/>
    <col min="15876" max="15876" width="10.7109375" bestFit="1" customWidth="1"/>
    <col min="15877" max="15877" width="16.85546875" bestFit="1" customWidth="1"/>
    <col min="15878" max="15878" width="15" bestFit="1" customWidth="1"/>
    <col min="15879" max="15879" width="11.28515625" bestFit="1" customWidth="1"/>
    <col min="15880" max="15881" width="11.140625" bestFit="1" customWidth="1"/>
    <col min="15882" max="15882" width="10.7109375" bestFit="1" customWidth="1"/>
    <col min="15883" max="15884" width="11.140625" bestFit="1" customWidth="1"/>
    <col min="15885" max="15885" width="12.7109375" bestFit="1" customWidth="1"/>
    <col min="15886" max="15886" width="11.140625" bestFit="1" customWidth="1"/>
    <col min="15887" max="15887" width="13.42578125" bestFit="1" customWidth="1"/>
    <col min="15889" max="15890" width="11.7109375" customWidth="1"/>
    <col min="15892" max="15892" width="15.85546875" customWidth="1"/>
    <col min="15894" max="15894" width="11.140625" bestFit="1" customWidth="1"/>
    <col min="15895" max="15895" width="8.28515625" customWidth="1"/>
    <col min="15896" max="15896" width="7" customWidth="1"/>
    <col min="16131" max="16131" width="11.140625" bestFit="1" customWidth="1"/>
    <col min="16132" max="16132" width="10.7109375" bestFit="1" customWidth="1"/>
    <col min="16133" max="16133" width="16.85546875" bestFit="1" customWidth="1"/>
    <col min="16134" max="16134" width="15" bestFit="1" customWidth="1"/>
    <col min="16135" max="16135" width="11.28515625" bestFit="1" customWidth="1"/>
    <col min="16136" max="16137" width="11.140625" bestFit="1" customWidth="1"/>
    <col min="16138" max="16138" width="10.7109375" bestFit="1" customWidth="1"/>
    <col min="16139" max="16140" width="11.140625" bestFit="1" customWidth="1"/>
    <col min="16141" max="16141" width="12.7109375" bestFit="1" customWidth="1"/>
    <col min="16142" max="16142" width="11.140625" bestFit="1" customWidth="1"/>
    <col min="16143" max="16143" width="13.42578125" bestFit="1" customWidth="1"/>
    <col min="16145" max="16146" width="11.7109375" customWidth="1"/>
    <col min="16148" max="16148" width="15.85546875" customWidth="1"/>
    <col min="16150" max="16150" width="11.140625" bestFit="1" customWidth="1"/>
    <col min="16151" max="16151" width="8.28515625" customWidth="1"/>
    <col min="16152" max="16152" width="7" customWidth="1"/>
  </cols>
  <sheetData>
    <row r="2" spans="1:22">
      <c r="C2" t="s">
        <v>0</v>
      </c>
      <c r="E2" t="s">
        <v>1</v>
      </c>
      <c r="I2" t="s">
        <v>2</v>
      </c>
      <c r="K2" t="s">
        <v>1</v>
      </c>
      <c r="M2" t="s">
        <v>460</v>
      </c>
      <c r="O2" t="s">
        <v>1</v>
      </c>
      <c r="Q2" s="1" t="s">
        <v>4</v>
      </c>
      <c r="T2" t="s">
        <v>5</v>
      </c>
    </row>
    <row r="3" spans="1:22" s="2" customFormat="1" ht="12.75">
      <c r="A3" s="2">
        <v>2019</v>
      </c>
      <c r="C3" s="80">
        <v>908.9</v>
      </c>
      <c r="D3" s="3"/>
      <c r="F3" s="3"/>
      <c r="I3" s="80">
        <v>75505.320000000007</v>
      </c>
      <c r="M3" s="3"/>
      <c r="Q3" s="80">
        <v>124544.71</v>
      </c>
      <c r="R3" s="3"/>
      <c r="T3" s="80">
        <f>C3 + I3 + Q3</f>
        <v>200958.93</v>
      </c>
    </row>
    <row r="4" spans="1:22" s="2" customFormat="1" ht="12.75">
      <c r="A4" s="4">
        <v>43831</v>
      </c>
      <c r="C4" s="3">
        <v>5061.6099999999997</v>
      </c>
      <c r="D4" s="3">
        <v>4809.29</v>
      </c>
      <c r="E4" s="5">
        <f>( (C4-D4)/C3 -1)</f>
        <v>-0.72238970183738616</v>
      </c>
      <c r="F4" s="3">
        <v>1220.07</v>
      </c>
      <c r="G4" s="5">
        <f>(F4/C4)</f>
        <v>0.24104385758681526</v>
      </c>
      <c r="I4" s="3">
        <v>125984.25</v>
      </c>
      <c r="J4" s="3">
        <v>-1958.12</v>
      </c>
      <c r="K4" s="102">
        <f>((I4-J4)/I3) -1</f>
        <v>0.69448152792412476</v>
      </c>
      <c r="L4" s="5"/>
      <c r="M4" s="3"/>
      <c r="N4" s="3"/>
      <c r="O4" s="5"/>
      <c r="P4" s="5"/>
      <c r="Q4" s="3">
        <v>169551.84</v>
      </c>
      <c r="R4" s="5">
        <f t="shared" ref="R4:R9" si="0">Q4/Q3 -1</f>
        <v>0.36137327711470024</v>
      </c>
      <c r="T4" s="3">
        <f>C4 + I4 + Q4</f>
        <v>300597.7</v>
      </c>
      <c r="U4" s="102">
        <f>T4/T3 -1</f>
        <v>0.49581658302022213</v>
      </c>
    </row>
    <row r="5" spans="1:22" s="2" customFormat="1" ht="12.75">
      <c r="A5" s="4">
        <v>44197</v>
      </c>
      <c r="C5" s="3">
        <v>15011.69</v>
      </c>
      <c r="D5" s="3">
        <v>3253.8</v>
      </c>
      <c r="E5" s="5">
        <f>( (C5-D5)/C4 -1)</f>
        <v>1.3229545539857872</v>
      </c>
      <c r="F5" s="3">
        <v>8031.94</v>
      </c>
      <c r="G5" s="5">
        <f>(F5/C5)</f>
        <v>0.53504568772736438</v>
      </c>
      <c r="I5" s="3">
        <v>135360.94</v>
      </c>
      <c r="J5" s="3"/>
      <c r="K5" s="5">
        <f>((I5+J5)/I4) -1</f>
        <v>7.4427478037929262E-2</v>
      </c>
      <c r="L5" s="5"/>
      <c r="M5" s="3"/>
      <c r="N5" s="3"/>
      <c r="O5" s="5"/>
      <c r="P5" s="5"/>
      <c r="Q5" s="3">
        <v>241561.18</v>
      </c>
      <c r="R5" s="102">
        <f t="shared" si="0"/>
        <v>0.42470397254314673</v>
      </c>
      <c r="T5" s="3">
        <f>C5 + I5 + Q5</f>
        <v>391933.81</v>
      </c>
      <c r="U5" s="5">
        <f>T5/T4 -1</f>
        <v>0.30384833283820867</v>
      </c>
    </row>
    <row r="6" spans="1:22" s="2" customFormat="1" ht="12.75">
      <c r="A6" s="4">
        <v>44562</v>
      </c>
      <c r="C6" s="82">
        <v>18166.45</v>
      </c>
      <c r="D6" s="3">
        <v>3109.78</v>
      </c>
      <c r="E6" s="5">
        <f>( (C6-D6)/C5 -1)</f>
        <v>2.9963315256309464E-3</v>
      </c>
      <c r="F6" s="3">
        <v>2340.23</v>
      </c>
      <c r="G6" s="5">
        <f>(F6/C6)</f>
        <v>0.12882153640364519</v>
      </c>
      <c r="I6" s="3">
        <v>170104.5</v>
      </c>
      <c r="J6" s="3"/>
      <c r="K6" s="5">
        <f>((I6+J6)/I5) -1</f>
        <v>0.25667345395207808</v>
      </c>
      <c r="L6" s="5"/>
      <c r="M6" s="82">
        <v>234276.84</v>
      </c>
      <c r="N6" s="3">
        <v>226247.79</v>
      </c>
      <c r="O6" s="102">
        <f>((M6-N6)/N6)</f>
        <v>3.5487860456007055E-2</v>
      </c>
      <c r="P6" s="5"/>
      <c r="Q6" s="3">
        <v>319120.92</v>
      </c>
      <c r="R6" s="5">
        <f t="shared" si="0"/>
        <v>0.32107700417757523</v>
      </c>
      <c r="T6" s="82">
        <f t="shared" ref="T6:T11" si="1">C6 + I6 + M6 + Q6</f>
        <v>741668.71</v>
      </c>
      <c r="U6" s="5">
        <f>(T6-N6)/T5 -1</f>
        <v>0.31507133819355859</v>
      </c>
      <c r="V6" s="5"/>
    </row>
    <row r="7" spans="1:22" s="2" customFormat="1" ht="12.75">
      <c r="A7" s="4">
        <v>44927</v>
      </c>
      <c r="C7" s="3">
        <v>10169.06</v>
      </c>
      <c r="D7" s="3"/>
      <c r="E7" s="5">
        <f>( (C7-D7)/C6 -1)</f>
        <v>-0.44022855318457932</v>
      </c>
      <c r="F7" s="3">
        <v>-13707.94</v>
      </c>
      <c r="G7" s="5">
        <f>(F7/C7)</f>
        <v>-1.3480046336632885</v>
      </c>
      <c r="I7" s="83">
        <v>84285.27</v>
      </c>
      <c r="J7" s="3">
        <v>-39851.4</v>
      </c>
      <c r="K7" s="5">
        <f>(I7/(I6+J7)) -1</f>
        <v>-0.35291160056843174</v>
      </c>
      <c r="L7" s="5"/>
      <c r="M7" s="77">
        <v>75262.63</v>
      </c>
      <c r="N7" s="3">
        <v>-105148.6</v>
      </c>
      <c r="O7" s="5">
        <f>M7/(M6+N7)-1</f>
        <v>-0.41714817765656831</v>
      </c>
      <c r="P7" s="5"/>
      <c r="Q7" s="83">
        <v>294732.3</v>
      </c>
      <c r="R7" s="5">
        <f t="shared" si="0"/>
        <v>-7.6424384838198578E-2</v>
      </c>
      <c r="T7" s="83">
        <f t="shared" si="1"/>
        <v>464449.26</v>
      </c>
      <c r="U7" s="5">
        <f>(T7-N7-J7)/T6 -1</f>
        <v>-0.17827292457841448</v>
      </c>
      <c r="V7" s="5"/>
    </row>
    <row r="8" spans="1:22">
      <c r="A8" s="6">
        <v>44958</v>
      </c>
      <c r="C8" s="71">
        <v>10690.76</v>
      </c>
      <c r="E8" s="7">
        <f t="shared" ref="E8:E13" si="2">( C8/C7 -1)</f>
        <v>5.1302676943591807E-2</v>
      </c>
      <c r="F8" s="1">
        <v>505.95</v>
      </c>
      <c r="G8" s="7">
        <f t="shared" ref="G8:G13" si="3">(F8/C7)</f>
        <v>4.9753861222177863E-2</v>
      </c>
      <c r="I8" s="1">
        <v>88199.46</v>
      </c>
      <c r="J8" s="1">
        <v>-2042.96</v>
      </c>
      <c r="K8" s="7">
        <f t="shared" ref="K8:K13" si="4">((I8-J8)/I7) -1</f>
        <v>7.0678423406604907E-2</v>
      </c>
      <c r="L8" s="7"/>
      <c r="M8" s="1">
        <v>69613.94</v>
      </c>
      <c r="N8" s="1">
        <v>-1957.04</v>
      </c>
      <c r="O8" s="7">
        <f t="shared" ref="O8:O13" si="5">((M8-N8)/M7) -1</f>
        <v>-4.9050239142586549E-2</v>
      </c>
      <c r="P8" s="7"/>
      <c r="Q8" s="1">
        <v>310505.55</v>
      </c>
      <c r="R8" s="7">
        <f t="shared" si="0"/>
        <v>5.3517208666983507E-2</v>
      </c>
      <c r="T8" s="1">
        <f t="shared" si="1"/>
        <v>479009.70999999996</v>
      </c>
      <c r="U8" s="7">
        <f t="shared" ref="U8:U13" si="6">T8/T7 -1</f>
        <v>3.1349926146937879E-2</v>
      </c>
      <c r="V8" s="7">
        <f>T8/T7 -1</f>
        <v>3.1349926146937879E-2</v>
      </c>
    </row>
    <row r="9" spans="1:22">
      <c r="A9" s="6">
        <v>44986</v>
      </c>
      <c r="C9" s="1">
        <v>8306.39</v>
      </c>
      <c r="E9" s="96">
        <f t="shared" si="2"/>
        <v>-0.22303091641754191</v>
      </c>
      <c r="F9" s="1">
        <v>-920.33</v>
      </c>
      <c r="G9" s="7">
        <f t="shared" si="3"/>
        <v>-8.6086489641522213E-2</v>
      </c>
      <c r="I9" s="1">
        <v>89448.84</v>
      </c>
      <c r="J9" s="1"/>
      <c r="K9" s="7">
        <f t="shared" si="4"/>
        <v>1.4165392849343927E-2</v>
      </c>
      <c r="L9" s="7"/>
      <c r="M9" s="1">
        <v>57336.98</v>
      </c>
      <c r="N9" s="1"/>
      <c r="O9" s="7">
        <f t="shared" si="5"/>
        <v>-0.17635778121450962</v>
      </c>
      <c r="P9" s="7"/>
      <c r="Q9" s="1">
        <v>313771.59999999998</v>
      </c>
      <c r="R9" s="7">
        <f t="shared" si="0"/>
        <v>1.0518491537429897E-2</v>
      </c>
      <c r="T9" s="1">
        <f t="shared" si="1"/>
        <v>468863.80999999994</v>
      </c>
      <c r="U9" s="7">
        <f t="shared" si="6"/>
        <v>-2.1180990255917798E-2</v>
      </c>
      <c r="V9" s="7">
        <f>T9/T7 -1</f>
        <v>9.5049134107780819E-3</v>
      </c>
    </row>
    <row r="10" spans="1:22">
      <c r="A10" s="6">
        <v>45017</v>
      </c>
      <c r="C10" s="1">
        <v>6541.84</v>
      </c>
      <c r="E10" s="7">
        <f t="shared" si="2"/>
        <v>-0.21243283785134093</v>
      </c>
      <c r="F10" s="1">
        <v>-1986.21</v>
      </c>
      <c r="G10" s="96">
        <f t="shared" si="3"/>
        <v>-0.23911831734363545</v>
      </c>
      <c r="I10" s="1">
        <v>114704.37</v>
      </c>
      <c r="J10" s="1">
        <v>-1982.91</v>
      </c>
      <c r="K10" s="88">
        <f t="shared" si="4"/>
        <v>0.30451417816038751</v>
      </c>
      <c r="L10" s="7"/>
      <c r="M10" s="1">
        <v>61497.66</v>
      </c>
      <c r="N10" s="1"/>
      <c r="O10" s="7">
        <f t="shared" si="5"/>
        <v>7.256538450403216E-2</v>
      </c>
      <c r="P10" s="7"/>
      <c r="Q10" s="1">
        <v>318294.78999999998</v>
      </c>
      <c r="R10" s="7">
        <f t="shared" ref="R10:R16" si="7">Q10/Q9 -1</f>
        <v>1.441554939962697E-2</v>
      </c>
      <c r="T10" s="1">
        <f t="shared" si="1"/>
        <v>501038.66</v>
      </c>
      <c r="U10" s="7">
        <f t="shared" si="6"/>
        <v>6.8623018697049787E-2</v>
      </c>
      <c r="V10" s="7">
        <f>T10/T7 -1</f>
        <v>7.878018795852948E-2</v>
      </c>
    </row>
    <row r="11" spans="1:22">
      <c r="A11" s="6">
        <v>45047</v>
      </c>
      <c r="C11" s="81">
        <v>5877.98</v>
      </c>
      <c r="E11" s="7">
        <f t="shared" si="2"/>
        <v>-0.10147909456666637</v>
      </c>
      <c r="F11" s="1">
        <v>-292.77</v>
      </c>
      <c r="G11" s="7">
        <f t="shared" si="3"/>
        <v>-4.4753463857263399E-2</v>
      </c>
      <c r="I11" s="1">
        <v>107188.06</v>
      </c>
      <c r="J11" s="1">
        <v>-1999.48</v>
      </c>
      <c r="K11" s="96">
        <f t="shared" si="4"/>
        <v>-4.8096075153893469E-2</v>
      </c>
      <c r="L11" s="7"/>
      <c r="M11" s="1">
        <v>51986.94</v>
      </c>
      <c r="N11" s="1"/>
      <c r="O11" s="7">
        <f t="shared" si="5"/>
        <v>-0.15465173796856657</v>
      </c>
      <c r="P11" s="7"/>
      <c r="Q11" s="1">
        <v>321982.90999999997</v>
      </c>
      <c r="R11" s="7">
        <f t="shared" si="7"/>
        <v>1.1587120229017867E-2</v>
      </c>
      <c r="T11" s="1">
        <f t="shared" si="1"/>
        <v>487035.88999999996</v>
      </c>
      <c r="U11" s="7">
        <f t="shared" si="6"/>
        <v>-2.7947484132262446E-2</v>
      </c>
      <c r="V11" s="7">
        <f>T11/T7 -1</f>
        <v>4.8630995773359498E-2</v>
      </c>
    </row>
    <row r="12" spans="1:22">
      <c r="A12" s="6">
        <v>45078</v>
      </c>
      <c r="C12" s="1">
        <v>6927.63</v>
      </c>
      <c r="E12" s="7">
        <f t="shared" si="2"/>
        <v>0.17857325135505753</v>
      </c>
      <c r="F12" s="1">
        <v>-777.05</v>
      </c>
      <c r="G12" s="7">
        <f t="shared" si="3"/>
        <v>-0.13219677508259639</v>
      </c>
      <c r="I12" s="1">
        <v>111014.64</v>
      </c>
      <c r="J12" s="1">
        <v>-3004.16</v>
      </c>
      <c r="K12" s="7">
        <f t="shared" si="4"/>
        <v>6.3726687468734999E-2</v>
      </c>
      <c r="L12" s="7"/>
      <c r="M12" s="1">
        <v>46289.47</v>
      </c>
      <c r="N12" s="1"/>
      <c r="O12" s="7">
        <f t="shared" si="5"/>
        <v>-0.10959425578808835</v>
      </c>
      <c r="P12" s="7"/>
      <c r="Q12" s="1">
        <v>323309.34000000003</v>
      </c>
      <c r="R12" s="7">
        <f t="shared" si="7"/>
        <v>4.1195664701585422E-3</v>
      </c>
      <c r="T12" s="1">
        <f t="shared" ref="T12:T17" si="8">C12 + I12 + M12 + Q12</f>
        <v>487541.08</v>
      </c>
      <c r="U12" s="7">
        <f t="shared" si="6"/>
        <v>1.037274686266132E-3</v>
      </c>
      <c r="V12" s="7">
        <f>T12/T7 -1</f>
        <v>4.9718714160509103E-2</v>
      </c>
    </row>
    <row r="13" spans="1:22">
      <c r="A13" s="6">
        <v>45108</v>
      </c>
      <c r="C13" s="1">
        <v>8377.8700000000008</v>
      </c>
      <c r="E13" s="88">
        <f t="shared" si="2"/>
        <v>0.20934143422786744</v>
      </c>
      <c r="F13" s="1">
        <v>264.33</v>
      </c>
      <c r="G13" s="7">
        <f t="shared" si="3"/>
        <v>3.8155906132400254E-2</v>
      </c>
      <c r="I13" s="1">
        <v>116003.36</v>
      </c>
      <c r="J13" s="1">
        <v>-1972.83</v>
      </c>
      <c r="K13" s="7">
        <f t="shared" si="4"/>
        <v>6.2708395937689065E-2</v>
      </c>
      <c r="L13" s="7"/>
      <c r="M13" s="1">
        <v>57810.64</v>
      </c>
      <c r="N13" s="1">
        <v>-2027.17</v>
      </c>
      <c r="O13" s="88">
        <f t="shared" si="5"/>
        <v>0.29268730015703337</v>
      </c>
      <c r="P13" s="7"/>
      <c r="Q13" s="1">
        <v>340129.63</v>
      </c>
      <c r="R13" s="7">
        <f t="shared" si="7"/>
        <v>5.2025376068628226E-2</v>
      </c>
      <c r="T13" s="1">
        <f t="shared" si="8"/>
        <v>522321.5</v>
      </c>
      <c r="U13" s="7">
        <f t="shared" si="6"/>
        <v>7.1338439829521594E-2</v>
      </c>
      <c r="V13" s="7">
        <f>T13/T7 -1</f>
        <v>0.12460400948857142</v>
      </c>
    </row>
    <row r="14" spans="1:22">
      <c r="A14" s="6">
        <v>45139</v>
      </c>
      <c r="C14" s="1">
        <v>9255.64</v>
      </c>
      <c r="E14" s="7">
        <f t="shared" ref="E14:E19" si="9">( C14/C13 -1)</f>
        <v>0.10477245409632752</v>
      </c>
      <c r="F14" s="1">
        <v>492.61</v>
      </c>
      <c r="G14" s="88">
        <f t="shared" ref="G14:G19" si="10">(F14/C13)</f>
        <v>5.8798954865616197E-2</v>
      </c>
      <c r="I14" s="1">
        <v>124086.13</v>
      </c>
      <c r="J14" s="1"/>
      <c r="K14" s="7">
        <f t="shared" ref="K14:K19" si="11">((I14-J14)/I13) -1</f>
        <v>6.9677033492822948E-2</v>
      </c>
      <c r="L14" s="7"/>
      <c r="M14" s="1">
        <v>63118.080000000002</v>
      </c>
      <c r="N14" s="1">
        <v>-4000</v>
      </c>
      <c r="O14" s="7">
        <f t="shared" ref="O14:O19" si="12">((M14-N14)/M13) -1</f>
        <v>0.16099873656475694</v>
      </c>
      <c r="P14" s="7"/>
      <c r="Q14" s="1">
        <v>353835.11</v>
      </c>
      <c r="R14" s="7">
        <f t="shared" si="7"/>
        <v>4.0294872281488647E-2</v>
      </c>
      <c r="T14" s="1">
        <f t="shared" si="8"/>
        <v>550294.96</v>
      </c>
      <c r="U14" s="7">
        <f t="shared" ref="U14:U19" si="13">T14/T13 -1</f>
        <v>5.3556018659005833E-2</v>
      </c>
      <c r="V14" s="7">
        <f>T14/T7 -1</f>
        <v>0.1848333228047343</v>
      </c>
    </row>
    <row r="15" spans="1:22">
      <c r="A15" s="6">
        <v>45170</v>
      </c>
      <c r="C15" s="1">
        <v>8510.01</v>
      </c>
      <c r="E15" s="7">
        <f t="shared" si="9"/>
        <v>-8.0559529108737982E-2</v>
      </c>
      <c r="F15" s="1">
        <v>-799.69</v>
      </c>
      <c r="G15" s="7">
        <f t="shared" si="10"/>
        <v>-8.6400292146194116E-2</v>
      </c>
      <c r="I15" s="1">
        <v>139013.84</v>
      </c>
      <c r="J15" s="1"/>
      <c r="K15" s="7">
        <f t="shared" si="11"/>
        <v>0.12030119724098087</v>
      </c>
      <c r="L15" s="7"/>
      <c r="M15" s="1">
        <v>51902.62</v>
      </c>
      <c r="N15" s="1">
        <v>-4000</v>
      </c>
      <c r="O15" s="7">
        <f t="shared" si="12"/>
        <v>-0.1143168486747379</v>
      </c>
      <c r="P15" s="7"/>
      <c r="Q15" s="1">
        <v>351807.6</v>
      </c>
      <c r="R15" s="7">
        <f t="shared" si="7"/>
        <v>-5.7300984065713489E-3</v>
      </c>
      <c r="T15" s="1">
        <f t="shared" si="8"/>
        <v>551234.06999999995</v>
      </c>
      <c r="U15" s="7">
        <f t="shared" si="13"/>
        <v>1.7065575159911361E-3</v>
      </c>
      <c r="V15" s="7">
        <f>T15/T7 -1</f>
        <v>0.18685530901696334</v>
      </c>
    </row>
    <row r="16" spans="1:22">
      <c r="A16" s="6">
        <v>45200</v>
      </c>
      <c r="C16" s="1">
        <v>8950.61</v>
      </c>
      <c r="E16" s="7">
        <f t="shared" si="9"/>
        <v>5.1774322239339421E-2</v>
      </c>
      <c r="F16" s="1">
        <v>-124.75</v>
      </c>
      <c r="G16" s="7">
        <f t="shared" si="10"/>
        <v>-1.4659207215972719E-2</v>
      </c>
      <c r="I16" s="1">
        <v>137578.5</v>
      </c>
      <c r="J16" s="1">
        <v>-3152.3</v>
      </c>
      <c r="K16" s="7">
        <f t="shared" si="11"/>
        <v>1.2351000447149652E-2</v>
      </c>
      <c r="L16" s="7"/>
      <c r="M16" s="1">
        <v>46289.75</v>
      </c>
      <c r="N16" s="1">
        <v>-847.7</v>
      </c>
      <c r="O16" s="7">
        <f t="shared" si="12"/>
        <v>-9.1809816151863011E-2</v>
      </c>
      <c r="P16" s="7"/>
      <c r="Q16" s="1">
        <v>342760.56</v>
      </c>
      <c r="R16" s="7">
        <f t="shared" si="7"/>
        <v>-2.5715874244899739E-2</v>
      </c>
      <c r="T16" s="1">
        <f t="shared" si="8"/>
        <v>535579.41999999993</v>
      </c>
      <c r="U16" s="7">
        <f t="shared" si="13"/>
        <v>-2.8399278731084276E-2</v>
      </c>
      <c r="V16" s="7">
        <f>T16/T7 -1</f>
        <v>0.1531494742827233</v>
      </c>
    </row>
    <row r="17" spans="1:22">
      <c r="A17" s="6">
        <v>45231</v>
      </c>
      <c r="C17" s="1">
        <v>8165.76</v>
      </c>
      <c r="E17" s="7">
        <f t="shared" si="9"/>
        <v>-8.7686761014053816E-2</v>
      </c>
      <c r="F17" s="1">
        <v>-498.17</v>
      </c>
      <c r="G17" s="7">
        <f t="shared" si="10"/>
        <v>-5.5657659086922565E-2</v>
      </c>
      <c r="I17" s="1">
        <v>138225.5</v>
      </c>
      <c r="J17" s="1">
        <v>-2980.54</v>
      </c>
      <c r="K17" s="7">
        <f t="shared" si="11"/>
        <v>2.6367055898995906E-2</v>
      </c>
      <c r="L17" s="7"/>
      <c r="M17" s="45">
        <v>36024.43</v>
      </c>
      <c r="N17" s="1">
        <v>-19.46</v>
      </c>
      <c r="O17" s="96">
        <f t="shared" si="12"/>
        <v>-0.22134187374094694</v>
      </c>
      <c r="P17" s="7"/>
      <c r="Q17" s="1">
        <v>337600.7</v>
      </c>
      <c r="R17" s="7">
        <f>Q17/Q16 -1</f>
        <v>-1.5053832331234362E-2</v>
      </c>
      <c r="T17" s="1">
        <f t="shared" si="8"/>
        <v>520016.39</v>
      </c>
      <c r="U17" s="96">
        <f t="shared" si="13"/>
        <v>-2.9058304742179852E-2</v>
      </c>
      <c r="V17" s="7">
        <f>T17/T7 -1</f>
        <v>0.11964090544573147</v>
      </c>
    </row>
    <row r="18" spans="1:22">
      <c r="A18" s="6">
        <v>45261</v>
      </c>
      <c r="C18" s="1">
        <v>9184.06</v>
      </c>
      <c r="E18" s="7">
        <f t="shared" si="9"/>
        <v>0.12470364056744243</v>
      </c>
      <c r="F18" s="1">
        <v>172.8</v>
      </c>
      <c r="G18" s="7">
        <f t="shared" si="10"/>
        <v>2.1161533035504349E-2</v>
      </c>
      <c r="I18" s="1">
        <v>172273.8</v>
      </c>
      <c r="J18" s="1">
        <v>-3457.97</v>
      </c>
      <c r="K18" s="7">
        <f t="shared" si="11"/>
        <v>0.27134117800261159</v>
      </c>
      <c r="L18" s="7"/>
      <c r="M18" s="1">
        <v>46456.6</v>
      </c>
      <c r="N18" s="1">
        <v>-42.03</v>
      </c>
      <c r="O18" s="7">
        <f t="shared" si="12"/>
        <v>0.29075269199262821</v>
      </c>
      <c r="P18" s="7"/>
      <c r="Q18" s="1">
        <v>370791.85</v>
      </c>
      <c r="R18" s="88">
        <f>Q18/Q17 -1</f>
        <v>9.8314813920705735E-2</v>
      </c>
      <c r="T18" s="1">
        <f>C18 + I18 + M18 + Q18</f>
        <v>598706.30999999994</v>
      </c>
      <c r="U18" s="88">
        <f t="shared" si="13"/>
        <v>0.15132199967774085</v>
      </c>
      <c r="V18" s="7">
        <f>T18/T7 -1</f>
        <v>0.28906720617877601</v>
      </c>
    </row>
    <row r="19" spans="1:22">
      <c r="A19" s="6">
        <v>45292</v>
      </c>
      <c r="C19" s="1">
        <v>10194.43</v>
      </c>
      <c r="E19" s="7">
        <f t="shared" si="9"/>
        <v>0.11001343632336913</v>
      </c>
      <c r="F19" s="71">
        <v>870.34</v>
      </c>
      <c r="G19" s="7">
        <f t="shared" si="10"/>
        <v>9.4766366944466829E-2</v>
      </c>
      <c r="I19" s="101">
        <v>193663.5</v>
      </c>
      <c r="J19" s="1"/>
      <c r="K19" s="7">
        <f t="shared" si="11"/>
        <v>0.12416107382550345</v>
      </c>
      <c r="L19" s="7"/>
      <c r="M19" s="1">
        <v>53898.82</v>
      </c>
      <c r="N19" s="1">
        <v>-4000</v>
      </c>
      <c r="O19" s="7">
        <f t="shared" si="12"/>
        <v>0.24629912649655816</v>
      </c>
      <c r="P19" s="7"/>
      <c r="Q19" s="101">
        <v>398977.73</v>
      </c>
      <c r="R19" s="7">
        <f>Q19/Q18 -1</f>
        <v>7.6015370888006251E-2</v>
      </c>
      <c r="T19" s="71">
        <f>C19 + I19 + M19 + Q19</f>
        <v>656734.48</v>
      </c>
      <c r="U19" s="7">
        <f t="shared" si="13"/>
        <v>9.6922596322728038E-2</v>
      </c>
      <c r="V19" s="7">
        <f>T19/T7 -1</f>
        <v>0.41400694663610826</v>
      </c>
    </row>
    <row r="20" spans="1:22">
      <c r="C20" s="1"/>
      <c r="E20" s="7"/>
      <c r="I20" s="1"/>
      <c r="J20" s="1"/>
      <c r="K20" s="7"/>
      <c r="L20" s="7"/>
      <c r="M20" s="1"/>
      <c r="N20" s="1"/>
      <c r="O20" s="7"/>
      <c r="P20" s="7"/>
    </row>
    <row r="21" spans="1:22">
      <c r="C21" s="1"/>
      <c r="E21" s="7"/>
      <c r="I21" s="1"/>
      <c r="J21" s="1"/>
      <c r="K21" s="7"/>
      <c r="L21" s="7"/>
      <c r="M21" s="1"/>
      <c r="N21" s="1"/>
      <c r="O21" s="7"/>
      <c r="P21" s="7"/>
    </row>
    <row r="22" spans="1:22">
      <c r="C22" s="1">
        <f>SUM(-C7,C19)</f>
        <v>25.3700000000008</v>
      </c>
      <c r="D22" s="1">
        <f>SUM(D8:D20)</f>
        <v>0</v>
      </c>
      <c r="E22" s="7">
        <f>( (C19-D22)/C7 -1)</f>
        <v>2.4948225303027538E-3</v>
      </c>
      <c r="F22" s="1">
        <f>SUM(F8:F20)</f>
        <v>-3092.9399999999996</v>
      </c>
      <c r="G22" s="7">
        <f>(F22/C22-1)</f>
        <v>-122.9132834055933</v>
      </c>
      <c r="I22" s="1">
        <f>SUM(-I7,I19,-J22)</f>
        <v>129971.38</v>
      </c>
      <c r="J22" s="1">
        <f>SUM(J8:J20)</f>
        <v>-20593.150000000001</v>
      </c>
      <c r="K22" s="7">
        <f>((I19 - J22)/I7 -1)</f>
        <v>1.5420414504218827</v>
      </c>
      <c r="L22" s="7"/>
      <c r="M22" s="1">
        <f>SUM(M19-N22,-M7)</f>
        <v>-4470.4100000000035</v>
      </c>
      <c r="N22" s="1">
        <f>SUM(N8:N20)</f>
        <v>-16893.400000000001</v>
      </c>
      <c r="O22" s="7">
        <f>M19/(M7 + N22) -1</f>
        <v>-7.6588469644023105E-2</v>
      </c>
      <c r="P22" s="7"/>
      <c r="Q22" s="1">
        <f>(Q19- Q7)</f>
        <v>104245.43</v>
      </c>
      <c r="R22" s="7">
        <f>(Q19/Q7) -1</f>
        <v>0.35369530248296499</v>
      </c>
      <c r="T22" s="1">
        <f>(T19 - T7 - N22 - J22)</f>
        <v>229771.76999999996</v>
      </c>
      <c r="U22" s="7">
        <f>(T19-N22-J22)/T7 -1</f>
        <v>0.49471877724597957</v>
      </c>
    </row>
    <row r="23" spans="1:22">
      <c r="E23" s="7"/>
      <c r="I23" s="1"/>
      <c r="J23" s="1"/>
      <c r="K23" s="7"/>
      <c r="L23" s="7"/>
      <c r="M23" s="1"/>
      <c r="N23" s="1"/>
      <c r="O23" s="7"/>
      <c r="P23" s="7"/>
      <c r="T23" s="1"/>
      <c r="U23" s="7"/>
    </row>
    <row r="24" spans="1:22">
      <c r="C24" s="1">
        <f>SUM(-C3,C19)</f>
        <v>9285.5300000000007</v>
      </c>
      <c r="D24" s="1">
        <f>SUM(D4:D21)</f>
        <v>11172.87</v>
      </c>
      <c r="E24" s="7">
        <f xml:space="preserve"> (C19-D24)/C3 -1</f>
        <v>-2.0765100671140946</v>
      </c>
      <c r="F24" s="1">
        <f>SUM(F4:F21)</f>
        <v>-5208.6400000000021</v>
      </c>
      <c r="G24" s="7">
        <f>(F24/(C19-C3))</f>
        <v>-0.56094159407163635</v>
      </c>
      <c r="I24" s="1">
        <f>SUM(-I3,I19, -J24)</f>
        <v>180560.85</v>
      </c>
      <c r="J24" s="1">
        <f>SUM(J4:J21)</f>
        <v>-62402.67000000002</v>
      </c>
      <c r="K24" s="7">
        <f>((I19-J24)/I3 -1)</f>
        <v>2.3913659328905563</v>
      </c>
      <c r="L24" s="7"/>
      <c r="M24" s="1">
        <f>SUM(-M3-N24,M19)</f>
        <v>-50306.970000000008</v>
      </c>
      <c r="N24" s="1">
        <f>SUM(N4:N21)</f>
        <v>104205.79000000001</v>
      </c>
      <c r="O24" s="7">
        <f>(M19/N24) -1</f>
        <v>-0.48276559296753097</v>
      </c>
      <c r="P24" s="7"/>
      <c r="Q24" s="1">
        <f>(Q19- Q3)</f>
        <v>274433.01999999996</v>
      </c>
      <c r="R24" s="7">
        <f>Q19/Q3 -1</f>
        <v>2.203489975607956</v>
      </c>
      <c r="T24" s="1">
        <f>(T19 - T3 - N24)</f>
        <v>351569.76</v>
      </c>
      <c r="U24" s="7">
        <f>(T19-N24-J24)/T3 -1</f>
        <v>2.0599852417605926</v>
      </c>
    </row>
    <row r="25" spans="1:22">
      <c r="E25" s="7">
        <f>(C19/C3 -1)</f>
        <v>10.216228407965673</v>
      </c>
      <c r="I25" s="1"/>
      <c r="J25" s="1"/>
      <c r="K25" s="7"/>
      <c r="L25" s="7"/>
      <c r="M25" s="1"/>
      <c r="N25" s="1"/>
      <c r="O25" s="7"/>
      <c r="P25" s="7"/>
    </row>
    <row r="26" spans="1:22">
      <c r="E26" s="7"/>
      <c r="I26" s="1"/>
      <c r="J26" s="1"/>
      <c r="K26" s="7"/>
      <c r="L26" s="7"/>
      <c r="M26" s="1"/>
      <c r="N26" s="1"/>
      <c r="O26" s="7"/>
      <c r="P26" s="7"/>
    </row>
    <row r="27" spans="1:22">
      <c r="E27" s="7">
        <f>AVERAGE(E8:E19)</f>
        <v>1.0441006399554522E-2</v>
      </c>
      <c r="G27" s="7">
        <f>AVERAGE(G8:G19)</f>
        <v>-3.3019631847828447E-2</v>
      </c>
      <c r="I27" s="1"/>
      <c r="J27" s="1"/>
      <c r="K27" s="7">
        <f>AVERAGE(K8:K19)</f>
        <v>9.0991295131410951E-2</v>
      </c>
      <c r="L27" s="7"/>
      <c r="M27" s="1"/>
      <c r="N27" s="1"/>
      <c r="O27" s="7">
        <f>AVERAGE(O8:O19)</f>
        <v>1.2181723919475826E-2</v>
      </c>
      <c r="P27" s="7"/>
      <c r="R27" s="7">
        <f>AVERAGE(R8:R19)</f>
        <v>2.619238037327835E-2</v>
      </c>
      <c r="U27" s="7">
        <f>AVERAGE(U8:U19)</f>
        <v>3.0772481139483072E-2</v>
      </c>
    </row>
    <row r="28" spans="1:22">
      <c r="E28" s="7"/>
      <c r="I28" s="1"/>
      <c r="J28" s="1"/>
      <c r="K28" s="7"/>
      <c r="L28" s="7"/>
      <c r="M28" s="7"/>
      <c r="N28" s="7"/>
    </row>
    <row r="29" spans="1:22">
      <c r="E29" s="7"/>
      <c r="I29" s="1"/>
      <c r="J29" s="1"/>
      <c r="K29" s="7"/>
      <c r="L29" s="7"/>
      <c r="M29" s="7"/>
      <c r="N29" s="1">
        <v>4937</v>
      </c>
    </row>
    <row r="30" spans="1:22">
      <c r="E30" s="7"/>
      <c r="I30" s="1"/>
      <c r="J30" s="1"/>
      <c r="K30" s="7"/>
      <c r="L30" s="7"/>
      <c r="M30" s="7"/>
      <c r="N30" s="7"/>
    </row>
    <row r="31" spans="1:22">
      <c r="E31" s="7"/>
      <c r="I31" s="1"/>
      <c r="J31" s="1"/>
      <c r="K31" s="7"/>
      <c r="L31" s="7"/>
      <c r="M31" s="7"/>
      <c r="N31" s="7"/>
    </row>
    <row r="32" spans="1:22">
      <c r="C32" s="1"/>
      <c r="D32"/>
      <c r="E32" s="1"/>
      <c r="F32"/>
      <c r="N32" s="2"/>
      <c r="O32" s="1"/>
      <c r="Q32"/>
      <c r="R32"/>
    </row>
    <row r="33" spans="3:20">
      <c r="C33">
        <v>13960.12</v>
      </c>
      <c r="P33" s="1"/>
      <c r="Q33"/>
      <c r="R33"/>
    </row>
    <row r="34" spans="3:20">
      <c r="C34">
        <v>1324</v>
      </c>
      <c r="P34" s="1"/>
      <c r="Q34"/>
      <c r="R34"/>
    </row>
    <row r="35" spans="3:20">
      <c r="C35">
        <v>418</v>
      </c>
      <c r="Q35"/>
      <c r="R35"/>
      <c r="S35" s="1"/>
      <c r="T35" s="1"/>
    </row>
    <row r="36" spans="3:20">
      <c r="P36" s="1"/>
      <c r="Q36"/>
      <c r="R36"/>
    </row>
    <row r="37" spans="3:20">
      <c r="P37" s="1"/>
      <c r="Q37"/>
      <c r="R37"/>
    </row>
    <row r="38" spans="3:20">
      <c r="P38" s="1"/>
      <c r="Q38"/>
      <c r="R38"/>
    </row>
    <row r="39" spans="3:20">
      <c r="P39" s="1"/>
      <c r="Q39"/>
      <c r="R39"/>
    </row>
    <row r="40" spans="3:20">
      <c r="P40" s="1"/>
      <c r="Q40"/>
      <c r="R40"/>
    </row>
    <row r="41" spans="3:20">
      <c r="P41" s="1"/>
      <c r="Q41"/>
      <c r="R41"/>
    </row>
    <row r="42" spans="3:20">
      <c r="P42" s="1"/>
      <c r="Q42"/>
      <c r="R42"/>
    </row>
    <row r="43" spans="3:20">
      <c r="P43" s="1"/>
      <c r="Q43"/>
      <c r="R43"/>
    </row>
    <row r="44" spans="3:20">
      <c r="P44" s="1"/>
      <c r="Q44"/>
      <c r="R44"/>
    </row>
    <row r="45" spans="3:20">
      <c r="P45" s="1"/>
      <c r="Q45"/>
      <c r="R45"/>
    </row>
    <row r="46" spans="3:20">
      <c r="P46" s="1"/>
      <c r="Q46"/>
      <c r="R46"/>
    </row>
    <row r="47" spans="3:20">
      <c r="P47" s="1"/>
      <c r="Q47"/>
      <c r="R47"/>
    </row>
    <row r="48" spans="3:20">
      <c r="P48" s="1"/>
      <c r="Q48"/>
      <c r="R48"/>
    </row>
    <row r="49" spans="15:18">
      <c r="P49" s="1"/>
      <c r="Q49"/>
      <c r="R49"/>
    </row>
    <row r="50" spans="15:18">
      <c r="P50" s="1"/>
      <c r="Q50"/>
      <c r="R50"/>
    </row>
    <row r="51" spans="15:18">
      <c r="P51" s="1"/>
      <c r="Q51"/>
      <c r="R51"/>
    </row>
    <row r="52" spans="15:18">
      <c r="P52" s="1"/>
      <c r="Q52"/>
      <c r="R52"/>
    </row>
    <row r="53" spans="15:18">
      <c r="P53" s="1"/>
      <c r="Q53"/>
      <c r="R53"/>
    </row>
    <row r="54" spans="15:18">
      <c r="P54" s="1"/>
      <c r="Q54"/>
      <c r="R54"/>
    </row>
    <row r="55" spans="15:18">
      <c r="P55" s="1"/>
      <c r="Q55"/>
      <c r="R55"/>
    </row>
    <row r="56" spans="15:18">
      <c r="P56" s="1"/>
      <c r="Q56"/>
      <c r="R56"/>
    </row>
    <row r="57" spans="15:18">
      <c r="P57" s="1"/>
      <c r="Q57"/>
      <c r="R57"/>
    </row>
    <row r="58" spans="15:18">
      <c r="P58" s="1"/>
      <c r="Q58"/>
      <c r="R58"/>
    </row>
    <row r="59" spans="15:18">
      <c r="O59" s="1"/>
      <c r="P59" s="1"/>
      <c r="Q59"/>
      <c r="R59"/>
    </row>
    <row r="60" spans="15:18">
      <c r="O60" s="1"/>
      <c r="P60" s="1"/>
      <c r="Q60"/>
      <c r="R60"/>
    </row>
    <row r="61" spans="15:18">
      <c r="O61" s="1"/>
      <c r="P61" s="1"/>
      <c r="Q61"/>
      <c r="R61"/>
    </row>
    <row r="62" spans="15:18">
      <c r="O62" s="1"/>
      <c r="P62" s="1"/>
      <c r="Q62"/>
      <c r="R62"/>
    </row>
    <row r="63" spans="15:18">
      <c r="O63" s="1"/>
      <c r="P63" s="1"/>
      <c r="Q63"/>
      <c r="R63"/>
    </row>
    <row r="64" spans="15:18">
      <c r="O64" s="1"/>
      <c r="P64" s="1"/>
      <c r="Q64"/>
      <c r="R64"/>
    </row>
    <row r="65" spans="15:18">
      <c r="O65" s="1"/>
      <c r="P65" s="1"/>
      <c r="Q65"/>
      <c r="R65"/>
    </row>
    <row r="66" spans="15:18">
      <c r="O66" s="1"/>
      <c r="P66" s="1"/>
      <c r="Q66"/>
      <c r="R66"/>
    </row>
    <row r="67" spans="15:18">
      <c r="O67" s="1"/>
      <c r="P67" s="1"/>
      <c r="Q67"/>
      <c r="R67"/>
    </row>
    <row r="68" spans="15:18">
      <c r="O68" s="1"/>
      <c r="P68" s="1"/>
      <c r="Q68"/>
      <c r="R68"/>
    </row>
    <row r="69" spans="15:18">
      <c r="O69" s="1"/>
      <c r="P69" s="1"/>
      <c r="Q69"/>
      <c r="R69"/>
    </row>
    <row r="70" spans="15:18">
      <c r="O70" s="1"/>
      <c r="P70" s="1"/>
      <c r="Q70"/>
      <c r="R70"/>
    </row>
    <row r="71" spans="15:18">
      <c r="O71" s="1"/>
      <c r="P71" s="1"/>
      <c r="Q71"/>
      <c r="R71"/>
    </row>
    <row r="72" spans="15:18">
      <c r="O72" s="1"/>
      <c r="P72" s="1"/>
      <c r="Q72"/>
      <c r="R72"/>
    </row>
    <row r="73" spans="15:18">
      <c r="O73" s="1"/>
      <c r="P73" s="1"/>
      <c r="Q73"/>
      <c r="R73"/>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5821-0ABE-4C82-B105-C28E6C49D4FD}">
  <dimension ref="A2:V74"/>
  <sheetViews>
    <sheetView topLeftCell="A10" zoomScale="84" zoomScaleNormal="84" workbookViewId="0">
      <selection activeCell="T11" sqref="T11"/>
    </sheetView>
  </sheetViews>
  <sheetFormatPr defaultRowHeight="15"/>
  <cols>
    <col min="1" max="1" width="9.7109375" bestFit="1" customWidth="1"/>
    <col min="2" max="2" width="3.140625" customWidth="1"/>
    <col min="3" max="3" width="10.85546875" bestFit="1" customWidth="1"/>
    <col min="4" max="4" width="10.140625" style="1" bestFit="1" customWidth="1"/>
    <col min="5" max="5" width="17" bestFit="1" customWidth="1"/>
    <col min="6" max="6" width="15.85546875" style="1" bestFit="1" customWidth="1"/>
    <col min="7" max="7" width="11" customWidth="1"/>
    <col min="8" max="8" width="12.28515625" bestFit="1" customWidth="1"/>
    <col min="9" max="9" width="12.7109375" bestFit="1" customWidth="1"/>
    <col min="10" max="10" width="11.85546875" bestFit="1" customWidth="1"/>
    <col min="11" max="11" width="8.85546875" bestFit="1" customWidth="1"/>
    <col min="12" max="12" width="11.140625" bestFit="1" customWidth="1"/>
    <col min="13" max="13" width="12.7109375" bestFit="1" customWidth="1"/>
    <col min="14" max="14" width="11.85546875" bestFit="1" customWidth="1"/>
    <col min="15" max="15" width="8.85546875" bestFit="1" customWidth="1"/>
    <col min="17" max="17" width="12.7109375" style="1" bestFit="1" customWidth="1"/>
    <col min="18" max="18" width="8.85546875" style="1" bestFit="1" customWidth="1"/>
    <col min="20" max="20" width="11.85546875" bestFit="1" customWidth="1"/>
    <col min="21" max="21" width="8.140625" bestFit="1" customWidth="1"/>
    <col min="22" max="22" width="13.42578125" bestFit="1" customWidth="1"/>
    <col min="23" max="23" width="8.28515625" customWidth="1"/>
    <col min="24" max="24" width="7" customWidth="1"/>
    <col min="259" max="259" width="11.140625" bestFit="1" customWidth="1"/>
    <col min="260" max="260" width="10.7109375" bestFit="1" customWidth="1"/>
    <col min="261" max="261" width="16.85546875" bestFit="1" customWidth="1"/>
    <col min="262" max="262" width="15" bestFit="1" customWidth="1"/>
    <col min="263" max="263" width="11.28515625" bestFit="1" customWidth="1"/>
    <col min="264" max="265" width="11.140625" bestFit="1" customWidth="1"/>
    <col min="266" max="266" width="10.7109375" bestFit="1" customWidth="1"/>
    <col min="267" max="268" width="11.140625" bestFit="1" customWidth="1"/>
    <col min="269" max="269" width="12.7109375" bestFit="1" customWidth="1"/>
    <col min="270" max="270" width="11.140625" bestFit="1" customWidth="1"/>
    <col min="271" max="271" width="13.42578125" bestFit="1" customWidth="1"/>
    <col min="273" max="274" width="11.7109375" customWidth="1"/>
    <col min="276" max="276" width="15.85546875" customWidth="1"/>
    <col min="278" max="278" width="11.140625" bestFit="1" customWidth="1"/>
    <col min="279" max="279" width="8.28515625" customWidth="1"/>
    <col min="280" max="280" width="7" customWidth="1"/>
    <col min="515" max="515" width="11.140625" bestFit="1" customWidth="1"/>
    <col min="516" max="516" width="10.7109375" bestFit="1" customWidth="1"/>
    <col min="517" max="517" width="16.85546875" bestFit="1" customWidth="1"/>
    <col min="518" max="518" width="15" bestFit="1" customWidth="1"/>
    <col min="519" max="519" width="11.28515625" bestFit="1" customWidth="1"/>
    <col min="520" max="521" width="11.140625" bestFit="1" customWidth="1"/>
    <col min="522" max="522" width="10.7109375" bestFit="1" customWidth="1"/>
    <col min="523" max="524" width="11.140625" bestFit="1" customWidth="1"/>
    <col min="525" max="525" width="12.7109375" bestFit="1" customWidth="1"/>
    <col min="526" max="526" width="11.140625" bestFit="1" customWidth="1"/>
    <col min="527" max="527" width="13.42578125" bestFit="1" customWidth="1"/>
    <col min="529" max="530" width="11.7109375" customWidth="1"/>
    <col min="532" max="532" width="15.85546875" customWidth="1"/>
    <col min="534" max="534" width="11.140625" bestFit="1" customWidth="1"/>
    <col min="535" max="535" width="8.28515625" customWidth="1"/>
    <col min="536" max="536" width="7" customWidth="1"/>
    <col min="771" max="771" width="11.140625" bestFit="1" customWidth="1"/>
    <col min="772" max="772" width="10.7109375" bestFit="1" customWidth="1"/>
    <col min="773" max="773" width="16.85546875" bestFit="1" customWidth="1"/>
    <col min="774" max="774" width="15" bestFit="1" customWidth="1"/>
    <col min="775" max="775" width="11.28515625" bestFit="1" customWidth="1"/>
    <col min="776" max="777" width="11.140625" bestFit="1" customWidth="1"/>
    <col min="778" max="778" width="10.7109375" bestFit="1" customWidth="1"/>
    <col min="779" max="780" width="11.140625" bestFit="1" customWidth="1"/>
    <col min="781" max="781" width="12.7109375" bestFit="1" customWidth="1"/>
    <col min="782" max="782" width="11.140625" bestFit="1" customWidth="1"/>
    <col min="783" max="783" width="13.42578125" bestFit="1" customWidth="1"/>
    <col min="785" max="786" width="11.7109375" customWidth="1"/>
    <col min="788" max="788" width="15.85546875" customWidth="1"/>
    <col min="790" max="790" width="11.140625" bestFit="1" customWidth="1"/>
    <col min="791" max="791" width="8.28515625" customWidth="1"/>
    <col min="792" max="792" width="7" customWidth="1"/>
    <col min="1027" max="1027" width="11.140625" bestFit="1" customWidth="1"/>
    <col min="1028" max="1028" width="10.7109375" bestFit="1" customWidth="1"/>
    <col min="1029" max="1029" width="16.85546875" bestFit="1" customWidth="1"/>
    <col min="1030" max="1030" width="15" bestFit="1" customWidth="1"/>
    <col min="1031" max="1031" width="11.28515625" bestFit="1" customWidth="1"/>
    <col min="1032" max="1033" width="11.140625" bestFit="1" customWidth="1"/>
    <col min="1034" max="1034" width="10.7109375" bestFit="1" customWidth="1"/>
    <col min="1035" max="1036" width="11.140625" bestFit="1" customWidth="1"/>
    <col min="1037" max="1037" width="12.7109375" bestFit="1" customWidth="1"/>
    <col min="1038" max="1038" width="11.140625" bestFit="1" customWidth="1"/>
    <col min="1039" max="1039" width="13.42578125" bestFit="1" customWidth="1"/>
    <col min="1041" max="1042" width="11.7109375" customWidth="1"/>
    <col min="1044" max="1044" width="15.85546875" customWidth="1"/>
    <col min="1046" max="1046" width="11.140625" bestFit="1" customWidth="1"/>
    <col min="1047" max="1047" width="8.28515625" customWidth="1"/>
    <col min="1048" max="1048" width="7" customWidth="1"/>
    <col min="1283" max="1283" width="11.140625" bestFit="1" customWidth="1"/>
    <col min="1284" max="1284" width="10.7109375" bestFit="1" customWidth="1"/>
    <col min="1285" max="1285" width="16.85546875" bestFit="1" customWidth="1"/>
    <col min="1286" max="1286" width="15" bestFit="1" customWidth="1"/>
    <col min="1287" max="1287" width="11.28515625" bestFit="1" customWidth="1"/>
    <col min="1288" max="1289" width="11.140625" bestFit="1" customWidth="1"/>
    <col min="1290" max="1290" width="10.7109375" bestFit="1" customWidth="1"/>
    <col min="1291" max="1292" width="11.140625" bestFit="1" customWidth="1"/>
    <col min="1293" max="1293" width="12.7109375" bestFit="1" customWidth="1"/>
    <col min="1294" max="1294" width="11.140625" bestFit="1" customWidth="1"/>
    <col min="1295" max="1295" width="13.42578125" bestFit="1" customWidth="1"/>
    <col min="1297" max="1298" width="11.7109375" customWidth="1"/>
    <col min="1300" max="1300" width="15.85546875" customWidth="1"/>
    <col min="1302" max="1302" width="11.140625" bestFit="1" customWidth="1"/>
    <col min="1303" max="1303" width="8.28515625" customWidth="1"/>
    <col min="1304" max="1304" width="7" customWidth="1"/>
    <col min="1539" max="1539" width="11.140625" bestFit="1" customWidth="1"/>
    <col min="1540" max="1540" width="10.7109375" bestFit="1" customWidth="1"/>
    <col min="1541" max="1541" width="16.85546875" bestFit="1" customWidth="1"/>
    <col min="1542" max="1542" width="15" bestFit="1" customWidth="1"/>
    <col min="1543" max="1543" width="11.28515625" bestFit="1" customWidth="1"/>
    <col min="1544" max="1545" width="11.140625" bestFit="1" customWidth="1"/>
    <col min="1546" max="1546" width="10.7109375" bestFit="1" customWidth="1"/>
    <col min="1547" max="1548" width="11.140625" bestFit="1" customWidth="1"/>
    <col min="1549" max="1549" width="12.7109375" bestFit="1" customWidth="1"/>
    <col min="1550" max="1550" width="11.140625" bestFit="1" customWidth="1"/>
    <col min="1551" max="1551" width="13.42578125" bestFit="1" customWidth="1"/>
    <col min="1553" max="1554" width="11.7109375" customWidth="1"/>
    <col min="1556" max="1556" width="15.85546875" customWidth="1"/>
    <col min="1558" max="1558" width="11.140625" bestFit="1" customWidth="1"/>
    <col min="1559" max="1559" width="8.28515625" customWidth="1"/>
    <col min="1560" max="1560" width="7" customWidth="1"/>
    <col min="1795" max="1795" width="11.140625" bestFit="1" customWidth="1"/>
    <col min="1796" max="1796" width="10.7109375" bestFit="1" customWidth="1"/>
    <col min="1797" max="1797" width="16.85546875" bestFit="1" customWidth="1"/>
    <col min="1798" max="1798" width="15" bestFit="1" customWidth="1"/>
    <col min="1799" max="1799" width="11.28515625" bestFit="1" customWidth="1"/>
    <col min="1800" max="1801" width="11.140625" bestFit="1" customWidth="1"/>
    <col min="1802" max="1802" width="10.7109375" bestFit="1" customWidth="1"/>
    <col min="1803" max="1804" width="11.140625" bestFit="1" customWidth="1"/>
    <col min="1805" max="1805" width="12.7109375" bestFit="1" customWidth="1"/>
    <col min="1806" max="1806" width="11.140625" bestFit="1" customWidth="1"/>
    <col min="1807" max="1807" width="13.42578125" bestFit="1" customWidth="1"/>
    <col min="1809" max="1810" width="11.7109375" customWidth="1"/>
    <col min="1812" max="1812" width="15.85546875" customWidth="1"/>
    <col min="1814" max="1814" width="11.140625" bestFit="1" customWidth="1"/>
    <col min="1815" max="1815" width="8.28515625" customWidth="1"/>
    <col min="1816" max="1816" width="7" customWidth="1"/>
    <col min="2051" max="2051" width="11.140625" bestFit="1" customWidth="1"/>
    <col min="2052" max="2052" width="10.7109375" bestFit="1" customWidth="1"/>
    <col min="2053" max="2053" width="16.85546875" bestFit="1" customWidth="1"/>
    <col min="2054" max="2054" width="15" bestFit="1" customWidth="1"/>
    <col min="2055" max="2055" width="11.28515625" bestFit="1" customWidth="1"/>
    <col min="2056" max="2057" width="11.140625" bestFit="1" customWidth="1"/>
    <col min="2058" max="2058" width="10.7109375" bestFit="1" customWidth="1"/>
    <col min="2059" max="2060" width="11.140625" bestFit="1" customWidth="1"/>
    <col min="2061" max="2061" width="12.7109375" bestFit="1" customWidth="1"/>
    <col min="2062" max="2062" width="11.140625" bestFit="1" customWidth="1"/>
    <col min="2063" max="2063" width="13.42578125" bestFit="1" customWidth="1"/>
    <col min="2065" max="2066" width="11.7109375" customWidth="1"/>
    <col min="2068" max="2068" width="15.85546875" customWidth="1"/>
    <col min="2070" max="2070" width="11.140625" bestFit="1" customWidth="1"/>
    <col min="2071" max="2071" width="8.28515625" customWidth="1"/>
    <col min="2072" max="2072" width="7" customWidth="1"/>
    <col min="2307" max="2307" width="11.140625" bestFit="1" customWidth="1"/>
    <col min="2308" max="2308" width="10.7109375" bestFit="1" customWidth="1"/>
    <col min="2309" max="2309" width="16.85546875" bestFit="1" customWidth="1"/>
    <col min="2310" max="2310" width="15" bestFit="1" customWidth="1"/>
    <col min="2311" max="2311" width="11.28515625" bestFit="1" customWidth="1"/>
    <col min="2312" max="2313" width="11.140625" bestFit="1" customWidth="1"/>
    <col min="2314" max="2314" width="10.7109375" bestFit="1" customWidth="1"/>
    <col min="2315" max="2316" width="11.140625" bestFit="1" customWidth="1"/>
    <col min="2317" max="2317" width="12.7109375" bestFit="1" customWidth="1"/>
    <col min="2318" max="2318" width="11.140625" bestFit="1" customWidth="1"/>
    <col min="2319" max="2319" width="13.42578125" bestFit="1" customWidth="1"/>
    <col min="2321" max="2322" width="11.7109375" customWidth="1"/>
    <col min="2324" max="2324" width="15.85546875" customWidth="1"/>
    <col min="2326" max="2326" width="11.140625" bestFit="1" customWidth="1"/>
    <col min="2327" max="2327" width="8.28515625" customWidth="1"/>
    <col min="2328" max="2328" width="7" customWidth="1"/>
    <col min="2563" max="2563" width="11.140625" bestFit="1" customWidth="1"/>
    <col min="2564" max="2564" width="10.7109375" bestFit="1" customWidth="1"/>
    <col min="2565" max="2565" width="16.85546875" bestFit="1" customWidth="1"/>
    <col min="2566" max="2566" width="15" bestFit="1" customWidth="1"/>
    <col min="2567" max="2567" width="11.28515625" bestFit="1" customWidth="1"/>
    <col min="2568" max="2569" width="11.140625" bestFit="1" customWidth="1"/>
    <col min="2570" max="2570" width="10.7109375" bestFit="1" customWidth="1"/>
    <col min="2571" max="2572" width="11.140625" bestFit="1" customWidth="1"/>
    <col min="2573" max="2573" width="12.7109375" bestFit="1" customWidth="1"/>
    <col min="2574" max="2574" width="11.140625" bestFit="1" customWidth="1"/>
    <col min="2575" max="2575" width="13.42578125" bestFit="1" customWidth="1"/>
    <col min="2577" max="2578" width="11.7109375" customWidth="1"/>
    <col min="2580" max="2580" width="15.85546875" customWidth="1"/>
    <col min="2582" max="2582" width="11.140625" bestFit="1" customWidth="1"/>
    <col min="2583" max="2583" width="8.28515625" customWidth="1"/>
    <col min="2584" max="2584" width="7" customWidth="1"/>
    <col min="2819" max="2819" width="11.140625" bestFit="1" customWidth="1"/>
    <col min="2820" max="2820" width="10.7109375" bestFit="1" customWidth="1"/>
    <col min="2821" max="2821" width="16.85546875" bestFit="1" customWidth="1"/>
    <col min="2822" max="2822" width="15" bestFit="1" customWidth="1"/>
    <col min="2823" max="2823" width="11.28515625" bestFit="1" customWidth="1"/>
    <col min="2824" max="2825" width="11.140625" bestFit="1" customWidth="1"/>
    <col min="2826" max="2826" width="10.7109375" bestFit="1" customWidth="1"/>
    <col min="2827" max="2828" width="11.140625" bestFit="1" customWidth="1"/>
    <col min="2829" max="2829" width="12.7109375" bestFit="1" customWidth="1"/>
    <col min="2830" max="2830" width="11.140625" bestFit="1" customWidth="1"/>
    <col min="2831" max="2831" width="13.42578125" bestFit="1" customWidth="1"/>
    <col min="2833" max="2834" width="11.7109375" customWidth="1"/>
    <col min="2836" max="2836" width="15.85546875" customWidth="1"/>
    <col min="2838" max="2838" width="11.140625" bestFit="1" customWidth="1"/>
    <col min="2839" max="2839" width="8.28515625" customWidth="1"/>
    <col min="2840" max="2840" width="7" customWidth="1"/>
    <col min="3075" max="3075" width="11.140625" bestFit="1" customWidth="1"/>
    <col min="3076" max="3076" width="10.7109375" bestFit="1" customWidth="1"/>
    <col min="3077" max="3077" width="16.85546875" bestFit="1" customWidth="1"/>
    <col min="3078" max="3078" width="15" bestFit="1" customWidth="1"/>
    <col min="3079" max="3079" width="11.28515625" bestFit="1" customWidth="1"/>
    <col min="3080" max="3081" width="11.140625" bestFit="1" customWidth="1"/>
    <col min="3082" max="3082" width="10.7109375" bestFit="1" customWidth="1"/>
    <col min="3083" max="3084" width="11.140625" bestFit="1" customWidth="1"/>
    <col min="3085" max="3085" width="12.7109375" bestFit="1" customWidth="1"/>
    <col min="3086" max="3086" width="11.140625" bestFit="1" customWidth="1"/>
    <col min="3087" max="3087" width="13.42578125" bestFit="1" customWidth="1"/>
    <col min="3089" max="3090" width="11.7109375" customWidth="1"/>
    <col min="3092" max="3092" width="15.85546875" customWidth="1"/>
    <col min="3094" max="3094" width="11.140625" bestFit="1" customWidth="1"/>
    <col min="3095" max="3095" width="8.28515625" customWidth="1"/>
    <col min="3096" max="3096" width="7" customWidth="1"/>
    <col min="3331" max="3331" width="11.140625" bestFit="1" customWidth="1"/>
    <col min="3332" max="3332" width="10.7109375" bestFit="1" customWidth="1"/>
    <col min="3333" max="3333" width="16.85546875" bestFit="1" customWidth="1"/>
    <col min="3334" max="3334" width="15" bestFit="1" customWidth="1"/>
    <col min="3335" max="3335" width="11.28515625" bestFit="1" customWidth="1"/>
    <col min="3336" max="3337" width="11.140625" bestFit="1" customWidth="1"/>
    <col min="3338" max="3338" width="10.7109375" bestFit="1" customWidth="1"/>
    <col min="3339" max="3340" width="11.140625" bestFit="1" customWidth="1"/>
    <col min="3341" max="3341" width="12.7109375" bestFit="1" customWidth="1"/>
    <col min="3342" max="3342" width="11.140625" bestFit="1" customWidth="1"/>
    <col min="3343" max="3343" width="13.42578125" bestFit="1" customWidth="1"/>
    <col min="3345" max="3346" width="11.7109375" customWidth="1"/>
    <col min="3348" max="3348" width="15.85546875" customWidth="1"/>
    <col min="3350" max="3350" width="11.140625" bestFit="1" customWidth="1"/>
    <col min="3351" max="3351" width="8.28515625" customWidth="1"/>
    <col min="3352" max="3352" width="7" customWidth="1"/>
    <col min="3587" max="3587" width="11.140625" bestFit="1" customWidth="1"/>
    <col min="3588" max="3588" width="10.7109375" bestFit="1" customWidth="1"/>
    <col min="3589" max="3589" width="16.85546875" bestFit="1" customWidth="1"/>
    <col min="3590" max="3590" width="15" bestFit="1" customWidth="1"/>
    <col min="3591" max="3591" width="11.28515625" bestFit="1" customWidth="1"/>
    <col min="3592" max="3593" width="11.140625" bestFit="1" customWidth="1"/>
    <col min="3594" max="3594" width="10.7109375" bestFit="1" customWidth="1"/>
    <col min="3595" max="3596" width="11.140625" bestFit="1" customWidth="1"/>
    <col min="3597" max="3597" width="12.7109375" bestFit="1" customWidth="1"/>
    <col min="3598" max="3598" width="11.140625" bestFit="1" customWidth="1"/>
    <col min="3599" max="3599" width="13.42578125" bestFit="1" customWidth="1"/>
    <col min="3601" max="3602" width="11.7109375" customWidth="1"/>
    <col min="3604" max="3604" width="15.85546875" customWidth="1"/>
    <col min="3606" max="3606" width="11.140625" bestFit="1" customWidth="1"/>
    <col min="3607" max="3607" width="8.28515625" customWidth="1"/>
    <col min="3608" max="3608" width="7" customWidth="1"/>
    <col min="3843" max="3843" width="11.140625" bestFit="1" customWidth="1"/>
    <col min="3844" max="3844" width="10.7109375" bestFit="1" customWidth="1"/>
    <col min="3845" max="3845" width="16.85546875" bestFit="1" customWidth="1"/>
    <col min="3846" max="3846" width="15" bestFit="1" customWidth="1"/>
    <col min="3847" max="3847" width="11.28515625" bestFit="1" customWidth="1"/>
    <col min="3848" max="3849" width="11.140625" bestFit="1" customWidth="1"/>
    <col min="3850" max="3850" width="10.7109375" bestFit="1" customWidth="1"/>
    <col min="3851" max="3852" width="11.140625" bestFit="1" customWidth="1"/>
    <col min="3853" max="3853" width="12.7109375" bestFit="1" customWidth="1"/>
    <col min="3854" max="3854" width="11.140625" bestFit="1" customWidth="1"/>
    <col min="3855" max="3855" width="13.42578125" bestFit="1" customWidth="1"/>
    <col min="3857" max="3858" width="11.7109375" customWidth="1"/>
    <col min="3860" max="3860" width="15.85546875" customWidth="1"/>
    <col min="3862" max="3862" width="11.140625" bestFit="1" customWidth="1"/>
    <col min="3863" max="3863" width="8.28515625" customWidth="1"/>
    <col min="3864" max="3864" width="7" customWidth="1"/>
    <col min="4099" max="4099" width="11.140625" bestFit="1" customWidth="1"/>
    <col min="4100" max="4100" width="10.7109375" bestFit="1" customWidth="1"/>
    <col min="4101" max="4101" width="16.85546875" bestFit="1" customWidth="1"/>
    <col min="4102" max="4102" width="15" bestFit="1" customWidth="1"/>
    <col min="4103" max="4103" width="11.28515625" bestFit="1" customWidth="1"/>
    <col min="4104" max="4105" width="11.140625" bestFit="1" customWidth="1"/>
    <col min="4106" max="4106" width="10.7109375" bestFit="1" customWidth="1"/>
    <col min="4107" max="4108" width="11.140625" bestFit="1" customWidth="1"/>
    <col min="4109" max="4109" width="12.7109375" bestFit="1" customWidth="1"/>
    <col min="4110" max="4110" width="11.140625" bestFit="1" customWidth="1"/>
    <col min="4111" max="4111" width="13.42578125" bestFit="1" customWidth="1"/>
    <col min="4113" max="4114" width="11.7109375" customWidth="1"/>
    <col min="4116" max="4116" width="15.85546875" customWidth="1"/>
    <col min="4118" max="4118" width="11.140625" bestFit="1" customWidth="1"/>
    <col min="4119" max="4119" width="8.28515625" customWidth="1"/>
    <col min="4120" max="4120" width="7" customWidth="1"/>
    <col min="4355" max="4355" width="11.140625" bestFit="1" customWidth="1"/>
    <col min="4356" max="4356" width="10.7109375" bestFit="1" customWidth="1"/>
    <col min="4357" max="4357" width="16.85546875" bestFit="1" customWidth="1"/>
    <col min="4358" max="4358" width="15" bestFit="1" customWidth="1"/>
    <col min="4359" max="4359" width="11.28515625" bestFit="1" customWidth="1"/>
    <col min="4360" max="4361" width="11.140625" bestFit="1" customWidth="1"/>
    <col min="4362" max="4362" width="10.7109375" bestFit="1" customWidth="1"/>
    <col min="4363" max="4364" width="11.140625" bestFit="1" customWidth="1"/>
    <col min="4365" max="4365" width="12.7109375" bestFit="1" customWidth="1"/>
    <col min="4366" max="4366" width="11.140625" bestFit="1" customWidth="1"/>
    <col min="4367" max="4367" width="13.42578125" bestFit="1" customWidth="1"/>
    <col min="4369" max="4370" width="11.7109375" customWidth="1"/>
    <col min="4372" max="4372" width="15.85546875" customWidth="1"/>
    <col min="4374" max="4374" width="11.140625" bestFit="1" customWidth="1"/>
    <col min="4375" max="4375" width="8.28515625" customWidth="1"/>
    <col min="4376" max="4376" width="7" customWidth="1"/>
    <col min="4611" max="4611" width="11.140625" bestFit="1" customWidth="1"/>
    <col min="4612" max="4612" width="10.7109375" bestFit="1" customWidth="1"/>
    <col min="4613" max="4613" width="16.85546875" bestFit="1" customWidth="1"/>
    <col min="4614" max="4614" width="15" bestFit="1" customWidth="1"/>
    <col min="4615" max="4615" width="11.28515625" bestFit="1" customWidth="1"/>
    <col min="4616" max="4617" width="11.140625" bestFit="1" customWidth="1"/>
    <col min="4618" max="4618" width="10.7109375" bestFit="1" customWidth="1"/>
    <col min="4619" max="4620" width="11.140625" bestFit="1" customWidth="1"/>
    <col min="4621" max="4621" width="12.7109375" bestFit="1" customWidth="1"/>
    <col min="4622" max="4622" width="11.140625" bestFit="1" customWidth="1"/>
    <col min="4623" max="4623" width="13.42578125" bestFit="1" customWidth="1"/>
    <col min="4625" max="4626" width="11.7109375" customWidth="1"/>
    <col min="4628" max="4628" width="15.85546875" customWidth="1"/>
    <col min="4630" max="4630" width="11.140625" bestFit="1" customWidth="1"/>
    <col min="4631" max="4631" width="8.28515625" customWidth="1"/>
    <col min="4632" max="4632" width="7" customWidth="1"/>
    <col min="4867" max="4867" width="11.140625" bestFit="1" customWidth="1"/>
    <col min="4868" max="4868" width="10.7109375" bestFit="1" customWidth="1"/>
    <col min="4869" max="4869" width="16.85546875" bestFit="1" customWidth="1"/>
    <col min="4870" max="4870" width="15" bestFit="1" customWidth="1"/>
    <col min="4871" max="4871" width="11.28515625" bestFit="1" customWidth="1"/>
    <col min="4872" max="4873" width="11.140625" bestFit="1" customWidth="1"/>
    <col min="4874" max="4874" width="10.7109375" bestFit="1" customWidth="1"/>
    <col min="4875" max="4876" width="11.140625" bestFit="1" customWidth="1"/>
    <col min="4877" max="4877" width="12.7109375" bestFit="1" customWidth="1"/>
    <col min="4878" max="4878" width="11.140625" bestFit="1" customWidth="1"/>
    <col min="4879" max="4879" width="13.42578125" bestFit="1" customWidth="1"/>
    <col min="4881" max="4882" width="11.7109375" customWidth="1"/>
    <col min="4884" max="4884" width="15.85546875" customWidth="1"/>
    <col min="4886" max="4886" width="11.140625" bestFit="1" customWidth="1"/>
    <col min="4887" max="4887" width="8.28515625" customWidth="1"/>
    <col min="4888" max="4888" width="7" customWidth="1"/>
    <col min="5123" max="5123" width="11.140625" bestFit="1" customWidth="1"/>
    <col min="5124" max="5124" width="10.7109375" bestFit="1" customWidth="1"/>
    <col min="5125" max="5125" width="16.85546875" bestFit="1" customWidth="1"/>
    <col min="5126" max="5126" width="15" bestFit="1" customWidth="1"/>
    <col min="5127" max="5127" width="11.28515625" bestFit="1" customWidth="1"/>
    <col min="5128" max="5129" width="11.140625" bestFit="1" customWidth="1"/>
    <col min="5130" max="5130" width="10.7109375" bestFit="1" customWidth="1"/>
    <col min="5131" max="5132" width="11.140625" bestFit="1" customWidth="1"/>
    <col min="5133" max="5133" width="12.7109375" bestFit="1" customWidth="1"/>
    <col min="5134" max="5134" width="11.140625" bestFit="1" customWidth="1"/>
    <col min="5135" max="5135" width="13.42578125" bestFit="1" customWidth="1"/>
    <col min="5137" max="5138" width="11.7109375" customWidth="1"/>
    <col min="5140" max="5140" width="15.85546875" customWidth="1"/>
    <col min="5142" max="5142" width="11.140625" bestFit="1" customWidth="1"/>
    <col min="5143" max="5143" width="8.28515625" customWidth="1"/>
    <col min="5144" max="5144" width="7" customWidth="1"/>
    <col min="5379" max="5379" width="11.140625" bestFit="1" customWidth="1"/>
    <col min="5380" max="5380" width="10.7109375" bestFit="1" customWidth="1"/>
    <col min="5381" max="5381" width="16.85546875" bestFit="1" customWidth="1"/>
    <col min="5382" max="5382" width="15" bestFit="1" customWidth="1"/>
    <col min="5383" max="5383" width="11.28515625" bestFit="1" customWidth="1"/>
    <col min="5384" max="5385" width="11.140625" bestFit="1" customWidth="1"/>
    <col min="5386" max="5386" width="10.7109375" bestFit="1" customWidth="1"/>
    <col min="5387" max="5388" width="11.140625" bestFit="1" customWidth="1"/>
    <col min="5389" max="5389" width="12.7109375" bestFit="1" customWidth="1"/>
    <col min="5390" max="5390" width="11.140625" bestFit="1" customWidth="1"/>
    <col min="5391" max="5391" width="13.42578125" bestFit="1" customWidth="1"/>
    <col min="5393" max="5394" width="11.7109375" customWidth="1"/>
    <col min="5396" max="5396" width="15.85546875" customWidth="1"/>
    <col min="5398" max="5398" width="11.140625" bestFit="1" customWidth="1"/>
    <col min="5399" max="5399" width="8.28515625" customWidth="1"/>
    <col min="5400" max="5400" width="7" customWidth="1"/>
    <col min="5635" max="5635" width="11.140625" bestFit="1" customWidth="1"/>
    <col min="5636" max="5636" width="10.7109375" bestFit="1" customWidth="1"/>
    <col min="5637" max="5637" width="16.85546875" bestFit="1" customWidth="1"/>
    <col min="5638" max="5638" width="15" bestFit="1" customWidth="1"/>
    <col min="5639" max="5639" width="11.28515625" bestFit="1" customWidth="1"/>
    <col min="5640" max="5641" width="11.140625" bestFit="1" customWidth="1"/>
    <col min="5642" max="5642" width="10.7109375" bestFit="1" customWidth="1"/>
    <col min="5643" max="5644" width="11.140625" bestFit="1" customWidth="1"/>
    <col min="5645" max="5645" width="12.7109375" bestFit="1" customWidth="1"/>
    <col min="5646" max="5646" width="11.140625" bestFit="1" customWidth="1"/>
    <col min="5647" max="5647" width="13.42578125" bestFit="1" customWidth="1"/>
    <col min="5649" max="5650" width="11.7109375" customWidth="1"/>
    <col min="5652" max="5652" width="15.85546875" customWidth="1"/>
    <col min="5654" max="5654" width="11.140625" bestFit="1" customWidth="1"/>
    <col min="5655" max="5655" width="8.28515625" customWidth="1"/>
    <col min="5656" max="5656" width="7" customWidth="1"/>
    <col min="5891" max="5891" width="11.140625" bestFit="1" customWidth="1"/>
    <col min="5892" max="5892" width="10.7109375" bestFit="1" customWidth="1"/>
    <col min="5893" max="5893" width="16.85546875" bestFit="1" customWidth="1"/>
    <col min="5894" max="5894" width="15" bestFit="1" customWidth="1"/>
    <col min="5895" max="5895" width="11.28515625" bestFit="1" customWidth="1"/>
    <col min="5896" max="5897" width="11.140625" bestFit="1" customWidth="1"/>
    <col min="5898" max="5898" width="10.7109375" bestFit="1" customWidth="1"/>
    <col min="5899" max="5900" width="11.140625" bestFit="1" customWidth="1"/>
    <col min="5901" max="5901" width="12.7109375" bestFit="1" customWidth="1"/>
    <col min="5902" max="5902" width="11.140625" bestFit="1" customWidth="1"/>
    <col min="5903" max="5903" width="13.42578125" bestFit="1" customWidth="1"/>
    <col min="5905" max="5906" width="11.7109375" customWidth="1"/>
    <col min="5908" max="5908" width="15.85546875" customWidth="1"/>
    <col min="5910" max="5910" width="11.140625" bestFit="1" customWidth="1"/>
    <col min="5911" max="5911" width="8.28515625" customWidth="1"/>
    <col min="5912" max="5912" width="7" customWidth="1"/>
    <col min="6147" max="6147" width="11.140625" bestFit="1" customWidth="1"/>
    <col min="6148" max="6148" width="10.7109375" bestFit="1" customWidth="1"/>
    <col min="6149" max="6149" width="16.85546875" bestFit="1" customWidth="1"/>
    <col min="6150" max="6150" width="15" bestFit="1" customWidth="1"/>
    <col min="6151" max="6151" width="11.28515625" bestFit="1" customWidth="1"/>
    <col min="6152" max="6153" width="11.140625" bestFit="1" customWidth="1"/>
    <col min="6154" max="6154" width="10.7109375" bestFit="1" customWidth="1"/>
    <col min="6155" max="6156" width="11.140625" bestFit="1" customWidth="1"/>
    <col min="6157" max="6157" width="12.7109375" bestFit="1" customWidth="1"/>
    <col min="6158" max="6158" width="11.140625" bestFit="1" customWidth="1"/>
    <col min="6159" max="6159" width="13.42578125" bestFit="1" customWidth="1"/>
    <col min="6161" max="6162" width="11.7109375" customWidth="1"/>
    <col min="6164" max="6164" width="15.85546875" customWidth="1"/>
    <col min="6166" max="6166" width="11.140625" bestFit="1" customWidth="1"/>
    <col min="6167" max="6167" width="8.28515625" customWidth="1"/>
    <col min="6168" max="6168" width="7" customWidth="1"/>
    <col min="6403" max="6403" width="11.140625" bestFit="1" customWidth="1"/>
    <col min="6404" max="6404" width="10.7109375" bestFit="1" customWidth="1"/>
    <col min="6405" max="6405" width="16.85546875" bestFit="1" customWidth="1"/>
    <col min="6406" max="6406" width="15" bestFit="1" customWidth="1"/>
    <col min="6407" max="6407" width="11.28515625" bestFit="1" customWidth="1"/>
    <col min="6408" max="6409" width="11.140625" bestFit="1" customWidth="1"/>
    <col min="6410" max="6410" width="10.7109375" bestFit="1" customWidth="1"/>
    <col min="6411" max="6412" width="11.140625" bestFit="1" customWidth="1"/>
    <col min="6413" max="6413" width="12.7109375" bestFit="1" customWidth="1"/>
    <col min="6414" max="6414" width="11.140625" bestFit="1" customWidth="1"/>
    <col min="6415" max="6415" width="13.42578125" bestFit="1" customWidth="1"/>
    <col min="6417" max="6418" width="11.7109375" customWidth="1"/>
    <col min="6420" max="6420" width="15.85546875" customWidth="1"/>
    <col min="6422" max="6422" width="11.140625" bestFit="1" customWidth="1"/>
    <col min="6423" max="6423" width="8.28515625" customWidth="1"/>
    <col min="6424" max="6424" width="7" customWidth="1"/>
    <col min="6659" max="6659" width="11.140625" bestFit="1" customWidth="1"/>
    <col min="6660" max="6660" width="10.7109375" bestFit="1" customWidth="1"/>
    <col min="6661" max="6661" width="16.85546875" bestFit="1" customWidth="1"/>
    <col min="6662" max="6662" width="15" bestFit="1" customWidth="1"/>
    <col min="6663" max="6663" width="11.28515625" bestFit="1" customWidth="1"/>
    <col min="6664" max="6665" width="11.140625" bestFit="1" customWidth="1"/>
    <col min="6666" max="6666" width="10.7109375" bestFit="1" customWidth="1"/>
    <col min="6667" max="6668" width="11.140625" bestFit="1" customWidth="1"/>
    <col min="6669" max="6669" width="12.7109375" bestFit="1" customWidth="1"/>
    <col min="6670" max="6670" width="11.140625" bestFit="1" customWidth="1"/>
    <col min="6671" max="6671" width="13.42578125" bestFit="1" customWidth="1"/>
    <col min="6673" max="6674" width="11.7109375" customWidth="1"/>
    <col min="6676" max="6676" width="15.85546875" customWidth="1"/>
    <col min="6678" max="6678" width="11.140625" bestFit="1" customWidth="1"/>
    <col min="6679" max="6679" width="8.28515625" customWidth="1"/>
    <col min="6680" max="6680" width="7" customWidth="1"/>
    <col min="6915" max="6915" width="11.140625" bestFit="1" customWidth="1"/>
    <col min="6916" max="6916" width="10.7109375" bestFit="1" customWidth="1"/>
    <col min="6917" max="6917" width="16.85546875" bestFit="1" customWidth="1"/>
    <col min="6918" max="6918" width="15" bestFit="1" customWidth="1"/>
    <col min="6919" max="6919" width="11.28515625" bestFit="1" customWidth="1"/>
    <col min="6920" max="6921" width="11.140625" bestFit="1" customWidth="1"/>
    <col min="6922" max="6922" width="10.7109375" bestFit="1" customWidth="1"/>
    <col min="6923" max="6924" width="11.140625" bestFit="1" customWidth="1"/>
    <col min="6925" max="6925" width="12.7109375" bestFit="1" customWidth="1"/>
    <col min="6926" max="6926" width="11.140625" bestFit="1" customWidth="1"/>
    <col min="6927" max="6927" width="13.42578125" bestFit="1" customWidth="1"/>
    <col min="6929" max="6930" width="11.7109375" customWidth="1"/>
    <col min="6932" max="6932" width="15.85546875" customWidth="1"/>
    <col min="6934" max="6934" width="11.140625" bestFit="1" customWidth="1"/>
    <col min="6935" max="6935" width="8.28515625" customWidth="1"/>
    <col min="6936" max="6936" width="7" customWidth="1"/>
    <col min="7171" max="7171" width="11.140625" bestFit="1" customWidth="1"/>
    <col min="7172" max="7172" width="10.7109375" bestFit="1" customWidth="1"/>
    <col min="7173" max="7173" width="16.85546875" bestFit="1" customWidth="1"/>
    <col min="7174" max="7174" width="15" bestFit="1" customWidth="1"/>
    <col min="7175" max="7175" width="11.28515625" bestFit="1" customWidth="1"/>
    <col min="7176" max="7177" width="11.140625" bestFit="1" customWidth="1"/>
    <col min="7178" max="7178" width="10.7109375" bestFit="1" customWidth="1"/>
    <col min="7179" max="7180" width="11.140625" bestFit="1" customWidth="1"/>
    <col min="7181" max="7181" width="12.7109375" bestFit="1" customWidth="1"/>
    <col min="7182" max="7182" width="11.140625" bestFit="1" customWidth="1"/>
    <col min="7183" max="7183" width="13.42578125" bestFit="1" customWidth="1"/>
    <col min="7185" max="7186" width="11.7109375" customWidth="1"/>
    <col min="7188" max="7188" width="15.85546875" customWidth="1"/>
    <col min="7190" max="7190" width="11.140625" bestFit="1" customWidth="1"/>
    <col min="7191" max="7191" width="8.28515625" customWidth="1"/>
    <col min="7192" max="7192" width="7" customWidth="1"/>
    <col min="7427" max="7427" width="11.140625" bestFit="1" customWidth="1"/>
    <col min="7428" max="7428" width="10.7109375" bestFit="1" customWidth="1"/>
    <col min="7429" max="7429" width="16.85546875" bestFit="1" customWidth="1"/>
    <col min="7430" max="7430" width="15" bestFit="1" customWidth="1"/>
    <col min="7431" max="7431" width="11.28515625" bestFit="1" customWidth="1"/>
    <col min="7432" max="7433" width="11.140625" bestFit="1" customWidth="1"/>
    <col min="7434" max="7434" width="10.7109375" bestFit="1" customWidth="1"/>
    <col min="7435" max="7436" width="11.140625" bestFit="1" customWidth="1"/>
    <col min="7437" max="7437" width="12.7109375" bestFit="1" customWidth="1"/>
    <col min="7438" max="7438" width="11.140625" bestFit="1" customWidth="1"/>
    <col min="7439" max="7439" width="13.42578125" bestFit="1" customWidth="1"/>
    <col min="7441" max="7442" width="11.7109375" customWidth="1"/>
    <col min="7444" max="7444" width="15.85546875" customWidth="1"/>
    <col min="7446" max="7446" width="11.140625" bestFit="1" customWidth="1"/>
    <col min="7447" max="7447" width="8.28515625" customWidth="1"/>
    <col min="7448" max="7448" width="7" customWidth="1"/>
    <col min="7683" max="7683" width="11.140625" bestFit="1" customWidth="1"/>
    <col min="7684" max="7684" width="10.7109375" bestFit="1" customWidth="1"/>
    <col min="7685" max="7685" width="16.85546875" bestFit="1" customWidth="1"/>
    <col min="7686" max="7686" width="15" bestFit="1" customWidth="1"/>
    <col min="7687" max="7687" width="11.28515625" bestFit="1" customWidth="1"/>
    <col min="7688" max="7689" width="11.140625" bestFit="1" customWidth="1"/>
    <col min="7690" max="7690" width="10.7109375" bestFit="1" customWidth="1"/>
    <col min="7691" max="7692" width="11.140625" bestFit="1" customWidth="1"/>
    <col min="7693" max="7693" width="12.7109375" bestFit="1" customWidth="1"/>
    <col min="7694" max="7694" width="11.140625" bestFit="1" customWidth="1"/>
    <col min="7695" max="7695" width="13.42578125" bestFit="1" customWidth="1"/>
    <col min="7697" max="7698" width="11.7109375" customWidth="1"/>
    <col min="7700" max="7700" width="15.85546875" customWidth="1"/>
    <col min="7702" max="7702" width="11.140625" bestFit="1" customWidth="1"/>
    <col min="7703" max="7703" width="8.28515625" customWidth="1"/>
    <col min="7704" max="7704" width="7" customWidth="1"/>
    <col min="7939" max="7939" width="11.140625" bestFit="1" customWidth="1"/>
    <col min="7940" max="7940" width="10.7109375" bestFit="1" customWidth="1"/>
    <col min="7941" max="7941" width="16.85546875" bestFit="1" customWidth="1"/>
    <col min="7942" max="7942" width="15" bestFit="1" customWidth="1"/>
    <col min="7943" max="7943" width="11.28515625" bestFit="1" customWidth="1"/>
    <col min="7944" max="7945" width="11.140625" bestFit="1" customWidth="1"/>
    <col min="7946" max="7946" width="10.7109375" bestFit="1" customWidth="1"/>
    <col min="7947" max="7948" width="11.140625" bestFit="1" customWidth="1"/>
    <col min="7949" max="7949" width="12.7109375" bestFit="1" customWidth="1"/>
    <col min="7950" max="7950" width="11.140625" bestFit="1" customWidth="1"/>
    <col min="7951" max="7951" width="13.42578125" bestFit="1" customWidth="1"/>
    <col min="7953" max="7954" width="11.7109375" customWidth="1"/>
    <col min="7956" max="7956" width="15.85546875" customWidth="1"/>
    <col min="7958" max="7958" width="11.140625" bestFit="1" customWidth="1"/>
    <col min="7959" max="7959" width="8.28515625" customWidth="1"/>
    <col min="7960" max="7960" width="7" customWidth="1"/>
    <col min="8195" max="8195" width="11.140625" bestFit="1" customWidth="1"/>
    <col min="8196" max="8196" width="10.7109375" bestFit="1" customWidth="1"/>
    <col min="8197" max="8197" width="16.85546875" bestFit="1" customWidth="1"/>
    <col min="8198" max="8198" width="15" bestFit="1" customWidth="1"/>
    <col min="8199" max="8199" width="11.28515625" bestFit="1" customWidth="1"/>
    <col min="8200" max="8201" width="11.140625" bestFit="1" customWidth="1"/>
    <col min="8202" max="8202" width="10.7109375" bestFit="1" customWidth="1"/>
    <col min="8203" max="8204" width="11.140625" bestFit="1" customWidth="1"/>
    <col min="8205" max="8205" width="12.7109375" bestFit="1" customWidth="1"/>
    <col min="8206" max="8206" width="11.140625" bestFit="1" customWidth="1"/>
    <col min="8207" max="8207" width="13.42578125" bestFit="1" customWidth="1"/>
    <col min="8209" max="8210" width="11.7109375" customWidth="1"/>
    <col min="8212" max="8212" width="15.85546875" customWidth="1"/>
    <col min="8214" max="8214" width="11.140625" bestFit="1" customWidth="1"/>
    <col min="8215" max="8215" width="8.28515625" customWidth="1"/>
    <col min="8216" max="8216" width="7" customWidth="1"/>
    <col min="8451" max="8451" width="11.140625" bestFit="1" customWidth="1"/>
    <col min="8452" max="8452" width="10.7109375" bestFit="1" customWidth="1"/>
    <col min="8453" max="8453" width="16.85546875" bestFit="1" customWidth="1"/>
    <col min="8454" max="8454" width="15" bestFit="1" customWidth="1"/>
    <col min="8455" max="8455" width="11.28515625" bestFit="1" customWidth="1"/>
    <col min="8456" max="8457" width="11.140625" bestFit="1" customWidth="1"/>
    <col min="8458" max="8458" width="10.7109375" bestFit="1" customWidth="1"/>
    <col min="8459" max="8460" width="11.140625" bestFit="1" customWidth="1"/>
    <col min="8461" max="8461" width="12.7109375" bestFit="1" customWidth="1"/>
    <col min="8462" max="8462" width="11.140625" bestFit="1" customWidth="1"/>
    <col min="8463" max="8463" width="13.42578125" bestFit="1" customWidth="1"/>
    <col min="8465" max="8466" width="11.7109375" customWidth="1"/>
    <col min="8468" max="8468" width="15.85546875" customWidth="1"/>
    <col min="8470" max="8470" width="11.140625" bestFit="1" customWidth="1"/>
    <col min="8471" max="8471" width="8.28515625" customWidth="1"/>
    <col min="8472" max="8472" width="7" customWidth="1"/>
    <col min="8707" max="8707" width="11.140625" bestFit="1" customWidth="1"/>
    <col min="8708" max="8708" width="10.7109375" bestFit="1" customWidth="1"/>
    <col min="8709" max="8709" width="16.85546875" bestFit="1" customWidth="1"/>
    <col min="8710" max="8710" width="15" bestFit="1" customWidth="1"/>
    <col min="8711" max="8711" width="11.28515625" bestFit="1" customWidth="1"/>
    <col min="8712" max="8713" width="11.140625" bestFit="1" customWidth="1"/>
    <col min="8714" max="8714" width="10.7109375" bestFit="1" customWidth="1"/>
    <col min="8715" max="8716" width="11.140625" bestFit="1" customWidth="1"/>
    <col min="8717" max="8717" width="12.7109375" bestFit="1" customWidth="1"/>
    <col min="8718" max="8718" width="11.140625" bestFit="1" customWidth="1"/>
    <col min="8719" max="8719" width="13.42578125" bestFit="1" customWidth="1"/>
    <col min="8721" max="8722" width="11.7109375" customWidth="1"/>
    <col min="8724" max="8724" width="15.85546875" customWidth="1"/>
    <col min="8726" max="8726" width="11.140625" bestFit="1" customWidth="1"/>
    <col min="8727" max="8727" width="8.28515625" customWidth="1"/>
    <col min="8728" max="8728" width="7" customWidth="1"/>
    <col min="8963" max="8963" width="11.140625" bestFit="1" customWidth="1"/>
    <col min="8964" max="8964" width="10.7109375" bestFit="1" customWidth="1"/>
    <col min="8965" max="8965" width="16.85546875" bestFit="1" customWidth="1"/>
    <col min="8966" max="8966" width="15" bestFit="1" customWidth="1"/>
    <col min="8967" max="8967" width="11.28515625" bestFit="1" customWidth="1"/>
    <col min="8968" max="8969" width="11.140625" bestFit="1" customWidth="1"/>
    <col min="8970" max="8970" width="10.7109375" bestFit="1" customWidth="1"/>
    <col min="8971" max="8972" width="11.140625" bestFit="1" customWidth="1"/>
    <col min="8973" max="8973" width="12.7109375" bestFit="1" customWidth="1"/>
    <col min="8974" max="8974" width="11.140625" bestFit="1" customWidth="1"/>
    <col min="8975" max="8975" width="13.42578125" bestFit="1" customWidth="1"/>
    <col min="8977" max="8978" width="11.7109375" customWidth="1"/>
    <col min="8980" max="8980" width="15.85546875" customWidth="1"/>
    <col min="8982" max="8982" width="11.140625" bestFit="1" customWidth="1"/>
    <col min="8983" max="8983" width="8.28515625" customWidth="1"/>
    <col min="8984" max="8984" width="7" customWidth="1"/>
    <col min="9219" max="9219" width="11.140625" bestFit="1" customWidth="1"/>
    <col min="9220" max="9220" width="10.7109375" bestFit="1" customWidth="1"/>
    <col min="9221" max="9221" width="16.85546875" bestFit="1" customWidth="1"/>
    <col min="9222" max="9222" width="15" bestFit="1" customWidth="1"/>
    <col min="9223" max="9223" width="11.28515625" bestFit="1" customWidth="1"/>
    <col min="9224" max="9225" width="11.140625" bestFit="1" customWidth="1"/>
    <col min="9226" max="9226" width="10.7109375" bestFit="1" customWidth="1"/>
    <col min="9227" max="9228" width="11.140625" bestFit="1" customWidth="1"/>
    <col min="9229" max="9229" width="12.7109375" bestFit="1" customWidth="1"/>
    <col min="9230" max="9230" width="11.140625" bestFit="1" customWidth="1"/>
    <col min="9231" max="9231" width="13.42578125" bestFit="1" customWidth="1"/>
    <col min="9233" max="9234" width="11.7109375" customWidth="1"/>
    <col min="9236" max="9236" width="15.85546875" customWidth="1"/>
    <col min="9238" max="9238" width="11.140625" bestFit="1" customWidth="1"/>
    <col min="9239" max="9239" width="8.28515625" customWidth="1"/>
    <col min="9240" max="9240" width="7" customWidth="1"/>
    <col min="9475" max="9475" width="11.140625" bestFit="1" customWidth="1"/>
    <col min="9476" max="9476" width="10.7109375" bestFit="1" customWidth="1"/>
    <col min="9477" max="9477" width="16.85546875" bestFit="1" customWidth="1"/>
    <col min="9478" max="9478" width="15" bestFit="1" customWidth="1"/>
    <col min="9479" max="9479" width="11.28515625" bestFit="1" customWidth="1"/>
    <col min="9480" max="9481" width="11.140625" bestFit="1" customWidth="1"/>
    <col min="9482" max="9482" width="10.7109375" bestFit="1" customWidth="1"/>
    <col min="9483" max="9484" width="11.140625" bestFit="1" customWidth="1"/>
    <col min="9485" max="9485" width="12.7109375" bestFit="1" customWidth="1"/>
    <col min="9486" max="9486" width="11.140625" bestFit="1" customWidth="1"/>
    <col min="9487" max="9487" width="13.42578125" bestFit="1" customWidth="1"/>
    <col min="9489" max="9490" width="11.7109375" customWidth="1"/>
    <col min="9492" max="9492" width="15.85546875" customWidth="1"/>
    <col min="9494" max="9494" width="11.140625" bestFit="1" customWidth="1"/>
    <col min="9495" max="9495" width="8.28515625" customWidth="1"/>
    <col min="9496" max="9496" width="7" customWidth="1"/>
    <col min="9731" max="9731" width="11.140625" bestFit="1" customWidth="1"/>
    <col min="9732" max="9732" width="10.7109375" bestFit="1" customWidth="1"/>
    <col min="9733" max="9733" width="16.85546875" bestFit="1" customWidth="1"/>
    <col min="9734" max="9734" width="15" bestFit="1" customWidth="1"/>
    <col min="9735" max="9735" width="11.28515625" bestFit="1" customWidth="1"/>
    <col min="9736" max="9737" width="11.140625" bestFit="1" customWidth="1"/>
    <col min="9738" max="9738" width="10.7109375" bestFit="1" customWidth="1"/>
    <col min="9739" max="9740" width="11.140625" bestFit="1" customWidth="1"/>
    <col min="9741" max="9741" width="12.7109375" bestFit="1" customWidth="1"/>
    <col min="9742" max="9742" width="11.140625" bestFit="1" customWidth="1"/>
    <col min="9743" max="9743" width="13.42578125" bestFit="1" customWidth="1"/>
    <col min="9745" max="9746" width="11.7109375" customWidth="1"/>
    <col min="9748" max="9748" width="15.85546875" customWidth="1"/>
    <col min="9750" max="9750" width="11.140625" bestFit="1" customWidth="1"/>
    <col min="9751" max="9751" width="8.28515625" customWidth="1"/>
    <col min="9752" max="9752" width="7" customWidth="1"/>
    <col min="9987" max="9987" width="11.140625" bestFit="1" customWidth="1"/>
    <col min="9988" max="9988" width="10.7109375" bestFit="1" customWidth="1"/>
    <col min="9989" max="9989" width="16.85546875" bestFit="1" customWidth="1"/>
    <col min="9990" max="9990" width="15" bestFit="1" customWidth="1"/>
    <col min="9991" max="9991" width="11.28515625" bestFit="1" customWidth="1"/>
    <col min="9992" max="9993" width="11.140625" bestFit="1" customWidth="1"/>
    <col min="9994" max="9994" width="10.7109375" bestFit="1" customWidth="1"/>
    <col min="9995" max="9996" width="11.140625" bestFit="1" customWidth="1"/>
    <col min="9997" max="9997" width="12.7109375" bestFit="1" customWidth="1"/>
    <col min="9998" max="9998" width="11.140625" bestFit="1" customWidth="1"/>
    <col min="9999" max="9999" width="13.42578125" bestFit="1" customWidth="1"/>
    <col min="10001" max="10002" width="11.7109375" customWidth="1"/>
    <col min="10004" max="10004" width="15.85546875" customWidth="1"/>
    <col min="10006" max="10006" width="11.140625" bestFit="1" customWidth="1"/>
    <col min="10007" max="10007" width="8.28515625" customWidth="1"/>
    <col min="10008" max="10008" width="7" customWidth="1"/>
    <col min="10243" max="10243" width="11.140625" bestFit="1" customWidth="1"/>
    <col min="10244" max="10244" width="10.7109375" bestFit="1" customWidth="1"/>
    <col min="10245" max="10245" width="16.85546875" bestFit="1" customWidth="1"/>
    <col min="10246" max="10246" width="15" bestFit="1" customWidth="1"/>
    <col min="10247" max="10247" width="11.28515625" bestFit="1" customWidth="1"/>
    <col min="10248" max="10249" width="11.140625" bestFit="1" customWidth="1"/>
    <col min="10250" max="10250" width="10.7109375" bestFit="1" customWidth="1"/>
    <col min="10251" max="10252" width="11.140625" bestFit="1" customWidth="1"/>
    <col min="10253" max="10253" width="12.7109375" bestFit="1" customWidth="1"/>
    <col min="10254" max="10254" width="11.140625" bestFit="1" customWidth="1"/>
    <col min="10255" max="10255" width="13.42578125" bestFit="1" customWidth="1"/>
    <col min="10257" max="10258" width="11.7109375" customWidth="1"/>
    <col min="10260" max="10260" width="15.85546875" customWidth="1"/>
    <col min="10262" max="10262" width="11.140625" bestFit="1" customWidth="1"/>
    <col min="10263" max="10263" width="8.28515625" customWidth="1"/>
    <col min="10264" max="10264" width="7" customWidth="1"/>
    <col min="10499" max="10499" width="11.140625" bestFit="1" customWidth="1"/>
    <col min="10500" max="10500" width="10.7109375" bestFit="1" customWidth="1"/>
    <col min="10501" max="10501" width="16.85546875" bestFit="1" customWidth="1"/>
    <col min="10502" max="10502" width="15" bestFit="1" customWidth="1"/>
    <col min="10503" max="10503" width="11.28515625" bestFit="1" customWidth="1"/>
    <col min="10504" max="10505" width="11.140625" bestFit="1" customWidth="1"/>
    <col min="10506" max="10506" width="10.7109375" bestFit="1" customWidth="1"/>
    <col min="10507" max="10508" width="11.140625" bestFit="1" customWidth="1"/>
    <col min="10509" max="10509" width="12.7109375" bestFit="1" customWidth="1"/>
    <col min="10510" max="10510" width="11.140625" bestFit="1" customWidth="1"/>
    <col min="10511" max="10511" width="13.42578125" bestFit="1" customWidth="1"/>
    <col min="10513" max="10514" width="11.7109375" customWidth="1"/>
    <col min="10516" max="10516" width="15.85546875" customWidth="1"/>
    <col min="10518" max="10518" width="11.140625" bestFit="1" customWidth="1"/>
    <col min="10519" max="10519" width="8.28515625" customWidth="1"/>
    <col min="10520" max="10520" width="7" customWidth="1"/>
    <col min="10755" max="10755" width="11.140625" bestFit="1" customWidth="1"/>
    <col min="10756" max="10756" width="10.7109375" bestFit="1" customWidth="1"/>
    <col min="10757" max="10757" width="16.85546875" bestFit="1" customWidth="1"/>
    <col min="10758" max="10758" width="15" bestFit="1" customWidth="1"/>
    <col min="10759" max="10759" width="11.28515625" bestFit="1" customWidth="1"/>
    <col min="10760" max="10761" width="11.140625" bestFit="1" customWidth="1"/>
    <col min="10762" max="10762" width="10.7109375" bestFit="1" customWidth="1"/>
    <col min="10763" max="10764" width="11.140625" bestFit="1" customWidth="1"/>
    <col min="10765" max="10765" width="12.7109375" bestFit="1" customWidth="1"/>
    <col min="10766" max="10766" width="11.140625" bestFit="1" customWidth="1"/>
    <col min="10767" max="10767" width="13.42578125" bestFit="1" customWidth="1"/>
    <col min="10769" max="10770" width="11.7109375" customWidth="1"/>
    <col min="10772" max="10772" width="15.85546875" customWidth="1"/>
    <col min="10774" max="10774" width="11.140625" bestFit="1" customWidth="1"/>
    <col min="10775" max="10775" width="8.28515625" customWidth="1"/>
    <col min="10776" max="10776" width="7" customWidth="1"/>
    <col min="11011" max="11011" width="11.140625" bestFit="1" customWidth="1"/>
    <col min="11012" max="11012" width="10.7109375" bestFit="1" customWidth="1"/>
    <col min="11013" max="11013" width="16.85546875" bestFit="1" customWidth="1"/>
    <col min="11014" max="11014" width="15" bestFit="1" customWidth="1"/>
    <col min="11015" max="11015" width="11.28515625" bestFit="1" customWidth="1"/>
    <col min="11016" max="11017" width="11.140625" bestFit="1" customWidth="1"/>
    <col min="11018" max="11018" width="10.7109375" bestFit="1" customWidth="1"/>
    <col min="11019" max="11020" width="11.140625" bestFit="1" customWidth="1"/>
    <col min="11021" max="11021" width="12.7109375" bestFit="1" customWidth="1"/>
    <col min="11022" max="11022" width="11.140625" bestFit="1" customWidth="1"/>
    <col min="11023" max="11023" width="13.42578125" bestFit="1" customWidth="1"/>
    <col min="11025" max="11026" width="11.7109375" customWidth="1"/>
    <col min="11028" max="11028" width="15.85546875" customWidth="1"/>
    <col min="11030" max="11030" width="11.140625" bestFit="1" customWidth="1"/>
    <col min="11031" max="11031" width="8.28515625" customWidth="1"/>
    <col min="11032" max="11032" width="7" customWidth="1"/>
    <col min="11267" max="11267" width="11.140625" bestFit="1" customWidth="1"/>
    <col min="11268" max="11268" width="10.7109375" bestFit="1" customWidth="1"/>
    <col min="11269" max="11269" width="16.85546875" bestFit="1" customWidth="1"/>
    <col min="11270" max="11270" width="15" bestFit="1" customWidth="1"/>
    <col min="11271" max="11271" width="11.28515625" bestFit="1" customWidth="1"/>
    <col min="11272" max="11273" width="11.140625" bestFit="1" customWidth="1"/>
    <col min="11274" max="11274" width="10.7109375" bestFit="1" customWidth="1"/>
    <col min="11275" max="11276" width="11.140625" bestFit="1" customWidth="1"/>
    <col min="11277" max="11277" width="12.7109375" bestFit="1" customWidth="1"/>
    <col min="11278" max="11278" width="11.140625" bestFit="1" customWidth="1"/>
    <col min="11279" max="11279" width="13.42578125" bestFit="1" customWidth="1"/>
    <col min="11281" max="11282" width="11.7109375" customWidth="1"/>
    <col min="11284" max="11284" width="15.85546875" customWidth="1"/>
    <col min="11286" max="11286" width="11.140625" bestFit="1" customWidth="1"/>
    <col min="11287" max="11287" width="8.28515625" customWidth="1"/>
    <col min="11288" max="11288" width="7" customWidth="1"/>
    <col min="11523" max="11523" width="11.140625" bestFit="1" customWidth="1"/>
    <col min="11524" max="11524" width="10.7109375" bestFit="1" customWidth="1"/>
    <col min="11525" max="11525" width="16.85546875" bestFit="1" customWidth="1"/>
    <col min="11526" max="11526" width="15" bestFit="1" customWidth="1"/>
    <col min="11527" max="11527" width="11.28515625" bestFit="1" customWidth="1"/>
    <col min="11528" max="11529" width="11.140625" bestFit="1" customWidth="1"/>
    <col min="11530" max="11530" width="10.7109375" bestFit="1" customWidth="1"/>
    <col min="11531" max="11532" width="11.140625" bestFit="1" customWidth="1"/>
    <col min="11533" max="11533" width="12.7109375" bestFit="1" customWidth="1"/>
    <col min="11534" max="11534" width="11.140625" bestFit="1" customWidth="1"/>
    <col min="11535" max="11535" width="13.42578125" bestFit="1" customWidth="1"/>
    <col min="11537" max="11538" width="11.7109375" customWidth="1"/>
    <col min="11540" max="11540" width="15.85546875" customWidth="1"/>
    <col min="11542" max="11542" width="11.140625" bestFit="1" customWidth="1"/>
    <col min="11543" max="11543" width="8.28515625" customWidth="1"/>
    <col min="11544" max="11544" width="7" customWidth="1"/>
    <col min="11779" max="11779" width="11.140625" bestFit="1" customWidth="1"/>
    <col min="11780" max="11780" width="10.7109375" bestFit="1" customWidth="1"/>
    <col min="11781" max="11781" width="16.85546875" bestFit="1" customWidth="1"/>
    <col min="11782" max="11782" width="15" bestFit="1" customWidth="1"/>
    <col min="11783" max="11783" width="11.28515625" bestFit="1" customWidth="1"/>
    <col min="11784" max="11785" width="11.140625" bestFit="1" customWidth="1"/>
    <col min="11786" max="11786" width="10.7109375" bestFit="1" customWidth="1"/>
    <col min="11787" max="11788" width="11.140625" bestFit="1" customWidth="1"/>
    <col min="11789" max="11789" width="12.7109375" bestFit="1" customWidth="1"/>
    <col min="11790" max="11790" width="11.140625" bestFit="1" customWidth="1"/>
    <col min="11791" max="11791" width="13.42578125" bestFit="1" customWidth="1"/>
    <col min="11793" max="11794" width="11.7109375" customWidth="1"/>
    <col min="11796" max="11796" width="15.85546875" customWidth="1"/>
    <col min="11798" max="11798" width="11.140625" bestFit="1" customWidth="1"/>
    <col min="11799" max="11799" width="8.28515625" customWidth="1"/>
    <col min="11800" max="11800" width="7" customWidth="1"/>
    <col min="12035" max="12035" width="11.140625" bestFit="1" customWidth="1"/>
    <col min="12036" max="12036" width="10.7109375" bestFit="1" customWidth="1"/>
    <col min="12037" max="12037" width="16.85546875" bestFit="1" customWidth="1"/>
    <col min="12038" max="12038" width="15" bestFit="1" customWidth="1"/>
    <col min="12039" max="12039" width="11.28515625" bestFit="1" customWidth="1"/>
    <col min="12040" max="12041" width="11.140625" bestFit="1" customWidth="1"/>
    <col min="12042" max="12042" width="10.7109375" bestFit="1" customWidth="1"/>
    <col min="12043" max="12044" width="11.140625" bestFit="1" customWidth="1"/>
    <col min="12045" max="12045" width="12.7109375" bestFit="1" customWidth="1"/>
    <col min="12046" max="12046" width="11.140625" bestFit="1" customWidth="1"/>
    <col min="12047" max="12047" width="13.42578125" bestFit="1" customWidth="1"/>
    <col min="12049" max="12050" width="11.7109375" customWidth="1"/>
    <col min="12052" max="12052" width="15.85546875" customWidth="1"/>
    <col min="12054" max="12054" width="11.140625" bestFit="1" customWidth="1"/>
    <col min="12055" max="12055" width="8.28515625" customWidth="1"/>
    <col min="12056" max="12056" width="7" customWidth="1"/>
    <col min="12291" max="12291" width="11.140625" bestFit="1" customWidth="1"/>
    <col min="12292" max="12292" width="10.7109375" bestFit="1" customWidth="1"/>
    <col min="12293" max="12293" width="16.85546875" bestFit="1" customWidth="1"/>
    <col min="12294" max="12294" width="15" bestFit="1" customWidth="1"/>
    <col min="12295" max="12295" width="11.28515625" bestFit="1" customWidth="1"/>
    <col min="12296" max="12297" width="11.140625" bestFit="1" customWidth="1"/>
    <col min="12298" max="12298" width="10.7109375" bestFit="1" customWidth="1"/>
    <col min="12299" max="12300" width="11.140625" bestFit="1" customWidth="1"/>
    <col min="12301" max="12301" width="12.7109375" bestFit="1" customWidth="1"/>
    <col min="12302" max="12302" width="11.140625" bestFit="1" customWidth="1"/>
    <col min="12303" max="12303" width="13.42578125" bestFit="1" customWidth="1"/>
    <col min="12305" max="12306" width="11.7109375" customWidth="1"/>
    <col min="12308" max="12308" width="15.85546875" customWidth="1"/>
    <col min="12310" max="12310" width="11.140625" bestFit="1" customWidth="1"/>
    <col min="12311" max="12311" width="8.28515625" customWidth="1"/>
    <col min="12312" max="12312" width="7" customWidth="1"/>
    <col min="12547" max="12547" width="11.140625" bestFit="1" customWidth="1"/>
    <col min="12548" max="12548" width="10.7109375" bestFit="1" customWidth="1"/>
    <col min="12549" max="12549" width="16.85546875" bestFit="1" customWidth="1"/>
    <col min="12550" max="12550" width="15" bestFit="1" customWidth="1"/>
    <col min="12551" max="12551" width="11.28515625" bestFit="1" customWidth="1"/>
    <col min="12552" max="12553" width="11.140625" bestFit="1" customWidth="1"/>
    <col min="12554" max="12554" width="10.7109375" bestFit="1" customWidth="1"/>
    <col min="12555" max="12556" width="11.140625" bestFit="1" customWidth="1"/>
    <col min="12557" max="12557" width="12.7109375" bestFit="1" customWidth="1"/>
    <col min="12558" max="12558" width="11.140625" bestFit="1" customWidth="1"/>
    <col min="12559" max="12559" width="13.42578125" bestFit="1" customWidth="1"/>
    <col min="12561" max="12562" width="11.7109375" customWidth="1"/>
    <col min="12564" max="12564" width="15.85546875" customWidth="1"/>
    <col min="12566" max="12566" width="11.140625" bestFit="1" customWidth="1"/>
    <col min="12567" max="12567" width="8.28515625" customWidth="1"/>
    <col min="12568" max="12568" width="7" customWidth="1"/>
    <col min="12803" max="12803" width="11.140625" bestFit="1" customWidth="1"/>
    <col min="12804" max="12804" width="10.7109375" bestFit="1" customWidth="1"/>
    <col min="12805" max="12805" width="16.85546875" bestFit="1" customWidth="1"/>
    <col min="12806" max="12806" width="15" bestFit="1" customWidth="1"/>
    <col min="12807" max="12807" width="11.28515625" bestFit="1" customWidth="1"/>
    <col min="12808" max="12809" width="11.140625" bestFit="1" customWidth="1"/>
    <col min="12810" max="12810" width="10.7109375" bestFit="1" customWidth="1"/>
    <col min="12811" max="12812" width="11.140625" bestFit="1" customWidth="1"/>
    <col min="12813" max="12813" width="12.7109375" bestFit="1" customWidth="1"/>
    <col min="12814" max="12814" width="11.140625" bestFit="1" customWidth="1"/>
    <col min="12815" max="12815" width="13.42578125" bestFit="1" customWidth="1"/>
    <col min="12817" max="12818" width="11.7109375" customWidth="1"/>
    <col min="12820" max="12820" width="15.85546875" customWidth="1"/>
    <col min="12822" max="12822" width="11.140625" bestFit="1" customWidth="1"/>
    <col min="12823" max="12823" width="8.28515625" customWidth="1"/>
    <col min="12824" max="12824" width="7" customWidth="1"/>
    <col min="13059" max="13059" width="11.140625" bestFit="1" customWidth="1"/>
    <col min="13060" max="13060" width="10.7109375" bestFit="1" customWidth="1"/>
    <col min="13061" max="13061" width="16.85546875" bestFit="1" customWidth="1"/>
    <col min="13062" max="13062" width="15" bestFit="1" customWidth="1"/>
    <col min="13063" max="13063" width="11.28515625" bestFit="1" customWidth="1"/>
    <col min="13064" max="13065" width="11.140625" bestFit="1" customWidth="1"/>
    <col min="13066" max="13066" width="10.7109375" bestFit="1" customWidth="1"/>
    <col min="13067" max="13068" width="11.140625" bestFit="1" customWidth="1"/>
    <col min="13069" max="13069" width="12.7109375" bestFit="1" customWidth="1"/>
    <col min="13070" max="13070" width="11.140625" bestFit="1" customWidth="1"/>
    <col min="13071" max="13071" width="13.42578125" bestFit="1" customWidth="1"/>
    <col min="13073" max="13074" width="11.7109375" customWidth="1"/>
    <col min="13076" max="13076" width="15.85546875" customWidth="1"/>
    <col min="13078" max="13078" width="11.140625" bestFit="1" customWidth="1"/>
    <col min="13079" max="13079" width="8.28515625" customWidth="1"/>
    <col min="13080" max="13080" width="7" customWidth="1"/>
    <col min="13315" max="13315" width="11.140625" bestFit="1" customWidth="1"/>
    <col min="13316" max="13316" width="10.7109375" bestFit="1" customWidth="1"/>
    <col min="13317" max="13317" width="16.85546875" bestFit="1" customWidth="1"/>
    <col min="13318" max="13318" width="15" bestFit="1" customWidth="1"/>
    <col min="13319" max="13319" width="11.28515625" bestFit="1" customWidth="1"/>
    <col min="13320" max="13321" width="11.140625" bestFit="1" customWidth="1"/>
    <col min="13322" max="13322" width="10.7109375" bestFit="1" customWidth="1"/>
    <col min="13323" max="13324" width="11.140625" bestFit="1" customWidth="1"/>
    <col min="13325" max="13325" width="12.7109375" bestFit="1" customWidth="1"/>
    <col min="13326" max="13326" width="11.140625" bestFit="1" customWidth="1"/>
    <col min="13327" max="13327" width="13.42578125" bestFit="1" customWidth="1"/>
    <col min="13329" max="13330" width="11.7109375" customWidth="1"/>
    <col min="13332" max="13332" width="15.85546875" customWidth="1"/>
    <col min="13334" max="13334" width="11.140625" bestFit="1" customWidth="1"/>
    <col min="13335" max="13335" width="8.28515625" customWidth="1"/>
    <col min="13336" max="13336" width="7" customWidth="1"/>
    <col min="13571" max="13571" width="11.140625" bestFit="1" customWidth="1"/>
    <col min="13572" max="13572" width="10.7109375" bestFit="1" customWidth="1"/>
    <col min="13573" max="13573" width="16.85546875" bestFit="1" customWidth="1"/>
    <col min="13574" max="13574" width="15" bestFit="1" customWidth="1"/>
    <col min="13575" max="13575" width="11.28515625" bestFit="1" customWidth="1"/>
    <col min="13576" max="13577" width="11.140625" bestFit="1" customWidth="1"/>
    <col min="13578" max="13578" width="10.7109375" bestFit="1" customWidth="1"/>
    <col min="13579" max="13580" width="11.140625" bestFit="1" customWidth="1"/>
    <col min="13581" max="13581" width="12.7109375" bestFit="1" customWidth="1"/>
    <col min="13582" max="13582" width="11.140625" bestFit="1" customWidth="1"/>
    <col min="13583" max="13583" width="13.42578125" bestFit="1" customWidth="1"/>
    <col min="13585" max="13586" width="11.7109375" customWidth="1"/>
    <col min="13588" max="13588" width="15.85546875" customWidth="1"/>
    <col min="13590" max="13590" width="11.140625" bestFit="1" customWidth="1"/>
    <col min="13591" max="13591" width="8.28515625" customWidth="1"/>
    <col min="13592" max="13592" width="7" customWidth="1"/>
    <col min="13827" max="13827" width="11.140625" bestFit="1" customWidth="1"/>
    <col min="13828" max="13828" width="10.7109375" bestFit="1" customWidth="1"/>
    <col min="13829" max="13829" width="16.85546875" bestFit="1" customWidth="1"/>
    <col min="13830" max="13830" width="15" bestFit="1" customWidth="1"/>
    <col min="13831" max="13831" width="11.28515625" bestFit="1" customWidth="1"/>
    <col min="13832" max="13833" width="11.140625" bestFit="1" customWidth="1"/>
    <col min="13834" max="13834" width="10.7109375" bestFit="1" customWidth="1"/>
    <col min="13835" max="13836" width="11.140625" bestFit="1" customWidth="1"/>
    <col min="13837" max="13837" width="12.7109375" bestFit="1" customWidth="1"/>
    <col min="13838" max="13838" width="11.140625" bestFit="1" customWidth="1"/>
    <col min="13839" max="13839" width="13.42578125" bestFit="1" customWidth="1"/>
    <col min="13841" max="13842" width="11.7109375" customWidth="1"/>
    <col min="13844" max="13844" width="15.85546875" customWidth="1"/>
    <col min="13846" max="13846" width="11.140625" bestFit="1" customWidth="1"/>
    <col min="13847" max="13847" width="8.28515625" customWidth="1"/>
    <col min="13848" max="13848" width="7" customWidth="1"/>
    <col min="14083" max="14083" width="11.140625" bestFit="1" customWidth="1"/>
    <col min="14084" max="14084" width="10.7109375" bestFit="1" customWidth="1"/>
    <col min="14085" max="14085" width="16.85546875" bestFit="1" customWidth="1"/>
    <col min="14086" max="14086" width="15" bestFit="1" customWidth="1"/>
    <col min="14087" max="14087" width="11.28515625" bestFit="1" customWidth="1"/>
    <col min="14088" max="14089" width="11.140625" bestFit="1" customWidth="1"/>
    <col min="14090" max="14090" width="10.7109375" bestFit="1" customWidth="1"/>
    <col min="14091" max="14092" width="11.140625" bestFit="1" customWidth="1"/>
    <col min="14093" max="14093" width="12.7109375" bestFit="1" customWidth="1"/>
    <col min="14094" max="14094" width="11.140625" bestFit="1" customWidth="1"/>
    <col min="14095" max="14095" width="13.42578125" bestFit="1" customWidth="1"/>
    <col min="14097" max="14098" width="11.7109375" customWidth="1"/>
    <col min="14100" max="14100" width="15.85546875" customWidth="1"/>
    <col min="14102" max="14102" width="11.140625" bestFit="1" customWidth="1"/>
    <col min="14103" max="14103" width="8.28515625" customWidth="1"/>
    <col min="14104" max="14104" width="7" customWidth="1"/>
    <col min="14339" max="14339" width="11.140625" bestFit="1" customWidth="1"/>
    <col min="14340" max="14340" width="10.7109375" bestFit="1" customWidth="1"/>
    <col min="14341" max="14341" width="16.85546875" bestFit="1" customWidth="1"/>
    <col min="14342" max="14342" width="15" bestFit="1" customWidth="1"/>
    <col min="14343" max="14343" width="11.28515625" bestFit="1" customWidth="1"/>
    <col min="14344" max="14345" width="11.140625" bestFit="1" customWidth="1"/>
    <col min="14346" max="14346" width="10.7109375" bestFit="1" customWidth="1"/>
    <col min="14347" max="14348" width="11.140625" bestFit="1" customWidth="1"/>
    <col min="14349" max="14349" width="12.7109375" bestFit="1" customWidth="1"/>
    <col min="14350" max="14350" width="11.140625" bestFit="1" customWidth="1"/>
    <col min="14351" max="14351" width="13.42578125" bestFit="1" customWidth="1"/>
    <col min="14353" max="14354" width="11.7109375" customWidth="1"/>
    <col min="14356" max="14356" width="15.85546875" customWidth="1"/>
    <col min="14358" max="14358" width="11.140625" bestFit="1" customWidth="1"/>
    <col min="14359" max="14359" width="8.28515625" customWidth="1"/>
    <col min="14360" max="14360" width="7" customWidth="1"/>
    <col min="14595" max="14595" width="11.140625" bestFit="1" customWidth="1"/>
    <col min="14596" max="14596" width="10.7109375" bestFit="1" customWidth="1"/>
    <col min="14597" max="14597" width="16.85546875" bestFit="1" customWidth="1"/>
    <col min="14598" max="14598" width="15" bestFit="1" customWidth="1"/>
    <col min="14599" max="14599" width="11.28515625" bestFit="1" customWidth="1"/>
    <col min="14600" max="14601" width="11.140625" bestFit="1" customWidth="1"/>
    <col min="14602" max="14602" width="10.7109375" bestFit="1" customWidth="1"/>
    <col min="14603" max="14604" width="11.140625" bestFit="1" customWidth="1"/>
    <col min="14605" max="14605" width="12.7109375" bestFit="1" customWidth="1"/>
    <col min="14606" max="14606" width="11.140625" bestFit="1" customWidth="1"/>
    <col min="14607" max="14607" width="13.42578125" bestFit="1" customWidth="1"/>
    <col min="14609" max="14610" width="11.7109375" customWidth="1"/>
    <col min="14612" max="14612" width="15.85546875" customWidth="1"/>
    <col min="14614" max="14614" width="11.140625" bestFit="1" customWidth="1"/>
    <col min="14615" max="14615" width="8.28515625" customWidth="1"/>
    <col min="14616" max="14616" width="7" customWidth="1"/>
    <col min="14851" max="14851" width="11.140625" bestFit="1" customWidth="1"/>
    <col min="14852" max="14852" width="10.7109375" bestFit="1" customWidth="1"/>
    <col min="14853" max="14853" width="16.85546875" bestFit="1" customWidth="1"/>
    <col min="14854" max="14854" width="15" bestFit="1" customWidth="1"/>
    <col min="14855" max="14855" width="11.28515625" bestFit="1" customWidth="1"/>
    <col min="14856" max="14857" width="11.140625" bestFit="1" customWidth="1"/>
    <col min="14858" max="14858" width="10.7109375" bestFit="1" customWidth="1"/>
    <col min="14859" max="14860" width="11.140625" bestFit="1" customWidth="1"/>
    <col min="14861" max="14861" width="12.7109375" bestFit="1" customWidth="1"/>
    <col min="14862" max="14862" width="11.140625" bestFit="1" customWidth="1"/>
    <col min="14863" max="14863" width="13.42578125" bestFit="1" customWidth="1"/>
    <col min="14865" max="14866" width="11.7109375" customWidth="1"/>
    <col min="14868" max="14868" width="15.85546875" customWidth="1"/>
    <col min="14870" max="14870" width="11.140625" bestFit="1" customWidth="1"/>
    <col min="14871" max="14871" width="8.28515625" customWidth="1"/>
    <col min="14872" max="14872" width="7" customWidth="1"/>
    <col min="15107" max="15107" width="11.140625" bestFit="1" customWidth="1"/>
    <col min="15108" max="15108" width="10.7109375" bestFit="1" customWidth="1"/>
    <col min="15109" max="15109" width="16.85546875" bestFit="1" customWidth="1"/>
    <col min="15110" max="15110" width="15" bestFit="1" customWidth="1"/>
    <col min="15111" max="15111" width="11.28515625" bestFit="1" customWidth="1"/>
    <col min="15112" max="15113" width="11.140625" bestFit="1" customWidth="1"/>
    <col min="15114" max="15114" width="10.7109375" bestFit="1" customWidth="1"/>
    <col min="15115" max="15116" width="11.140625" bestFit="1" customWidth="1"/>
    <col min="15117" max="15117" width="12.7109375" bestFit="1" customWidth="1"/>
    <col min="15118" max="15118" width="11.140625" bestFit="1" customWidth="1"/>
    <col min="15119" max="15119" width="13.42578125" bestFit="1" customWidth="1"/>
    <col min="15121" max="15122" width="11.7109375" customWidth="1"/>
    <col min="15124" max="15124" width="15.85546875" customWidth="1"/>
    <col min="15126" max="15126" width="11.140625" bestFit="1" customWidth="1"/>
    <col min="15127" max="15127" width="8.28515625" customWidth="1"/>
    <col min="15128" max="15128" width="7" customWidth="1"/>
    <col min="15363" max="15363" width="11.140625" bestFit="1" customWidth="1"/>
    <col min="15364" max="15364" width="10.7109375" bestFit="1" customWidth="1"/>
    <col min="15365" max="15365" width="16.85546875" bestFit="1" customWidth="1"/>
    <col min="15366" max="15366" width="15" bestFit="1" customWidth="1"/>
    <col min="15367" max="15367" width="11.28515625" bestFit="1" customWidth="1"/>
    <col min="15368" max="15369" width="11.140625" bestFit="1" customWidth="1"/>
    <col min="15370" max="15370" width="10.7109375" bestFit="1" customWidth="1"/>
    <col min="15371" max="15372" width="11.140625" bestFit="1" customWidth="1"/>
    <col min="15373" max="15373" width="12.7109375" bestFit="1" customWidth="1"/>
    <col min="15374" max="15374" width="11.140625" bestFit="1" customWidth="1"/>
    <col min="15375" max="15375" width="13.42578125" bestFit="1" customWidth="1"/>
    <col min="15377" max="15378" width="11.7109375" customWidth="1"/>
    <col min="15380" max="15380" width="15.85546875" customWidth="1"/>
    <col min="15382" max="15382" width="11.140625" bestFit="1" customWidth="1"/>
    <col min="15383" max="15383" width="8.28515625" customWidth="1"/>
    <col min="15384" max="15384" width="7" customWidth="1"/>
    <col min="15619" max="15619" width="11.140625" bestFit="1" customWidth="1"/>
    <col min="15620" max="15620" width="10.7109375" bestFit="1" customWidth="1"/>
    <col min="15621" max="15621" width="16.85546875" bestFit="1" customWidth="1"/>
    <col min="15622" max="15622" width="15" bestFit="1" customWidth="1"/>
    <col min="15623" max="15623" width="11.28515625" bestFit="1" customWidth="1"/>
    <col min="15624" max="15625" width="11.140625" bestFit="1" customWidth="1"/>
    <col min="15626" max="15626" width="10.7109375" bestFit="1" customWidth="1"/>
    <col min="15627" max="15628" width="11.140625" bestFit="1" customWidth="1"/>
    <col min="15629" max="15629" width="12.7109375" bestFit="1" customWidth="1"/>
    <col min="15630" max="15630" width="11.140625" bestFit="1" customWidth="1"/>
    <col min="15631" max="15631" width="13.42578125" bestFit="1" customWidth="1"/>
    <col min="15633" max="15634" width="11.7109375" customWidth="1"/>
    <col min="15636" max="15636" width="15.85546875" customWidth="1"/>
    <col min="15638" max="15638" width="11.140625" bestFit="1" customWidth="1"/>
    <col min="15639" max="15639" width="8.28515625" customWidth="1"/>
    <col min="15640" max="15640" width="7" customWidth="1"/>
    <col min="15875" max="15875" width="11.140625" bestFit="1" customWidth="1"/>
    <col min="15876" max="15876" width="10.7109375" bestFit="1" customWidth="1"/>
    <col min="15877" max="15877" width="16.85546875" bestFit="1" customWidth="1"/>
    <col min="15878" max="15878" width="15" bestFit="1" customWidth="1"/>
    <col min="15879" max="15879" width="11.28515625" bestFit="1" customWidth="1"/>
    <col min="15880" max="15881" width="11.140625" bestFit="1" customWidth="1"/>
    <col min="15882" max="15882" width="10.7109375" bestFit="1" customWidth="1"/>
    <col min="15883" max="15884" width="11.140625" bestFit="1" customWidth="1"/>
    <col min="15885" max="15885" width="12.7109375" bestFit="1" customWidth="1"/>
    <col min="15886" max="15886" width="11.140625" bestFit="1" customWidth="1"/>
    <col min="15887" max="15887" width="13.42578125" bestFit="1" customWidth="1"/>
    <col min="15889" max="15890" width="11.7109375" customWidth="1"/>
    <col min="15892" max="15892" width="15.85546875" customWidth="1"/>
    <col min="15894" max="15894" width="11.140625" bestFit="1" customWidth="1"/>
    <col min="15895" max="15895" width="8.28515625" customWidth="1"/>
    <col min="15896" max="15896" width="7" customWidth="1"/>
    <col min="16131" max="16131" width="11.140625" bestFit="1" customWidth="1"/>
    <col min="16132" max="16132" width="10.7109375" bestFit="1" customWidth="1"/>
    <col min="16133" max="16133" width="16.85546875" bestFit="1" customWidth="1"/>
    <col min="16134" max="16134" width="15" bestFit="1" customWidth="1"/>
    <col min="16135" max="16135" width="11.28515625" bestFit="1" customWidth="1"/>
    <col min="16136" max="16137" width="11.140625" bestFit="1" customWidth="1"/>
    <col min="16138" max="16138" width="10.7109375" bestFit="1" customWidth="1"/>
    <col min="16139" max="16140" width="11.140625" bestFit="1" customWidth="1"/>
    <col min="16141" max="16141" width="12.7109375" bestFit="1" customWidth="1"/>
    <col min="16142" max="16142" width="11.140625" bestFit="1" customWidth="1"/>
    <col min="16143" max="16143" width="13.42578125" bestFit="1" customWidth="1"/>
    <col min="16145" max="16146" width="11.7109375" customWidth="1"/>
    <col min="16148" max="16148" width="15.85546875" customWidth="1"/>
    <col min="16150" max="16150" width="11.140625" bestFit="1" customWidth="1"/>
    <col min="16151" max="16151" width="8.28515625" customWidth="1"/>
    <col min="16152" max="16152" width="7" customWidth="1"/>
  </cols>
  <sheetData>
    <row r="2" spans="1:22">
      <c r="C2" t="s">
        <v>0</v>
      </c>
      <c r="E2" t="s">
        <v>1</v>
      </c>
      <c r="I2" t="s">
        <v>2</v>
      </c>
      <c r="K2" t="s">
        <v>1</v>
      </c>
      <c r="M2" t="s">
        <v>460</v>
      </c>
      <c r="O2" t="s">
        <v>1</v>
      </c>
      <c r="Q2" s="1" t="s">
        <v>4</v>
      </c>
      <c r="T2" t="s">
        <v>5</v>
      </c>
    </row>
    <row r="3" spans="1:22" s="2" customFormat="1" ht="12.75">
      <c r="A3" s="2">
        <v>2019</v>
      </c>
      <c r="C3" s="80">
        <v>908.9</v>
      </c>
      <c r="D3" s="3"/>
      <c r="F3" s="3"/>
      <c r="I3" s="80">
        <v>75505.320000000007</v>
      </c>
      <c r="M3" s="3"/>
      <c r="Q3" s="80">
        <v>124544.71</v>
      </c>
      <c r="R3" s="3"/>
      <c r="T3" s="80">
        <f>C3 + I3 + Q3</f>
        <v>200958.93</v>
      </c>
    </row>
    <row r="4" spans="1:22" s="2" customFormat="1">
      <c r="A4" s="4">
        <v>43831</v>
      </c>
      <c r="C4" s="3">
        <v>5061.6099999999997</v>
      </c>
      <c r="D4" s="3">
        <v>4809.29</v>
      </c>
      <c r="E4" s="108">
        <f>( (C4-D4)/C3 -1)</f>
        <v>-0.72238970183738616</v>
      </c>
      <c r="F4" s="3">
        <v>1220.07</v>
      </c>
      <c r="G4" s="5">
        <f>(F4/C4)</f>
        <v>0.24104385758681526</v>
      </c>
      <c r="I4" s="3">
        <v>125984.25</v>
      </c>
      <c r="J4" s="3">
        <v>-1958.12</v>
      </c>
      <c r="K4" s="5">
        <f>((I4-J4)/I3) -1</f>
        <v>0.69448152792412476</v>
      </c>
      <c r="L4" s="5"/>
      <c r="M4" s="3"/>
      <c r="N4" s="3"/>
      <c r="O4" s="5"/>
      <c r="P4" s="5"/>
      <c r="Q4" s="3">
        <v>169551.84</v>
      </c>
      <c r="R4" s="5">
        <f t="shared" ref="R4:R20" si="0">Q4/Q3 -1</f>
        <v>0.36137327711470024</v>
      </c>
      <c r="T4" s="3">
        <f>C4 + I4 + Q4</f>
        <v>300597.7</v>
      </c>
      <c r="U4" s="102">
        <f>T4/T3 -1</f>
        <v>0.49581658302022213</v>
      </c>
      <c r="V4" s="7">
        <f>T4/T3 -1</f>
        <v>0.49581658302022213</v>
      </c>
    </row>
    <row r="5" spans="1:22" s="2" customFormat="1">
      <c r="A5" s="4">
        <v>44197</v>
      </c>
      <c r="C5" s="3">
        <v>15011.69</v>
      </c>
      <c r="D5" s="3">
        <v>3253.8</v>
      </c>
      <c r="E5" s="102">
        <f>( (C5-D5)/C4 -1)</f>
        <v>1.3229545539857872</v>
      </c>
      <c r="F5" s="3">
        <v>8031.94</v>
      </c>
      <c r="G5" s="102">
        <f>(F5/C5)</f>
        <v>0.53504568772736438</v>
      </c>
      <c r="I5" s="3">
        <v>135360.94</v>
      </c>
      <c r="J5" s="3"/>
      <c r="K5" s="5">
        <f>((I5+J5)/I4) -1</f>
        <v>7.4427478037929262E-2</v>
      </c>
      <c r="L5" s="5"/>
      <c r="M5" s="3"/>
      <c r="N5" s="3"/>
      <c r="O5" s="5"/>
      <c r="P5" s="5"/>
      <c r="Q5" s="3">
        <v>241561.18</v>
      </c>
      <c r="R5" s="102">
        <f t="shared" si="0"/>
        <v>0.42470397254314673</v>
      </c>
      <c r="T5" s="3">
        <f>C5 + I5 + Q5</f>
        <v>391933.81</v>
      </c>
      <c r="U5" s="5">
        <f>T5/T4 -1</f>
        <v>0.30384833283820867</v>
      </c>
      <c r="V5" s="7">
        <f>T5/T3 -1</f>
        <v>0.95031795800266261</v>
      </c>
    </row>
    <row r="6" spans="1:22" s="2" customFormat="1">
      <c r="A6" s="4">
        <v>44562</v>
      </c>
      <c r="C6" s="82">
        <v>18166.45</v>
      </c>
      <c r="D6" s="3">
        <v>3109.78</v>
      </c>
      <c r="E6" s="5">
        <f>( (C6-D6)/C5 -1)</f>
        <v>2.9963315256309464E-3</v>
      </c>
      <c r="F6" s="3">
        <v>2340.23</v>
      </c>
      <c r="G6" s="5">
        <f>(F6/C6)</f>
        <v>0.12882153640364519</v>
      </c>
      <c r="I6" s="3">
        <v>170104.5</v>
      </c>
      <c r="J6" s="3"/>
      <c r="K6" s="5">
        <f>((I6+J6)/I5) -1</f>
        <v>0.25667345395207808</v>
      </c>
      <c r="L6" s="5"/>
      <c r="M6" s="82">
        <v>234276.84</v>
      </c>
      <c r="N6" s="3">
        <v>226247.79</v>
      </c>
      <c r="O6" s="102">
        <f>((M6-N6)/N6)</f>
        <v>3.5487860456007055E-2</v>
      </c>
      <c r="P6" s="5"/>
      <c r="Q6" s="3">
        <v>319120.92</v>
      </c>
      <c r="R6" s="5">
        <f t="shared" si="0"/>
        <v>0.32107700417757523</v>
      </c>
      <c r="T6" s="82">
        <f t="shared" ref="T6:T19" si="1">C6 + I6 + M6 + Q6</f>
        <v>741668.71</v>
      </c>
      <c r="U6" s="5">
        <f>(T6-N6)/T5 -1</f>
        <v>0.31507133819355859</v>
      </c>
      <c r="V6" s="104">
        <f>T6/T3 -1</f>
        <v>2.6906481836860894</v>
      </c>
    </row>
    <row r="7" spans="1:22" s="2" customFormat="1">
      <c r="A7" s="4">
        <v>44927</v>
      </c>
      <c r="C7" s="3">
        <v>10169.06</v>
      </c>
      <c r="D7" s="3"/>
      <c r="E7" s="5">
        <f>( (C7-D7)/C6 -1)</f>
        <v>-0.44022855318457932</v>
      </c>
      <c r="F7" s="3">
        <v>-13707.94</v>
      </c>
      <c r="G7" s="5">
        <f>(F7/C7)</f>
        <v>-1.3480046336632885</v>
      </c>
      <c r="I7" s="3">
        <v>84285.27</v>
      </c>
      <c r="J7" s="3">
        <v>-39851.4</v>
      </c>
      <c r="K7" s="108">
        <f>(I7/(I6+J7)) -1</f>
        <v>-0.35291160056843174</v>
      </c>
      <c r="L7" s="5"/>
      <c r="M7" s="3">
        <v>75262.63</v>
      </c>
      <c r="N7" s="3">
        <v>-105148.6</v>
      </c>
      <c r="O7" s="108">
        <f>M7/(M6+N7)-1</f>
        <v>-0.41714817765656831</v>
      </c>
      <c r="P7" s="5"/>
      <c r="Q7" s="3">
        <v>294732.3</v>
      </c>
      <c r="R7" s="108">
        <f t="shared" si="0"/>
        <v>-7.6424384838198578E-2</v>
      </c>
      <c r="T7" s="3">
        <f t="shared" si="1"/>
        <v>464449.26</v>
      </c>
      <c r="U7" s="108">
        <f>(T7-N7-J7)/T6 -1</f>
        <v>-0.17827292457841448</v>
      </c>
      <c r="V7" s="7">
        <f>T7/T3 -1</f>
        <v>1.3111650723856862</v>
      </c>
    </row>
    <row r="8" spans="1:22" s="2" customFormat="1">
      <c r="A8" s="4">
        <v>45292</v>
      </c>
      <c r="C8" s="3">
        <v>10194.43</v>
      </c>
      <c r="D8" s="3"/>
      <c r="E8" s="5">
        <f>( (C8-D8)/C7 -1)</f>
        <v>2.4948225303027538E-3</v>
      </c>
      <c r="F8" s="3">
        <v>-3092.94</v>
      </c>
      <c r="G8" s="5">
        <f>(F8/C8)</f>
        <v>-0.30339508927914555</v>
      </c>
      <c r="I8" s="103">
        <v>193663.5</v>
      </c>
      <c r="J8" s="3">
        <v>-20593.150000000001</v>
      </c>
      <c r="K8" s="105">
        <f t="shared" ref="K8:K19" si="2">((I8-J8)/I7) -1</f>
        <v>1.5420414504218827</v>
      </c>
      <c r="L8" s="5"/>
      <c r="M8" s="77">
        <v>53898.82</v>
      </c>
      <c r="N8" s="3">
        <v>-16893.400000000001</v>
      </c>
      <c r="O8" s="5">
        <f>M8/(M7+N8)-1</f>
        <v>-7.6588469644023105E-2</v>
      </c>
      <c r="P8" s="5"/>
      <c r="Q8" s="83">
        <v>398977.73</v>
      </c>
      <c r="R8" s="5">
        <f t="shared" si="0"/>
        <v>0.35369530248296499</v>
      </c>
      <c r="T8" s="3">
        <f t="shared" si="1"/>
        <v>656734.48</v>
      </c>
      <c r="U8" s="5">
        <f>(T8-N8-J8)/T7 -1</f>
        <v>0.49471877724597957</v>
      </c>
      <c r="V8" s="7">
        <f>T8/T3 -1</f>
        <v>2.2680034671761042</v>
      </c>
    </row>
    <row r="9" spans="1:22">
      <c r="A9" s="6">
        <v>45323</v>
      </c>
      <c r="C9" s="81">
        <v>9603</v>
      </c>
      <c r="E9" s="7">
        <f t="shared" ref="E9:E20" si="3">( C9/C8 -1)</f>
        <v>-5.8015014081218896E-2</v>
      </c>
      <c r="F9" s="1">
        <v>200.63</v>
      </c>
      <c r="G9" s="7">
        <f t="shared" ref="G9:G20" si="4">(F9/C8)</f>
        <v>1.9680354860448303E-2</v>
      </c>
      <c r="I9" s="1">
        <v>166030.32</v>
      </c>
      <c r="J9" s="1"/>
      <c r="K9" s="7">
        <f t="shared" si="2"/>
        <v>-0.14268656716417905</v>
      </c>
      <c r="L9" s="7"/>
      <c r="M9" s="1">
        <v>41424.79</v>
      </c>
      <c r="N9" s="1">
        <v>-4000</v>
      </c>
      <c r="O9" s="7">
        <f t="shared" ref="O9:O20" si="5">((M9-N9)/M8) -1</f>
        <v>-0.15722106717735196</v>
      </c>
      <c r="P9" s="7"/>
      <c r="Q9" s="1">
        <v>401414.03</v>
      </c>
      <c r="R9" s="7">
        <f t="shared" si="0"/>
        <v>6.1063558610152668E-3</v>
      </c>
      <c r="T9" s="1">
        <f t="shared" si="1"/>
        <v>618472.14</v>
      </c>
      <c r="U9" s="7">
        <f t="shared" ref="U9:U20" si="6">T9/T8 -1</f>
        <v>-5.8261506233082128E-2</v>
      </c>
      <c r="V9" s="7">
        <f>T9/T8 -1</f>
        <v>-5.8261506233082128E-2</v>
      </c>
    </row>
    <row r="10" spans="1:22">
      <c r="A10" s="6">
        <v>45352</v>
      </c>
      <c r="C10" s="1">
        <v>10364.84</v>
      </c>
      <c r="E10" s="7">
        <f t="shared" si="3"/>
        <v>7.9333541601582791E-2</v>
      </c>
      <c r="F10" s="1">
        <v>399.66</v>
      </c>
      <c r="G10" s="7">
        <f t="shared" si="4"/>
        <v>4.1618244298656674E-2</v>
      </c>
      <c r="I10" s="1">
        <v>186363.45</v>
      </c>
      <c r="J10" s="1"/>
      <c r="K10" s="7">
        <f t="shared" si="2"/>
        <v>0.12246636638416408</v>
      </c>
      <c r="L10" s="7"/>
      <c r="M10" s="1">
        <v>44827.41</v>
      </c>
      <c r="N10" s="1"/>
      <c r="O10" s="7">
        <f t="shared" si="5"/>
        <v>8.2139704268868963E-2</v>
      </c>
      <c r="P10" s="7"/>
      <c r="Q10" s="1">
        <v>423905.06</v>
      </c>
      <c r="R10" s="88">
        <f t="shared" si="0"/>
        <v>5.6029506492336623E-2</v>
      </c>
      <c r="T10" s="1">
        <f t="shared" si="1"/>
        <v>665460.76</v>
      </c>
      <c r="U10" s="88">
        <f t="shared" si="6"/>
        <v>7.597532202501478E-2</v>
      </c>
      <c r="V10" s="7">
        <f>T10/T8 -1</f>
        <v>1.3287379094211849E-2</v>
      </c>
    </row>
    <row r="11" spans="1:22">
      <c r="A11" s="6">
        <v>45383</v>
      </c>
      <c r="C11" s="1">
        <v>10885.6</v>
      </c>
      <c r="E11" s="7">
        <f t="shared" si="3"/>
        <v>5.0242936697527441E-2</v>
      </c>
      <c r="F11" s="1">
        <v>1216.77</v>
      </c>
      <c r="G11" s="88">
        <f t="shared" si="4"/>
        <v>0.11739399739889858</v>
      </c>
      <c r="I11" s="1">
        <v>189798.49</v>
      </c>
      <c r="J11" s="1">
        <v>-1417.58</v>
      </c>
      <c r="K11" s="7">
        <f t="shared" si="2"/>
        <v>2.6038474818962376E-2</v>
      </c>
      <c r="L11" s="7"/>
      <c r="M11" s="1">
        <v>45335.51</v>
      </c>
      <c r="N11" s="1">
        <v>-2582.42</v>
      </c>
      <c r="O11" s="7">
        <f t="shared" si="5"/>
        <v>6.8942640228378149E-2</v>
      </c>
      <c r="P11" s="7"/>
      <c r="Q11" s="1">
        <v>445766.96</v>
      </c>
      <c r="R11" s="7">
        <f t="shared" si="0"/>
        <v>5.1572632796598405E-2</v>
      </c>
      <c r="T11" s="71">
        <f t="shared" si="1"/>
        <v>691786.56</v>
      </c>
      <c r="U11" s="7">
        <f t="shared" si="6"/>
        <v>3.9560258970040563E-2</v>
      </c>
      <c r="V11" s="88">
        <f>T11/T8 -1</f>
        <v>5.3373290222252567E-2</v>
      </c>
    </row>
    <row r="12" spans="1:22">
      <c r="A12" s="6">
        <v>45413</v>
      </c>
      <c r="C12" s="1">
        <v>9619.42</v>
      </c>
      <c r="E12" s="109">
        <f t="shared" si="3"/>
        <v>-0.11631696920702583</v>
      </c>
      <c r="F12" s="1">
        <v>-496.55</v>
      </c>
      <c r="G12" s="7">
        <f t="shared" si="4"/>
        <v>-4.5615308297199973E-2</v>
      </c>
      <c r="I12" s="1">
        <v>130929.59</v>
      </c>
      <c r="J12" s="1"/>
      <c r="K12" s="109">
        <f t="shared" si="2"/>
        <v>-0.31016527054561915</v>
      </c>
      <c r="L12" s="7"/>
      <c r="M12" s="1">
        <v>36717.43</v>
      </c>
      <c r="N12" s="1"/>
      <c r="O12" s="109">
        <f t="shared" si="5"/>
        <v>-0.19009557849906178</v>
      </c>
      <c r="P12" s="7"/>
      <c r="Q12" s="1">
        <v>424292.73</v>
      </c>
      <c r="R12" s="109">
        <f t="shared" si="0"/>
        <v>-4.8173669039984546E-2</v>
      </c>
      <c r="T12" s="81">
        <f t="shared" si="1"/>
        <v>601559.16999999993</v>
      </c>
      <c r="U12" s="109">
        <f t="shared" si="6"/>
        <v>-0.13042663043352576</v>
      </c>
      <c r="V12" s="96">
        <f>T12/T8 -1</f>
        <v>-8.401463861011238E-2</v>
      </c>
    </row>
    <row r="13" spans="1:22">
      <c r="A13" s="6">
        <v>45444</v>
      </c>
      <c r="C13" s="1">
        <v>10454.1</v>
      </c>
      <c r="E13" s="7">
        <f t="shared" si="3"/>
        <v>8.6770304238717122E-2</v>
      </c>
      <c r="F13" s="1">
        <v>-252.32</v>
      </c>
      <c r="G13" s="7">
        <f t="shared" si="4"/>
        <v>-2.6230271679581512E-2</v>
      </c>
      <c r="I13" s="1">
        <v>138146.29999999999</v>
      </c>
      <c r="J13" s="1">
        <v>-1685.38</v>
      </c>
      <c r="K13" s="7">
        <f t="shared" si="2"/>
        <v>6.7991429592042518E-2</v>
      </c>
      <c r="L13" s="7"/>
      <c r="M13" s="1">
        <v>36995.31</v>
      </c>
      <c r="N13" s="1">
        <v>-314.62</v>
      </c>
      <c r="O13" s="7">
        <f t="shared" si="5"/>
        <v>1.6136750311772863E-2</v>
      </c>
      <c r="P13" s="7"/>
      <c r="Q13" s="1">
        <v>441967.05</v>
      </c>
      <c r="R13" s="7">
        <f t="shared" si="0"/>
        <v>4.1655957668659482E-2</v>
      </c>
      <c r="T13" s="1">
        <f t="shared" si="1"/>
        <v>627562.76</v>
      </c>
      <c r="U13" s="7">
        <f t="shared" si="6"/>
        <v>4.3226986299618853E-2</v>
      </c>
      <c r="V13" s="7">
        <f>T13/T8 -1</f>
        <v>-4.4419351942660223E-2</v>
      </c>
    </row>
    <row r="14" spans="1:22">
      <c r="A14" s="6">
        <v>45474</v>
      </c>
      <c r="C14" s="1">
        <v>9738.48</v>
      </c>
      <c r="E14" s="7">
        <f t="shared" si="3"/>
        <v>-6.8453525411082849E-2</v>
      </c>
      <c r="F14" s="1">
        <v>-516.55999999999995</v>
      </c>
      <c r="G14" s="7">
        <f t="shared" si="4"/>
        <v>-4.9412192345586893E-2</v>
      </c>
      <c r="I14" s="1">
        <v>136082.18</v>
      </c>
      <c r="J14" s="1">
        <v>-3855.49</v>
      </c>
      <c r="K14" s="7">
        <f t="shared" si="2"/>
        <v>1.2967194923063419E-2</v>
      </c>
      <c r="L14" s="7"/>
      <c r="M14" s="1">
        <v>34362.5</v>
      </c>
      <c r="N14" s="1">
        <v>-144.51</v>
      </c>
      <c r="O14" s="7">
        <f t="shared" si="5"/>
        <v>-6.7259876995218959E-2</v>
      </c>
      <c r="P14" s="7"/>
      <c r="Q14" s="1">
        <v>451723.52000000002</v>
      </c>
      <c r="R14" s="7">
        <f t="shared" si="0"/>
        <v>2.2075107182764064E-2</v>
      </c>
      <c r="T14" s="1">
        <f t="shared" si="1"/>
        <v>631906.68000000005</v>
      </c>
      <c r="U14" s="7">
        <f t="shared" si="6"/>
        <v>6.9218893740603527E-3</v>
      </c>
      <c r="V14" s="7">
        <f>T14/T8 -1</f>
        <v>-3.7804928408814331E-2</v>
      </c>
    </row>
    <row r="15" spans="1:22">
      <c r="A15" s="6">
        <v>45505</v>
      </c>
      <c r="C15" s="1">
        <v>10659.14</v>
      </c>
      <c r="E15" s="7">
        <f t="shared" si="3"/>
        <v>9.4538367383821598E-2</v>
      </c>
      <c r="F15" s="1">
        <v>1010.34</v>
      </c>
      <c r="G15" s="7">
        <f t="shared" si="4"/>
        <v>0.10374719668777879</v>
      </c>
      <c r="I15" s="1">
        <v>135071.56</v>
      </c>
      <c r="J15" s="1"/>
      <c r="K15" s="7">
        <f t="shared" si="2"/>
        <v>-7.4265418146592932E-3</v>
      </c>
      <c r="L15" s="7"/>
      <c r="M15" s="1">
        <v>36464.86</v>
      </c>
      <c r="N15" s="1"/>
      <c r="O15" s="7">
        <f t="shared" si="5"/>
        <v>6.1181811567842859E-2</v>
      </c>
      <c r="P15" s="7"/>
      <c r="Q15" s="1">
        <v>462332.5</v>
      </c>
      <c r="R15" s="7">
        <f t="shared" si="0"/>
        <v>2.3485560371087066E-2</v>
      </c>
      <c r="T15" s="1">
        <f t="shared" si="1"/>
        <v>644528.06000000006</v>
      </c>
      <c r="U15" s="7">
        <f t="shared" si="6"/>
        <v>1.9973487224411057E-2</v>
      </c>
      <c r="V15" s="7">
        <f>T15/T8 -1</f>
        <v>-1.858653743899652E-2</v>
      </c>
    </row>
    <row r="16" spans="1:22">
      <c r="A16" s="6">
        <v>45536</v>
      </c>
      <c r="C16" s="1">
        <v>10937.37</v>
      </c>
      <c r="E16" s="7">
        <f t="shared" si="3"/>
        <v>2.6102481063200456E-2</v>
      </c>
      <c r="F16" s="1">
        <v>439.23</v>
      </c>
      <c r="G16" s="7">
        <f t="shared" si="4"/>
        <v>4.1206889111129047E-2</v>
      </c>
      <c r="I16" s="1">
        <v>106541.36</v>
      </c>
      <c r="J16" s="1"/>
      <c r="K16" s="7">
        <f t="shared" si="2"/>
        <v>-0.21122285105761718</v>
      </c>
      <c r="L16" s="7"/>
      <c r="M16" s="1">
        <v>32653.07</v>
      </c>
      <c r="N16" s="1"/>
      <c r="O16" s="7">
        <f t="shared" si="5"/>
        <v>-0.10453324104356909</v>
      </c>
      <c r="P16" s="7"/>
      <c r="Q16" s="1">
        <v>461993.81</v>
      </c>
      <c r="R16" s="7">
        <f t="shared" si="0"/>
        <v>-7.3256801111754033E-4</v>
      </c>
      <c r="T16" s="1">
        <f t="shared" si="1"/>
        <v>612125.61</v>
      </c>
      <c r="U16" s="7">
        <f t="shared" si="6"/>
        <v>-5.0273140939744443E-2</v>
      </c>
      <c r="V16" s="7">
        <f>T16/T8 -1</f>
        <v>-6.7925274762488441E-2</v>
      </c>
    </row>
    <row r="17" spans="1:22">
      <c r="A17" s="6">
        <v>45566</v>
      </c>
      <c r="C17" s="1">
        <v>11655.41</v>
      </c>
      <c r="E17" s="7">
        <f t="shared" si="3"/>
        <v>6.5650151727517647E-2</v>
      </c>
      <c r="F17" s="1">
        <v>543.11</v>
      </c>
      <c r="G17" s="7">
        <f t="shared" si="4"/>
        <v>4.9656361629898227E-2</v>
      </c>
      <c r="I17" s="1">
        <v>114390.96</v>
      </c>
      <c r="J17" s="1"/>
      <c r="K17" s="7">
        <f t="shared" si="2"/>
        <v>7.3676551528908618E-2</v>
      </c>
      <c r="L17" s="7"/>
      <c r="M17" s="1">
        <v>33829</v>
      </c>
      <c r="N17" s="1"/>
      <c r="O17" s="7">
        <f t="shared" si="5"/>
        <v>3.6012846571547463E-2</v>
      </c>
      <c r="P17" s="7"/>
      <c r="Q17" s="1">
        <v>472925.25</v>
      </c>
      <c r="R17" s="7">
        <f t="shared" si="0"/>
        <v>2.3661442563483792E-2</v>
      </c>
      <c r="T17" s="1">
        <f t="shared" si="1"/>
        <v>632800.62</v>
      </c>
      <c r="U17" s="7">
        <f t="shared" si="6"/>
        <v>3.3775763768485456E-2</v>
      </c>
      <c r="V17" s="7">
        <f>T17/T8 -1</f>
        <v>-3.6443739028290345E-2</v>
      </c>
    </row>
    <row r="18" spans="1:22">
      <c r="A18" s="6">
        <v>45597</v>
      </c>
      <c r="C18" s="1">
        <v>11264.22</v>
      </c>
      <c r="E18" s="7">
        <f t="shared" si="3"/>
        <v>-3.3562954885328011E-2</v>
      </c>
      <c r="F18" s="1">
        <v>179.93</v>
      </c>
      <c r="G18" s="7">
        <f t="shared" si="4"/>
        <v>1.5437466378274124E-2</v>
      </c>
      <c r="I18" s="81">
        <v>102693.44</v>
      </c>
      <c r="J18" s="1">
        <v>-2360.6999999999998</v>
      </c>
      <c r="K18" s="7">
        <f t="shared" si="2"/>
        <v>-8.1622009291643427E-2</v>
      </c>
      <c r="L18" s="7"/>
      <c r="M18" s="45">
        <v>27361.07</v>
      </c>
      <c r="N18" s="1">
        <v>-1639.3</v>
      </c>
      <c r="O18" s="7">
        <f t="shared" si="5"/>
        <v>-0.14273640958940559</v>
      </c>
      <c r="P18" s="7"/>
      <c r="Q18" s="1">
        <v>472270.6</v>
      </c>
      <c r="R18" s="7">
        <f t="shared" si="0"/>
        <v>-1.3842568143697109E-3</v>
      </c>
      <c r="T18" s="1">
        <f t="shared" si="1"/>
        <v>613589.32999999996</v>
      </c>
      <c r="U18" s="7">
        <f t="shared" si="6"/>
        <v>-3.0359151670869111E-2</v>
      </c>
      <c r="V18" s="7">
        <f>T18/T8 -1</f>
        <v>-6.5696489698546134E-2</v>
      </c>
    </row>
    <row r="19" spans="1:22">
      <c r="A19" s="6">
        <v>45627</v>
      </c>
      <c r="C19" s="71">
        <v>12805.16</v>
      </c>
      <c r="E19" s="88">
        <f t="shared" si="3"/>
        <v>0.13679952983872834</v>
      </c>
      <c r="F19" s="1">
        <v>373.61</v>
      </c>
      <c r="G19" s="7">
        <f t="shared" si="4"/>
        <v>3.3167853610813709E-2</v>
      </c>
      <c r="I19" s="1">
        <v>112073</v>
      </c>
      <c r="J19" s="1">
        <v>-4007.9</v>
      </c>
      <c r="K19" s="88">
        <f t="shared" si="2"/>
        <v>0.13036334161169383</v>
      </c>
      <c r="L19" s="7"/>
      <c r="M19" s="1">
        <v>30482.71</v>
      </c>
      <c r="N19" s="1"/>
      <c r="O19" s="88">
        <f t="shared" si="5"/>
        <v>0.11409056736450718</v>
      </c>
      <c r="P19" s="7"/>
      <c r="Q19" s="101">
        <v>491397.32</v>
      </c>
      <c r="R19" s="7">
        <f t="shared" si="0"/>
        <v>4.0499493298968847E-2</v>
      </c>
      <c r="T19" s="1">
        <f t="shared" si="1"/>
        <v>646758.18999999994</v>
      </c>
      <c r="U19" s="7">
        <f t="shared" si="6"/>
        <v>5.4057100373632538E-2</v>
      </c>
      <c r="V19" s="7">
        <f>T19/T8 -1</f>
        <v>-1.5190751062743146E-2</v>
      </c>
    </row>
    <row r="20" spans="1:22">
      <c r="A20" s="6">
        <v>45292</v>
      </c>
      <c r="C20" s="1">
        <v>12345.33</v>
      </c>
      <c r="E20" s="7">
        <f t="shared" si="3"/>
        <v>-3.5909742635000241E-2</v>
      </c>
      <c r="F20" s="1">
        <v>98.13</v>
      </c>
      <c r="G20" s="7">
        <f t="shared" si="4"/>
        <v>7.6633169753443139E-3</v>
      </c>
      <c r="I20" s="1">
        <v>95999.4</v>
      </c>
      <c r="J20" s="1">
        <v>-2433.67</v>
      </c>
      <c r="K20" s="7">
        <f>((I20-J20)/I19) -1</f>
        <v>-0.12170576320790916</v>
      </c>
      <c r="L20" s="7"/>
      <c r="M20" s="1">
        <v>26492.47</v>
      </c>
      <c r="N20" s="1"/>
      <c r="O20" s="7">
        <f t="shared" si="5"/>
        <v>-0.1309017472527868</v>
      </c>
      <c r="P20" s="7"/>
      <c r="Q20" s="1">
        <v>470401.19</v>
      </c>
      <c r="R20" s="7">
        <f t="shared" si="0"/>
        <v>-4.2727400304096053E-2</v>
      </c>
      <c r="T20" s="1">
        <f>C20 + I20 + M20 + Q20</f>
        <v>605238.39</v>
      </c>
      <c r="U20" s="7">
        <f t="shared" si="6"/>
        <v>-6.4196790457342279E-2</v>
      </c>
      <c r="V20" s="7">
        <f>T20/T8 -1</f>
        <v>-7.8412344057220751E-2</v>
      </c>
    </row>
    <row r="21" spans="1:22">
      <c r="C21" s="1"/>
      <c r="E21" s="7"/>
      <c r="I21" s="1"/>
      <c r="J21" s="1"/>
      <c r="K21" s="7"/>
      <c r="L21" s="7"/>
      <c r="M21" s="1"/>
      <c r="N21" s="1"/>
      <c r="O21" s="7"/>
      <c r="P21" s="7"/>
    </row>
    <row r="22" spans="1:22">
      <c r="C22" s="1"/>
      <c r="E22" s="7"/>
      <c r="I22" s="1"/>
      <c r="J22" s="1"/>
      <c r="K22" s="7"/>
      <c r="L22" s="7"/>
      <c r="M22" s="1"/>
      <c r="N22" s="1"/>
      <c r="O22" s="7"/>
      <c r="P22" s="7"/>
    </row>
    <row r="23" spans="1:22">
      <c r="C23" s="1">
        <f>SUM(-C8,C20)</f>
        <v>2150.8999999999996</v>
      </c>
      <c r="D23" s="1">
        <f>SUM(D9:D21)</f>
        <v>0</v>
      </c>
      <c r="E23" s="7">
        <f>( (C20-D23)/C8 -1)</f>
        <v>0.2109877648872962</v>
      </c>
      <c r="F23" s="1">
        <f>SUM(F9:F21)</f>
        <v>3195.9800000000005</v>
      </c>
      <c r="G23" s="7">
        <f>F23/C23</f>
        <v>1.4858803291645362</v>
      </c>
      <c r="I23" s="1">
        <f>SUM(-I8,I20,-J23)</f>
        <v>-81903.38</v>
      </c>
      <c r="J23" s="1">
        <f>SUM(J9:J21)</f>
        <v>-15760.72</v>
      </c>
      <c r="K23" s="7">
        <f>((I20 - J23)/I8) -1</f>
        <v>-0.42291593408153838</v>
      </c>
      <c r="L23" s="7"/>
      <c r="M23" s="1">
        <f>SUM(M20-N23,-M8)</f>
        <v>-18725.5</v>
      </c>
      <c r="N23" s="1">
        <f>SUM(N9:N21)</f>
        <v>-8680.85</v>
      </c>
      <c r="O23" s="7">
        <f>((M20-N23)/M8) -1</f>
        <v>-0.34741947968434184</v>
      </c>
      <c r="P23" s="7"/>
      <c r="Q23" s="1">
        <f>(Q20- Q8)</f>
        <v>71423.460000000021</v>
      </c>
      <c r="R23" s="7">
        <f>(Q20/Q8) -1</f>
        <v>0.17901615711734098</v>
      </c>
      <c r="T23" s="1">
        <f>(T20- T8 - N23 - J23)</f>
        <v>-27054.519999999968</v>
      </c>
      <c r="U23" s="7">
        <f>(T20-N23-J23)/T8 -1</f>
        <v>-4.1195522427876829E-2</v>
      </c>
    </row>
    <row r="24" spans="1:22">
      <c r="E24" s="7"/>
      <c r="I24" s="1"/>
      <c r="J24" s="1"/>
      <c r="K24" s="7"/>
      <c r="L24" s="7"/>
      <c r="M24" s="1"/>
      <c r="N24" s="1"/>
      <c r="O24" s="7"/>
      <c r="P24" s="7"/>
      <c r="T24" s="1"/>
      <c r="U24" s="7"/>
    </row>
    <row r="25" spans="1:22">
      <c r="C25" s="1">
        <f>SUM(-C3,C20)</f>
        <v>11436.43</v>
      </c>
      <c r="D25" s="1">
        <f>SUM(D4:D22)</f>
        <v>11172.87</v>
      </c>
      <c r="E25" s="7">
        <f xml:space="preserve"> (C20-D25)/C3 -1</f>
        <v>0.2899768951479802</v>
      </c>
      <c r="F25" s="1">
        <f>SUM(F4:F22)</f>
        <v>-2012.6600000000017</v>
      </c>
      <c r="G25" s="7">
        <f>F25/(C20-C3)</f>
        <v>-0.17598673711988808</v>
      </c>
      <c r="I25" s="1">
        <f>SUM(-I3,I20, -J25)</f>
        <v>98657.469999999987</v>
      </c>
      <c r="J25" s="1">
        <f>SUM(J4:J22)</f>
        <v>-78163.39</v>
      </c>
      <c r="K25" s="7">
        <f>((I20-J25)/I3 -1)</f>
        <v>1.3066293871743073</v>
      </c>
      <c r="L25" s="7"/>
      <c r="M25" s="1">
        <f>SUM(-M3-N25,M20)</f>
        <v>-69032.470000000016</v>
      </c>
      <c r="N25" s="1">
        <f>SUM(N4:N22)</f>
        <v>95524.940000000017</v>
      </c>
      <c r="O25" s="7">
        <f>(M20/N25) -1</f>
        <v>-0.72266436388235367</v>
      </c>
      <c r="P25" s="7"/>
      <c r="Q25" s="1">
        <f>(Q20- Q3)</f>
        <v>345856.48</v>
      </c>
      <c r="R25" s="7">
        <f>Q20/Q3 -1</f>
        <v>2.7769664404052166</v>
      </c>
      <c r="T25" s="1">
        <f>(T20 - T3 - N25)</f>
        <v>308754.52</v>
      </c>
      <c r="U25" s="7">
        <f>(T20-N25-J25)/T3 -1</f>
        <v>1.9253581316341601</v>
      </c>
    </row>
    <row r="26" spans="1:22">
      <c r="E26" s="7">
        <f>(C20/C3 -1)</f>
        <v>12.582715370227747</v>
      </c>
      <c r="I26" s="1"/>
      <c r="J26" s="1"/>
      <c r="K26" s="7"/>
      <c r="L26" s="7"/>
      <c r="M26" s="1"/>
      <c r="N26" s="1"/>
      <c r="O26" s="7"/>
      <c r="P26" s="7"/>
    </row>
    <row r="27" spans="1:22">
      <c r="E27" s="7"/>
      <c r="I27" s="1"/>
      <c r="J27" s="1"/>
      <c r="K27" s="7"/>
      <c r="L27" s="7"/>
      <c r="M27" s="1"/>
      <c r="N27" s="1"/>
      <c r="O27" s="7"/>
      <c r="P27" s="7"/>
    </row>
    <row r="28" spans="1:22">
      <c r="E28" s="7">
        <f>AVERAGE(E9:E20)</f>
        <v>1.8931592194286629E-2</v>
      </c>
      <c r="G28" s="7">
        <f>AVERAGE(G9:G20)</f>
        <v>2.5692825719072786E-2</v>
      </c>
      <c r="I28" s="1"/>
      <c r="J28" s="1"/>
      <c r="K28" s="7">
        <f>AVERAGE(K9:K20)</f>
        <v>-3.6777137018566032E-2</v>
      </c>
      <c r="L28" s="7"/>
      <c r="M28" s="1"/>
      <c r="N28" s="1"/>
      <c r="O28" s="7">
        <f>AVERAGE(O9:O20)</f>
        <v>-3.4520300020373061E-2</v>
      </c>
      <c r="P28" s="7"/>
      <c r="R28" s="7">
        <f>AVERAGE(R9:R20)</f>
        <v>1.4339013505445475E-2</v>
      </c>
      <c r="U28" s="7">
        <f>AVERAGE(U9:U20)</f>
        <v>-5.0022009749416769E-3</v>
      </c>
    </row>
    <row r="29" spans="1:22">
      <c r="E29" s="7"/>
      <c r="I29" s="1"/>
      <c r="J29" s="1"/>
      <c r="K29" s="7"/>
      <c r="L29" s="7"/>
      <c r="M29" s="7"/>
      <c r="N29" s="7"/>
    </row>
    <row r="30" spans="1:22">
      <c r="E30" s="7"/>
      <c r="I30" s="1"/>
      <c r="J30" s="1"/>
      <c r="K30" s="7"/>
      <c r="L30" s="7"/>
      <c r="M30" s="7"/>
      <c r="N30" s="1">
        <v>1560</v>
      </c>
    </row>
    <row r="31" spans="1:22">
      <c r="E31" s="7"/>
      <c r="I31" s="1"/>
      <c r="J31" s="1"/>
      <c r="K31" s="7"/>
      <c r="L31" s="7"/>
      <c r="M31" s="7"/>
      <c r="N31" s="7"/>
    </row>
    <row r="32" spans="1:22">
      <c r="E32" s="7"/>
      <c r="I32" s="1"/>
      <c r="J32" s="1"/>
      <c r="K32" s="7"/>
      <c r="L32" s="7"/>
      <c r="M32" s="7"/>
      <c r="N32" s="7"/>
    </row>
    <row r="33" spans="3:20">
      <c r="C33" s="1"/>
      <c r="D33"/>
      <c r="E33" s="1"/>
      <c r="F33"/>
      <c r="N33" s="2"/>
      <c r="O33" s="1"/>
      <c r="Q33"/>
      <c r="R33"/>
    </row>
    <row r="34" spans="3:20">
      <c r="P34" s="1"/>
      <c r="Q34"/>
      <c r="R34"/>
    </row>
    <row r="35" spans="3:20">
      <c r="P35" s="1"/>
      <c r="Q35"/>
      <c r="R35"/>
    </row>
    <row r="36" spans="3:20">
      <c r="Q36"/>
      <c r="R36"/>
      <c r="S36" s="1"/>
      <c r="T36" s="1"/>
    </row>
    <row r="37" spans="3:20">
      <c r="P37" s="1"/>
      <c r="Q37"/>
      <c r="R37"/>
    </row>
    <row r="38" spans="3:20">
      <c r="P38" s="1"/>
      <c r="Q38"/>
      <c r="R38"/>
    </row>
    <row r="39" spans="3:20">
      <c r="P39" s="1"/>
      <c r="Q39"/>
      <c r="R39"/>
    </row>
    <row r="40" spans="3:20">
      <c r="P40" s="1"/>
      <c r="Q40"/>
      <c r="R40"/>
    </row>
    <row r="41" spans="3:20">
      <c r="P41" s="1"/>
      <c r="Q41"/>
      <c r="R41"/>
    </row>
    <row r="42" spans="3:20">
      <c r="P42" s="1"/>
      <c r="Q42"/>
      <c r="R42"/>
    </row>
    <row r="43" spans="3:20">
      <c r="P43" s="1"/>
      <c r="Q43"/>
      <c r="R43"/>
    </row>
    <row r="44" spans="3:20">
      <c r="P44" s="1"/>
      <c r="Q44"/>
      <c r="R44"/>
    </row>
    <row r="45" spans="3:20">
      <c r="P45" s="1"/>
      <c r="Q45"/>
      <c r="R45"/>
    </row>
    <row r="46" spans="3:20">
      <c r="P46" s="1"/>
      <c r="Q46"/>
      <c r="R46"/>
    </row>
    <row r="47" spans="3:20">
      <c r="P47" s="1"/>
      <c r="Q47"/>
      <c r="R47"/>
    </row>
    <row r="48" spans="3:20">
      <c r="P48" s="1"/>
      <c r="Q48"/>
      <c r="R48"/>
    </row>
    <row r="49" spans="15:18">
      <c r="P49" s="1"/>
      <c r="Q49"/>
      <c r="R49"/>
    </row>
    <row r="50" spans="15:18">
      <c r="P50" s="1"/>
      <c r="Q50"/>
      <c r="R50"/>
    </row>
    <row r="51" spans="15:18">
      <c r="P51" s="1"/>
      <c r="Q51"/>
      <c r="R51"/>
    </row>
    <row r="52" spans="15:18">
      <c r="P52" s="1"/>
      <c r="Q52"/>
      <c r="R52"/>
    </row>
    <row r="53" spans="15:18">
      <c r="P53" s="1"/>
      <c r="Q53"/>
      <c r="R53"/>
    </row>
    <row r="54" spans="15:18">
      <c r="P54" s="1"/>
      <c r="Q54"/>
      <c r="R54"/>
    </row>
    <row r="55" spans="15:18">
      <c r="P55" s="1"/>
      <c r="Q55"/>
      <c r="R55"/>
    </row>
    <row r="56" spans="15:18">
      <c r="P56" s="1"/>
      <c r="Q56"/>
      <c r="R56"/>
    </row>
    <row r="57" spans="15:18">
      <c r="P57" s="1"/>
      <c r="Q57"/>
      <c r="R57"/>
    </row>
    <row r="58" spans="15:18">
      <c r="P58" s="1"/>
      <c r="Q58"/>
      <c r="R58"/>
    </row>
    <row r="59" spans="15:18">
      <c r="P59" s="1"/>
      <c r="Q59"/>
      <c r="R59"/>
    </row>
    <row r="60" spans="15:18">
      <c r="O60" s="1"/>
      <c r="P60" s="1"/>
      <c r="Q60"/>
      <c r="R60"/>
    </row>
    <row r="61" spans="15:18">
      <c r="O61" s="1"/>
      <c r="P61" s="1"/>
      <c r="Q61"/>
      <c r="R61"/>
    </row>
    <row r="62" spans="15:18">
      <c r="O62" s="1"/>
      <c r="P62" s="1"/>
      <c r="Q62"/>
      <c r="R62"/>
    </row>
    <row r="63" spans="15:18">
      <c r="O63" s="1"/>
      <c r="P63" s="1"/>
      <c r="Q63"/>
      <c r="R63"/>
    </row>
    <row r="64" spans="15:18">
      <c r="O64" s="1"/>
      <c r="P64" s="1"/>
      <c r="Q64"/>
      <c r="R64"/>
    </row>
    <row r="65" spans="15:18">
      <c r="O65" s="1"/>
      <c r="P65" s="1"/>
      <c r="Q65"/>
      <c r="R65"/>
    </row>
    <row r="66" spans="15:18">
      <c r="O66" s="1"/>
      <c r="P66" s="1"/>
      <c r="Q66"/>
      <c r="R66"/>
    </row>
    <row r="67" spans="15:18">
      <c r="O67" s="1"/>
      <c r="P67" s="1"/>
      <c r="Q67"/>
      <c r="R67"/>
    </row>
    <row r="68" spans="15:18">
      <c r="O68" s="1"/>
      <c r="P68" s="1"/>
      <c r="Q68"/>
      <c r="R68"/>
    </row>
    <row r="69" spans="15:18">
      <c r="O69" s="1"/>
      <c r="P69" s="1"/>
      <c r="Q69"/>
      <c r="R69"/>
    </row>
    <row r="70" spans="15:18">
      <c r="O70" s="1"/>
      <c r="P70" s="1"/>
      <c r="Q70"/>
      <c r="R70"/>
    </row>
    <row r="71" spans="15:18">
      <c r="O71" s="1"/>
      <c r="P71" s="1"/>
      <c r="Q71"/>
      <c r="R71"/>
    </row>
    <row r="72" spans="15:18">
      <c r="O72" s="1"/>
      <c r="P72" s="1"/>
      <c r="Q72"/>
      <c r="R72"/>
    </row>
    <row r="73" spans="15:18">
      <c r="O73" s="1"/>
      <c r="P73" s="1"/>
      <c r="Q73"/>
      <c r="R73"/>
    </row>
    <row r="74" spans="15:18">
      <c r="O74" s="1"/>
      <c r="P74" s="1"/>
      <c r="Q74"/>
      <c r="R74"/>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7D1B-DB3B-4F2B-904B-3276CEB72CB6}">
  <dimension ref="A2:V75"/>
  <sheetViews>
    <sheetView zoomScale="84" zoomScaleNormal="84" workbookViewId="0">
      <selection activeCell="L33" sqref="L33"/>
    </sheetView>
  </sheetViews>
  <sheetFormatPr defaultRowHeight="15"/>
  <cols>
    <col min="1" max="1" width="9.7109375" bestFit="1" customWidth="1"/>
    <col min="2" max="2" width="3.140625" customWidth="1"/>
    <col min="3" max="3" width="10.85546875" bestFit="1" customWidth="1"/>
    <col min="4" max="4" width="10.140625" style="1" bestFit="1" customWidth="1"/>
    <col min="5" max="5" width="17" bestFit="1" customWidth="1"/>
    <col min="6" max="6" width="15.85546875" style="1" bestFit="1" customWidth="1"/>
    <col min="7" max="7" width="11" customWidth="1"/>
    <col min="8" max="8" width="12.28515625" bestFit="1" customWidth="1"/>
    <col min="9" max="9" width="14.140625" bestFit="1" customWidth="1"/>
    <col min="10" max="10" width="11.85546875" bestFit="1" customWidth="1"/>
    <col min="11" max="11" width="8.85546875" bestFit="1" customWidth="1"/>
    <col min="12" max="12" width="11.140625" bestFit="1" customWidth="1"/>
    <col min="13" max="13" width="12.7109375" bestFit="1" customWidth="1"/>
    <col min="14" max="14" width="11.85546875" bestFit="1" customWidth="1"/>
    <col min="15" max="15" width="8.85546875" bestFit="1" customWidth="1"/>
    <col min="17" max="17" width="12.7109375" style="1" bestFit="1" customWidth="1"/>
    <col min="18" max="18" width="8.85546875" style="1" bestFit="1" customWidth="1"/>
    <col min="20" max="20" width="11.85546875" bestFit="1" customWidth="1"/>
    <col min="21" max="21" width="8.140625" bestFit="1" customWidth="1"/>
    <col min="22" max="22" width="13.42578125" bestFit="1" customWidth="1"/>
    <col min="23" max="23" width="8.28515625" customWidth="1"/>
    <col min="24" max="24" width="7" customWidth="1"/>
    <col min="259" max="259" width="11.140625" bestFit="1" customWidth="1"/>
    <col min="260" max="260" width="10.7109375" bestFit="1" customWidth="1"/>
    <col min="261" max="261" width="16.85546875" bestFit="1" customWidth="1"/>
    <col min="262" max="262" width="15" bestFit="1" customWidth="1"/>
    <col min="263" max="263" width="11.28515625" bestFit="1" customWidth="1"/>
    <col min="264" max="265" width="11.140625" bestFit="1" customWidth="1"/>
    <col min="266" max="266" width="10.7109375" bestFit="1" customWidth="1"/>
    <col min="267" max="268" width="11.140625" bestFit="1" customWidth="1"/>
    <col min="269" max="269" width="12.7109375" bestFit="1" customWidth="1"/>
    <col min="270" max="270" width="11.140625" bestFit="1" customWidth="1"/>
    <col min="271" max="271" width="13.42578125" bestFit="1" customWidth="1"/>
    <col min="273" max="274" width="11.7109375" customWidth="1"/>
    <col min="276" max="276" width="15.85546875" customWidth="1"/>
    <col min="278" max="278" width="11.140625" bestFit="1" customWidth="1"/>
    <col min="279" max="279" width="8.28515625" customWidth="1"/>
    <col min="280" max="280" width="7" customWidth="1"/>
    <col min="515" max="515" width="11.140625" bestFit="1" customWidth="1"/>
    <col min="516" max="516" width="10.7109375" bestFit="1" customWidth="1"/>
    <col min="517" max="517" width="16.85546875" bestFit="1" customWidth="1"/>
    <col min="518" max="518" width="15" bestFit="1" customWidth="1"/>
    <col min="519" max="519" width="11.28515625" bestFit="1" customWidth="1"/>
    <col min="520" max="521" width="11.140625" bestFit="1" customWidth="1"/>
    <col min="522" max="522" width="10.7109375" bestFit="1" customWidth="1"/>
    <col min="523" max="524" width="11.140625" bestFit="1" customWidth="1"/>
    <col min="525" max="525" width="12.7109375" bestFit="1" customWidth="1"/>
    <col min="526" max="526" width="11.140625" bestFit="1" customWidth="1"/>
    <col min="527" max="527" width="13.42578125" bestFit="1" customWidth="1"/>
    <col min="529" max="530" width="11.7109375" customWidth="1"/>
    <col min="532" max="532" width="15.85546875" customWidth="1"/>
    <col min="534" max="534" width="11.140625" bestFit="1" customWidth="1"/>
    <col min="535" max="535" width="8.28515625" customWidth="1"/>
    <col min="536" max="536" width="7" customWidth="1"/>
    <col min="771" max="771" width="11.140625" bestFit="1" customWidth="1"/>
    <col min="772" max="772" width="10.7109375" bestFit="1" customWidth="1"/>
    <col min="773" max="773" width="16.85546875" bestFit="1" customWidth="1"/>
    <col min="774" max="774" width="15" bestFit="1" customWidth="1"/>
    <col min="775" max="775" width="11.28515625" bestFit="1" customWidth="1"/>
    <col min="776" max="777" width="11.140625" bestFit="1" customWidth="1"/>
    <col min="778" max="778" width="10.7109375" bestFit="1" customWidth="1"/>
    <col min="779" max="780" width="11.140625" bestFit="1" customWidth="1"/>
    <col min="781" max="781" width="12.7109375" bestFit="1" customWidth="1"/>
    <col min="782" max="782" width="11.140625" bestFit="1" customWidth="1"/>
    <col min="783" max="783" width="13.42578125" bestFit="1" customWidth="1"/>
    <col min="785" max="786" width="11.7109375" customWidth="1"/>
    <col min="788" max="788" width="15.85546875" customWidth="1"/>
    <col min="790" max="790" width="11.140625" bestFit="1" customWidth="1"/>
    <col min="791" max="791" width="8.28515625" customWidth="1"/>
    <col min="792" max="792" width="7" customWidth="1"/>
    <col min="1027" max="1027" width="11.140625" bestFit="1" customWidth="1"/>
    <col min="1028" max="1028" width="10.7109375" bestFit="1" customWidth="1"/>
    <col min="1029" max="1029" width="16.85546875" bestFit="1" customWidth="1"/>
    <col min="1030" max="1030" width="15" bestFit="1" customWidth="1"/>
    <col min="1031" max="1031" width="11.28515625" bestFit="1" customWidth="1"/>
    <col min="1032" max="1033" width="11.140625" bestFit="1" customWidth="1"/>
    <col min="1034" max="1034" width="10.7109375" bestFit="1" customWidth="1"/>
    <col min="1035" max="1036" width="11.140625" bestFit="1" customWidth="1"/>
    <col min="1037" max="1037" width="12.7109375" bestFit="1" customWidth="1"/>
    <col min="1038" max="1038" width="11.140625" bestFit="1" customWidth="1"/>
    <col min="1039" max="1039" width="13.42578125" bestFit="1" customWidth="1"/>
    <col min="1041" max="1042" width="11.7109375" customWidth="1"/>
    <col min="1044" max="1044" width="15.85546875" customWidth="1"/>
    <col min="1046" max="1046" width="11.140625" bestFit="1" customWidth="1"/>
    <col min="1047" max="1047" width="8.28515625" customWidth="1"/>
    <col min="1048" max="1048" width="7" customWidth="1"/>
    <col min="1283" max="1283" width="11.140625" bestFit="1" customWidth="1"/>
    <col min="1284" max="1284" width="10.7109375" bestFit="1" customWidth="1"/>
    <col min="1285" max="1285" width="16.85546875" bestFit="1" customWidth="1"/>
    <col min="1286" max="1286" width="15" bestFit="1" customWidth="1"/>
    <col min="1287" max="1287" width="11.28515625" bestFit="1" customWidth="1"/>
    <col min="1288" max="1289" width="11.140625" bestFit="1" customWidth="1"/>
    <col min="1290" max="1290" width="10.7109375" bestFit="1" customWidth="1"/>
    <col min="1291" max="1292" width="11.140625" bestFit="1" customWidth="1"/>
    <col min="1293" max="1293" width="12.7109375" bestFit="1" customWidth="1"/>
    <col min="1294" max="1294" width="11.140625" bestFit="1" customWidth="1"/>
    <col min="1295" max="1295" width="13.42578125" bestFit="1" customWidth="1"/>
    <col min="1297" max="1298" width="11.7109375" customWidth="1"/>
    <col min="1300" max="1300" width="15.85546875" customWidth="1"/>
    <col min="1302" max="1302" width="11.140625" bestFit="1" customWidth="1"/>
    <col min="1303" max="1303" width="8.28515625" customWidth="1"/>
    <col min="1304" max="1304" width="7" customWidth="1"/>
    <col min="1539" max="1539" width="11.140625" bestFit="1" customWidth="1"/>
    <col min="1540" max="1540" width="10.7109375" bestFit="1" customWidth="1"/>
    <col min="1541" max="1541" width="16.85546875" bestFit="1" customWidth="1"/>
    <col min="1542" max="1542" width="15" bestFit="1" customWidth="1"/>
    <col min="1543" max="1543" width="11.28515625" bestFit="1" customWidth="1"/>
    <col min="1544" max="1545" width="11.140625" bestFit="1" customWidth="1"/>
    <col min="1546" max="1546" width="10.7109375" bestFit="1" customWidth="1"/>
    <col min="1547" max="1548" width="11.140625" bestFit="1" customWidth="1"/>
    <col min="1549" max="1549" width="12.7109375" bestFit="1" customWidth="1"/>
    <col min="1550" max="1550" width="11.140625" bestFit="1" customWidth="1"/>
    <col min="1551" max="1551" width="13.42578125" bestFit="1" customWidth="1"/>
    <col min="1553" max="1554" width="11.7109375" customWidth="1"/>
    <col min="1556" max="1556" width="15.85546875" customWidth="1"/>
    <col min="1558" max="1558" width="11.140625" bestFit="1" customWidth="1"/>
    <col min="1559" max="1559" width="8.28515625" customWidth="1"/>
    <col min="1560" max="1560" width="7" customWidth="1"/>
    <col min="1795" max="1795" width="11.140625" bestFit="1" customWidth="1"/>
    <col min="1796" max="1796" width="10.7109375" bestFit="1" customWidth="1"/>
    <col min="1797" max="1797" width="16.85546875" bestFit="1" customWidth="1"/>
    <col min="1798" max="1798" width="15" bestFit="1" customWidth="1"/>
    <col min="1799" max="1799" width="11.28515625" bestFit="1" customWidth="1"/>
    <col min="1800" max="1801" width="11.140625" bestFit="1" customWidth="1"/>
    <col min="1802" max="1802" width="10.7109375" bestFit="1" customWidth="1"/>
    <col min="1803" max="1804" width="11.140625" bestFit="1" customWidth="1"/>
    <col min="1805" max="1805" width="12.7109375" bestFit="1" customWidth="1"/>
    <col min="1806" max="1806" width="11.140625" bestFit="1" customWidth="1"/>
    <col min="1807" max="1807" width="13.42578125" bestFit="1" customWidth="1"/>
    <col min="1809" max="1810" width="11.7109375" customWidth="1"/>
    <col min="1812" max="1812" width="15.85546875" customWidth="1"/>
    <col min="1814" max="1814" width="11.140625" bestFit="1" customWidth="1"/>
    <col min="1815" max="1815" width="8.28515625" customWidth="1"/>
    <col min="1816" max="1816" width="7" customWidth="1"/>
    <col min="2051" max="2051" width="11.140625" bestFit="1" customWidth="1"/>
    <col min="2052" max="2052" width="10.7109375" bestFit="1" customWidth="1"/>
    <col min="2053" max="2053" width="16.85546875" bestFit="1" customWidth="1"/>
    <col min="2054" max="2054" width="15" bestFit="1" customWidth="1"/>
    <col min="2055" max="2055" width="11.28515625" bestFit="1" customWidth="1"/>
    <col min="2056" max="2057" width="11.140625" bestFit="1" customWidth="1"/>
    <col min="2058" max="2058" width="10.7109375" bestFit="1" customWidth="1"/>
    <col min="2059" max="2060" width="11.140625" bestFit="1" customWidth="1"/>
    <col min="2061" max="2061" width="12.7109375" bestFit="1" customWidth="1"/>
    <col min="2062" max="2062" width="11.140625" bestFit="1" customWidth="1"/>
    <col min="2063" max="2063" width="13.42578125" bestFit="1" customWidth="1"/>
    <col min="2065" max="2066" width="11.7109375" customWidth="1"/>
    <col min="2068" max="2068" width="15.85546875" customWidth="1"/>
    <col min="2070" max="2070" width="11.140625" bestFit="1" customWidth="1"/>
    <col min="2071" max="2071" width="8.28515625" customWidth="1"/>
    <col min="2072" max="2072" width="7" customWidth="1"/>
    <col min="2307" max="2307" width="11.140625" bestFit="1" customWidth="1"/>
    <col min="2308" max="2308" width="10.7109375" bestFit="1" customWidth="1"/>
    <col min="2309" max="2309" width="16.85546875" bestFit="1" customWidth="1"/>
    <col min="2310" max="2310" width="15" bestFit="1" customWidth="1"/>
    <col min="2311" max="2311" width="11.28515625" bestFit="1" customWidth="1"/>
    <col min="2312" max="2313" width="11.140625" bestFit="1" customWidth="1"/>
    <col min="2314" max="2314" width="10.7109375" bestFit="1" customWidth="1"/>
    <col min="2315" max="2316" width="11.140625" bestFit="1" customWidth="1"/>
    <col min="2317" max="2317" width="12.7109375" bestFit="1" customWidth="1"/>
    <col min="2318" max="2318" width="11.140625" bestFit="1" customWidth="1"/>
    <col min="2319" max="2319" width="13.42578125" bestFit="1" customWidth="1"/>
    <col min="2321" max="2322" width="11.7109375" customWidth="1"/>
    <col min="2324" max="2324" width="15.85546875" customWidth="1"/>
    <col min="2326" max="2326" width="11.140625" bestFit="1" customWidth="1"/>
    <col min="2327" max="2327" width="8.28515625" customWidth="1"/>
    <col min="2328" max="2328" width="7" customWidth="1"/>
    <col min="2563" max="2563" width="11.140625" bestFit="1" customWidth="1"/>
    <col min="2564" max="2564" width="10.7109375" bestFit="1" customWidth="1"/>
    <col min="2565" max="2565" width="16.85546875" bestFit="1" customWidth="1"/>
    <col min="2566" max="2566" width="15" bestFit="1" customWidth="1"/>
    <col min="2567" max="2567" width="11.28515625" bestFit="1" customWidth="1"/>
    <col min="2568" max="2569" width="11.140625" bestFit="1" customWidth="1"/>
    <col min="2570" max="2570" width="10.7109375" bestFit="1" customWidth="1"/>
    <col min="2571" max="2572" width="11.140625" bestFit="1" customWidth="1"/>
    <col min="2573" max="2573" width="12.7109375" bestFit="1" customWidth="1"/>
    <col min="2574" max="2574" width="11.140625" bestFit="1" customWidth="1"/>
    <col min="2575" max="2575" width="13.42578125" bestFit="1" customWidth="1"/>
    <col min="2577" max="2578" width="11.7109375" customWidth="1"/>
    <col min="2580" max="2580" width="15.85546875" customWidth="1"/>
    <col min="2582" max="2582" width="11.140625" bestFit="1" customWidth="1"/>
    <col min="2583" max="2583" width="8.28515625" customWidth="1"/>
    <col min="2584" max="2584" width="7" customWidth="1"/>
    <col min="2819" max="2819" width="11.140625" bestFit="1" customWidth="1"/>
    <col min="2820" max="2820" width="10.7109375" bestFit="1" customWidth="1"/>
    <col min="2821" max="2821" width="16.85546875" bestFit="1" customWidth="1"/>
    <col min="2822" max="2822" width="15" bestFit="1" customWidth="1"/>
    <col min="2823" max="2823" width="11.28515625" bestFit="1" customWidth="1"/>
    <col min="2824" max="2825" width="11.140625" bestFit="1" customWidth="1"/>
    <col min="2826" max="2826" width="10.7109375" bestFit="1" customWidth="1"/>
    <col min="2827" max="2828" width="11.140625" bestFit="1" customWidth="1"/>
    <col min="2829" max="2829" width="12.7109375" bestFit="1" customWidth="1"/>
    <col min="2830" max="2830" width="11.140625" bestFit="1" customWidth="1"/>
    <col min="2831" max="2831" width="13.42578125" bestFit="1" customWidth="1"/>
    <col min="2833" max="2834" width="11.7109375" customWidth="1"/>
    <col min="2836" max="2836" width="15.85546875" customWidth="1"/>
    <col min="2838" max="2838" width="11.140625" bestFit="1" customWidth="1"/>
    <col min="2839" max="2839" width="8.28515625" customWidth="1"/>
    <col min="2840" max="2840" width="7" customWidth="1"/>
    <col min="3075" max="3075" width="11.140625" bestFit="1" customWidth="1"/>
    <col min="3076" max="3076" width="10.7109375" bestFit="1" customWidth="1"/>
    <col min="3077" max="3077" width="16.85546875" bestFit="1" customWidth="1"/>
    <col min="3078" max="3078" width="15" bestFit="1" customWidth="1"/>
    <col min="3079" max="3079" width="11.28515625" bestFit="1" customWidth="1"/>
    <col min="3080" max="3081" width="11.140625" bestFit="1" customWidth="1"/>
    <col min="3082" max="3082" width="10.7109375" bestFit="1" customWidth="1"/>
    <col min="3083" max="3084" width="11.140625" bestFit="1" customWidth="1"/>
    <col min="3085" max="3085" width="12.7109375" bestFit="1" customWidth="1"/>
    <col min="3086" max="3086" width="11.140625" bestFit="1" customWidth="1"/>
    <col min="3087" max="3087" width="13.42578125" bestFit="1" customWidth="1"/>
    <col min="3089" max="3090" width="11.7109375" customWidth="1"/>
    <col min="3092" max="3092" width="15.85546875" customWidth="1"/>
    <col min="3094" max="3094" width="11.140625" bestFit="1" customWidth="1"/>
    <col min="3095" max="3095" width="8.28515625" customWidth="1"/>
    <col min="3096" max="3096" width="7" customWidth="1"/>
    <col min="3331" max="3331" width="11.140625" bestFit="1" customWidth="1"/>
    <col min="3332" max="3332" width="10.7109375" bestFit="1" customWidth="1"/>
    <col min="3333" max="3333" width="16.85546875" bestFit="1" customWidth="1"/>
    <col min="3334" max="3334" width="15" bestFit="1" customWidth="1"/>
    <col min="3335" max="3335" width="11.28515625" bestFit="1" customWidth="1"/>
    <col min="3336" max="3337" width="11.140625" bestFit="1" customWidth="1"/>
    <col min="3338" max="3338" width="10.7109375" bestFit="1" customWidth="1"/>
    <col min="3339" max="3340" width="11.140625" bestFit="1" customWidth="1"/>
    <col min="3341" max="3341" width="12.7109375" bestFit="1" customWidth="1"/>
    <col min="3342" max="3342" width="11.140625" bestFit="1" customWidth="1"/>
    <col min="3343" max="3343" width="13.42578125" bestFit="1" customWidth="1"/>
    <col min="3345" max="3346" width="11.7109375" customWidth="1"/>
    <col min="3348" max="3348" width="15.85546875" customWidth="1"/>
    <col min="3350" max="3350" width="11.140625" bestFit="1" customWidth="1"/>
    <col min="3351" max="3351" width="8.28515625" customWidth="1"/>
    <col min="3352" max="3352" width="7" customWidth="1"/>
    <col min="3587" max="3587" width="11.140625" bestFit="1" customWidth="1"/>
    <col min="3588" max="3588" width="10.7109375" bestFit="1" customWidth="1"/>
    <col min="3589" max="3589" width="16.85546875" bestFit="1" customWidth="1"/>
    <col min="3590" max="3590" width="15" bestFit="1" customWidth="1"/>
    <col min="3591" max="3591" width="11.28515625" bestFit="1" customWidth="1"/>
    <col min="3592" max="3593" width="11.140625" bestFit="1" customWidth="1"/>
    <col min="3594" max="3594" width="10.7109375" bestFit="1" customWidth="1"/>
    <col min="3595" max="3596" width="11.140625" bestFit="1" customWidth="1"/>
    <col min="3597" max="3597" width="12.7109375" bestFit="1" customWidth="1"/>
    <col min="3598" max="3598" width="11.140625" bestFit="1" customWidth="1"/>
    <col min="3599" max="3599" width="13.42578125" bestFit="1" customWidth="1"/>
    <col min="3601" max="3602" width="11.7109375" customWidth="1"/>
    <col min="3604" max="3604" width="15.85546875" customWidth="1"/>
    <col min="3606" max="3606" width="11.140625" bestFit="1" customWidth="1"/>
    <col min="3607" max="3607" width="8.28515625" customWidth="1"/>
    <col min="3608" max="3608" width="7" customWidth="1"/>
    <col min="3843" max="3843" width="11.140625" bestFit="1" customWidth="1"/>
    <col min="3844" max="3844" width="10.7109375" bestFit="1" customWidth="1"/>
    <col min="3845" max="3845" width="16.85546875" bestFit="1" customWidth="1"/>
    <col min="3846" max="3846" width="15" bestFit="1" customWidth="1"/>
    <col min="3847" max="3847" width="11.28515625" bestFit="1" customWidth="1"/>
    <col min="3848" max="3849" width="11.140625" bestFit="1" customWidth="1"/>
    <col min="3850" max="3850" width="10.7109375" bestFit="1" customWidth="1"/>
    <col min="3851" max="3852" width="11.140625" bestFit="1" customWidth="1"/>
    <col min="3853" max="3853" width="12.7109375" bestFit="1" customWidth="1"/>
    <col min="3854" max="3854" width="11.140625" bestFit="1" customWidth="1"/>
    <col min="3855" max="3855" width="13.42578125" bestFit="1" customWidth="1"/>
    <col min="3857" max="3858" width="11.7109375" customWidth="1"/>
    <col min="3860" max="3860" width="15.85546875" customWidth="1"/>
    <col min="3862" max="3862" width="11.140625" bestFit="1" customWidth="1"/>
    <col min="3863" max="3863" width="8.28515625" customWidth="1"/>
    <col min="3864" max="3864" width="7" customWidth="1"/>
    <col min="4099" max="4099" width="11.140625" bestFit="1" customWidth="1"/>
    <col min="4100" max="4100" width="10.7109375" bestFit="1" customWidth="1"/>
    <col min="4101" max="4101" width="16.85546875" bestFit="1" customWidth="1"/>
    <col min="4102" max="4102" width="15" bestFit="1" customWidth="1"/>
    <col min="4103" max="4103" width="11.28515625" bestFit="1" customWidth="1"/>
    <col min="4104" max="4105" width="11.140625" bestFit="1" customWidth="1"/>
    <col min="4106" max="4106" width="10.7109375" bestFit="1" customWidth="1"/>
    <col min="4107" max="4108" width="11.140625" bestFit="1" customWidth="1"/>
    <col min="4109" max="4109" width="12.7109375" bestFit="1" customWidth="1"/>
    <col min="4110" max="4110" width="11.140625" bestFit="1" customWidth="1"/>
    <col min="4111" max="4111" width="13.42578125" bestFit="1" customWidth="1"/>
    <col min="4113" max="4114" width="11.7109375" customWidth="1"/>
    <col min="4116" max="4116" width="15.85546875" customWidth="1"/>
    <col min="4118" max="4118" width="11.140625" bestFit="1" customWidth="1"/>
    <col min="4119" max="4119" width="8.28515625" customWidth="1"/>
    <col min="4120" max="4120" width="7" customWidth="1"/>
    <col min="4355" max="4355" width="11.140625" bestFit="1" customWidth="1"/>
    <col min="4356" max="4356" width="10.7109375" bestFit="1" customWidth="1"/>
    <col min="4357" max="4357" width="16.85546875" bestFit="1" customWidth="1"/>
    <col min="4358" max="4358" width="15" bestFit="1" customWidth="1"/>
    <col min="4359" max="4359" width="11.28515625" bestFit="1" customWidth="1"/>
    <col min="4360" max="4361" width="11.140625" bestFit="1" customWidth="1"/>
    <col min="4362" max="4362" width="10.7109375" bestFit="1" customWidth="1"/>
    <col min="4363" max="4364" width="11.140625" bestFit="1" customWidth="1"/>
    <col min="4365" max="4365" width="12.7109375" bestFit="1" customWidth="1"/>
    <col min="4366" max="4366" width="11.140625" bestFit="1" customWidth="1"/>
    <col min="4367" max="4367" width="13.42578125" bestFit="1" customWidth="1"/>
    <col min="4369" max="4370" width="11.7109375" customWidth="1"/>
    <col min="4372" max="4372" width="15.85546875" customWidth="1"/>
    <col min="4374" max="4374" width="11.140625" bestFit="1" customWidth="1"/>
    <col min="4375" max="4375" width="8.28515625" customWidth="1"/>
    <col min="4376" max="4376" width="7" customWidth="1"/>
    <col min="4611" max="4611" width="11.140625" bestFit="1" customWidth="1"/>
    <col min="4612" max="4612" width="10.7109375" bestFit="1" customWidth="1"/>
    <col min="4613" max="4613" width="16.85546875" bestFit="1" customWidth="1"/>
    <col min="4614" max="4614" width="15" bestFit="1" customWidth="1"/>
    <col min="4615" max="4615" width="11.28515625" bestFit="1" customWidth="1"/>
    <col min="4616" max="4617" width="11.140625" bestFit="1" customWidth="1"/>
    <col min="4618" max="4618" width="10.7109375" bestFit="1" customWidth="1"/>
    <col min="4619" max="4620" width="11.140625" bestFit="1" customWidth="1"/>
    <col min="4621" max="4621" width="12.7109375" bestFit="1" customWidth="1"/>
    <col min="4622" max="4622" width="11.140625" bestFit="1" customWidth="1"/>
    <col min="4623" max="4623" width="13.42578125" bestFit="1" customWidth="1"/>
    <col min="4625" max="4626" width="11.7109375" customWidth="1"/>
    <col min="4628" max="4628" width="15.85546875" customWidth="1"/>
    <col min="4630" max="4630" width="11.140625" bestFit="1" customWidth="1"/>
    <col min="4631" max="4631" width="8.28515625" customWidth="1"/>
    <col min="4632" max="4632" width="7" customWidth="1"/>
    <col min="4867" max="4867" width="11.140625" bestFit="1" customWidth="1"/>
    <col min="4868" max="4868" width="10.7109375" bestFit="1" customWidth="1"/>
    <col min="4869" max="4869" width="16.85546875" bestFit="1" customWidth="1"/>
    <col min="4870" max="4870" width="15" bestFit="1" customWidth="1"/>
    <col min="4871" max="4871" width="11.28515625" bestFit="1" customWidth="1"/>
    <col min="4872" max="4873" width="11.140625" bestFit="1" customWidth="1"/>
    <col min="4874" max="4874" width="10.7109375" bestFit="1" customWidth="1"/>
    <col min="4875" max="4876" width="11.140625" bestFit="1" customWidth="1"/>
    <col min="4877" max="4877" width="12.7109375" bestFit="1" customWidth="1"/>
    <col min="4878" max="4878" width="11.140625" bestFit="1" customWidth="1"/>
    <col min="4879" max="4879" width="13.42578125" bestFit="1" customWidth="1"/>
    <col min="4881" max="4882" width="11.7109375" customWidth="1"/>
    <col min="4884" max="4884" width="15.85546875" customWidth="1"/>
    <col min="4886" max="4886" width="11.140625" bestFit="1" customWidth="1"/>
    <col min="4887" max="4887" width="8.28515625" customWidth="1"/>
    <col min="4888" max="4888" width="7" customWidth="1"/>
    <col min="5123" max="5123" width="11.140625" bestFit="1" customWidth="1"/>
    <col min="5124" max="5124" width="10.7109375" bestFit="1" customWidth="1"/>
    <col min="5125" max="5125" width="16.85546875" bestFit="1" customWidth="1"/>
    <col min="5126" max="5126" width="15" bestFit="1" customWidth="1"/>
    <col min="5127" max="5127" width="11.28515625" bestFit="1" customWidth="1"/>
    <col min="5128" max="5129" width="11.140625" bestFit="1" customWidth="1"/>
    <col min="5130" max="5130" width="10.7109375" bestFit="1" customWidth="1"/>
    <col min="5131" max="5132" width="11.140625" bestFit="1" customWidth="1"/>
    <col min="5133" max="5133" width="12.7109375" bestFit="1" customWidth="1"/>
    <col min="5134" max="5134" width="11.140625" bestFit="1" customWidth="1"/>
    <col min="5135" max="5135" width="13.42578125" bestFit="1" customWidth="1"/>
    <col min="5137" max="5138" width="11.7109375" customWidth="1"/>
    <col min="5140" max="5140" width="15.85546875" customWidth="1"/>
    <col min="5142" max="5142" width="11.140625" bestFit="1" customWidth="1"/>
    <col min="5143" max="5143" width="8.28515625" customWidth="1"/>
    <col min="5144" max="5144" width="7" customWidth="1"/>
    <col min="5379" max="5379" width="11.140625" bestFit="1" customWidth="1"/>
    <col min="5380" max="5380" width="10.7109375" bestFit="1" customWidth="1"/>
    <col min="5381" max="5381" width="16.85546875" bestFit="1" customWidth="1"/>
    <col min="5382" max="5382" width="15" bestFit="1" customWidth="1"/>
    <col min="5383" max="5383" width="11.28515625" bestFit="1" customWidth="1"/>
    <col min="5384" max="5385" width="11.140625" bestFit="1" customWidth="1"/>
    <col min="5386" max="5386" width="10.7109375" bestFit="1" customWidth="1"/>
    <col min="5387" max="5388" width="11.140625" bestFit="1" customWidth="1"/>
    <col min="5389" max="5389" width="12.7109375" bestFit="1" customWidth="1"/>
    <col min="5390" max="5390" width="11.140625" bestFit="1" customWidth="1"/>
    <col min="5391" max="5391" width="13.42578125" bestFit="1" customWidth="1"/>
    <col min="5393" max="5394" width="11.7109375" customWidth="1"/>
    <col min="5396" max="5396" width="15.85546875" customWidth="1"/>
    <col min="5398" max="5398" width="11.140625" bestFit="1" customWidth="1"/>
    <col min="5399" max="5399" width="8.28515625" customWidth="1"/>
    <col min="5400" max="5400" width="7" customWidth="1"/>
    <col min="5635" max="5635" width="11.140625" bestFit="1" customWidth="1"/>
    <col min="5636" max="5636" width="10.7109375" bestFit="1" customWidth="1"/>
    <col min="5637" max="5637" width="16.85546875" bestFit="1" customWidth="1"/>
    <col min="5638" max="5638" width="15" bestFit="1" customWidth="1"/>
    <col min="5639" max="5639" width="11.28515625" bestFit="1" customWidth="1"/>
    <col min="5640" max="5641" width="11.140625" bestFit="1" customWidth="1"/>
    <col min="5642" max="5642" width="10.7109375" bestFit="1" customWidth="1"/>
    <col min="5643" max="5644" width="11.140625" bestFit="1" customWidth="1"/>
    <col min="5645" max="5645" width="12.7109375" bestFit="1" customWidth="1"/>
    <col min="5646" max="5646" width="11.140625" bestFit="1" customWidth="1"/>
    <col min="5647" max="5647" width="13.42578125" bestFit="1" customWidth="1"/>
    <col min="5649" max="5650" width="11.7109375" customWidth="1"/>
    <col min="5652" max="5652" width="15.85546875" customWidth="1"/>
    <col min="5654" max="5654" width="11.140625" bestFit="1" customWidth="1"/>
    <col min="5655" max="5655" width="8.28515625" customWidth="1"/>
    <col min="5656" max="5656" width="7" customWidth="1"/>
    <col min="5891" max="5891" width="11.140625" bestFit="1" customWidth="1"/>
    <col min="5892" max="5892" width="10.7109375" bestFit="1" customWidth="1"/>
    <col min="5893" max="5893" width="16.85546875" bestFit="1" customWidth="1"/>
    <col min="5894" max="5894" width="15" bestFit="1" customWidth="1"/>
    <col min="5895" max="5895" width="11.28515625" bestFit="1" customWidth="1"/>
    <col min="5896" max="5897" width="11.140625" bestFit="1" customWidth="1"/>
    <col min="5898" max="5898" width="10.7109375" bestFit="1" customWidth="1"/>
    <col min="5899" max="5900" width="11.140625" bestFit="1" customWidth="1"/>
    <col min="5901" max="5901" width="12.7109375" bestFit="1" customWidth="1"/>
    <col min="5902" max="5902" width="11.140625" bestFit="1" customWidth="1"/>
    <col min="5903" max="5903" width="13.42578125" bestFit="1" customWidth="1"/>
    <col min="5905" max="5906" width="11.7109375" customWidth="1"/>
    <col min="5908" max="5908" width="15.85546875" customWidth="1"/>
    <col min="5910" max="5910" width="11.140625" bestFit="1" customWidth="1"/>
    <col min="5911" max="5911" width="8.28515625" customWidth="1"/>
    <col min="5912" max="5912" width="7" customWidth="1"/>
    <col min="6147" max="6147" width="11.140625" bestFit="1" customWidth="1"/>
    <col min="6148" max="6148" width="10.7109375" bestFit="1" customWidth="1"/>
    <col min="6149" max="6149" width="16.85546875" bestFit="1" customWidth="1"/>
    <col min="6150" max="6150" width="15" bestFit="1" customWidth="1"/>
    <col min="6151" max="6151" width="11.28515625" bestFit="1" customWidth="1"/>
    <col min="6152" max="6153" width="11.140625" bestFit="1" customWidth="1"/>
    <col min="6154" max="6154" width="10.7109375" bestFit="1" customWidth="1"/>
    <col min="6155" max="6156" width="11.140625" bestFit="1" customWidth="1"/>
    <col min="6157" max="6157" width="12.7109375" bestFit="1" customWidth="1"/>
    <col min="6158" max="6158" width="11.140625" bestFit="1" customWidth="1"/>
    <col min="6159" max="6159" width="13.42578125" bestFit="1" customWidth="1"/>
    <col min="6161" max="6162" width="11.7109375" customWidth="1"/>
    <col min="6164" max="6164" width="15.85546875" customWidth="1"/>
    <col min="6166" max="6166" width="11.140625" bestFit="1" customWidth="1"/>
    <col min="6167" max="6167" width="8.28515625" customWidth="1"/>
    <col min="6168" max="6168" width="7" customWidth="1"/>
    <col min="6403" max="6403" width="11.140625" bestFit="1" customWidth="1"/>
    <col min="6404" max="6404" width="10.7109375" bestFit="1" customWidth="1"/>
    <col min="6405" max="6405" width="16.85546875" bestFit="1" customWidth="1"/>
    <col min="6406" max="6406" width="15" bestFit="1" customWidth="1"/>
    <col min="6407" max="6407" width="11.28515625" bestFit="1" customWidth="1"/>
    <col min="6408" max="6409" width="11.140625" bestFit="1" customWidth="1"/>
    <col min="6410" max="6410" width="10.7109375" bestFit="1" customWidth="1"/>
    <col min="6411" max="6412" width="11.140625" bestFit="1" customWidth="1"/>
    <col min="6413" max="6413" width="12.7109375" bestFit="1" customWidth="1"/>
    <col min="6414" max="6414" width="11.140625" bestFit="1" customWidth="1"/>
    <col min="6415" max="6415" width="13.42578125" bestFit="1" customWidth="1"/>
    <col min="6417" max="6418" width="11.7109375" customWidth="1"/>
    <col min="6420" max="6420" width="15.85546875" customWidth="1"/>
    <col min="6422" max="6422" width="11.140625" bestFit="1" customWidth="1"/>
    <col min="6423" max="6423" width="8.28515625" customWidth="1"/>
    <col min="6424" max="6424" width="7" customWidth="1"/>
    <col min="6659" max="6659" width="11.140625" bestFit="1" customWidth="1"/>
    <col min="6660" max="6660" width="10.7109375" bestFit="1" customWidth="1"/>
    <col min="6661" max="6661" width="16.85546875" bestFit="1" customWidth="1"/>
    <col min="6662" max="6662" width="15" bestFit="1" customWidth="1"/>
    <col min="6663" max="6663" width="11.28515625" bestFit="1" customWidth="1"/>
    <col min="6664" max="6665" width="11.140625" bestFit="1" customWidth="1"/>
    <col min="6666" max="6666" width="10.7109375" bestFit="1" customWidth="1"/>
    <col min="6667" max="6668" width="11.140625" bestFit="1" customWidth="1"/>
    <col min="6669" max="6669" width="12.7109375" bestFit="1" customWidth="1"/>
    <col min="6670" max="6670" width="11.140625" bestFit="1" customWidth="1"/>
    <col min="6671" max="6671" width="13.42578125" bestFit="1" customWidth="1"/>
    <col min="6673" max="6674" width="11.7109375" customWidth="1"/>
    <col min="6676" max="6676" width="15.85546875" customWidth="1"/>
    <col min="6678" max="6678" width="11.140625" bestFit="1" customWidth="1"/>
    <col min="6679" max="6679" width="8.28515625" customWidth="1"/>
    <col min="6680" max="6680" width="7" customWidth="1"/>
    <col min="6915" max="6915" width="11.140625" bestFit="1" customWidth="1"/>
    <col min="6916" max="6916" width="10.7109375" bestFit="1" customWidth="1"/>
    <col min="6917" max="6917" width="16.85546875" bestFit="1" customWidth="1"/>
    <col min="6918" max="6918" width="15" bestFit="1" customWidth="1"/>
    <col min="6919" max="6919" width="11.28515625" bestFit="1" customWidth="1"/>
    <col min="6920" max="6921" width="11.140625" bestFit="1" customWidth="1"/>
    <col min="6922" max="6922" width="10.7109375" bestFit="1" customWidth="1"/>
    <col min="6923" max="6924" width="11.140625" bestFit="1" customWidth="1"/>
    <col min="6925" max="6925" width="12.7109375" bestFit="1" customWidth="1"/>
    <col min="6926" max="6926" width="11.140625" bestFit="1" customWidth="1"/>
    <col min="6927" max="6927" width="13.42578125" bestFit="1" customWidth="1"/>
    <col min="6929" max="6930" width="11.7109375" customWidth="1"/>
    <col min="6932" max="6932" width="15.85546875" customWidth="1"/>
    <col min="6934" max="6934" width="11.140625" bestFit="1" customWidth="1"/>
    <col min="6935" max="6935" width="8.28515625" customWidth="1"/>
    <col min="6936" max="6936" width="7" customWidth="1"/>
    <col min="7171" max="7171" width="11.140625" bestFit="1" customWidth="1"/>
    <col min="7172" max="7172" width="10.7109375" bestFit="1" customWidth="1"/>
    <col min="7173" max="7173" width="16.85546875" bestFit="1" customWidth="1"/>
    <col min="7174" max="7174" width="15" bestFit="1" customWidth="1"/>
    <col min="7175" max="7175" width="11.28515625" bestFit="1" customWidth="1"/>
    <col min="7176" max="7177" width="11.140625" bestFit="1" customWidth="1"/>
    <col min="7178" max="7178" width="10.7109375" bestFit="1" customWidth="1"/>
    <col min="7179" max="7180" width="11.140625" bestFit="1" customWidth="1"/>
    <col min="7181" max="7181" width="12.7109375" bestFit="1" customWidth="1"/>
    <col min="7182" max="7182" width="11.140625" bestFit="1" customWidth="1"/>
    <col min="7183" max="7183" width="13.42578125" bestFit="1" customWidth="1"/>
    <col min="7185" max="7186" width="11.7109375" customWidth="1"/>
    <col min="7188" max="7188" width="15.85546875" customWidth="1"/>
    <col min="7190" max="7190" width="11.140625" bestFit="1" customWidth="1"/>
    <col min="7191" max="7191" width="8.28515625" customWidth="1"/>
    <col min="7192" max="7192" width="7" customWidth="1"/>
    <col min="7427" max="7427" width="11.140625" bestFit="1" customWidth="1"/>
    <col min="7428" max="7428" width="10.7109375" bestFit="1" customWidth="1"/>
    <col min="7429" max="7429" width="16.85546875" bestFit="1" customWidth="1"/>
    <col min="7430" max="7430" width="15" bestFit="1" customWidth="1"/>
    <col min="7431" max="7431" width="11.28515625" bestFit="1" customWidth="1"/>
    <col min="7432" max="7433" width="11.140625" bestFit="1" customWidth="1"/>
    <col min="7434" max="7434" width="10.7109375" bestFit="1" customWidth="1"/>
    <col min="7435" max="7436" width="11.140625" bestFit="1" customWidth="1"/>
    <col min="7437" max="7437" width="12.7109375" bestFit="1" customWidth="1"/>
    <col min="7438" max="7438" width="11.140625" bestFit="1" customWidth="1"/>
    <col min="7439" max="7439" width="13.42578125" bestFit="1" customWidth="1"/>
    <col min="7441" max="7442" width="11.7109375" customWidth="1"/>
    <col min="7444" max="7444" width="15.85546875" customWidth="1"/>
    <col min="7446" max="7446" width="11.140625" bestFit="1" customWidth="1"/>
    <col min="7447" max="7447" width="8.28515625" customWidth="1"/>
    <col min="7448" max="7448" width="7" customWidth="1"/>
    <col min="7683" max="7683" width="11.140625" bestFit="1" customWidth="1"/>
    <col min="7684" max="7684" width="10.7109375" bestFit="1" customWidth="1"/>
    <col min="7685" max="7685" width="16.85546875" bestFit="1" customWidth="1"/>
    <col min="7686" max="7686" width="15" bestFit="1" customWidth="1"/>
    <col min="7687" max="7687" width="11.28515625" bestFit="1" customWidth="1"/>
    <col min="7688" max="7689" width="11.140625" bestFit="1" customWidth="1"/>
    <col min="7690" max="7690" width="10.7109375" bestFit="1" customWidth="1"/>
    <col min="7691" max="7692" width="11.140625" bestFit="1" customWidth="1"/>
    <col min="7693" max="7693" width="12.7109375" bestFit="1" customWidth="1"/>
    <col min="7694" max="7694" width="11.140625" bestFit="1" customWidth="1"/>
    <col min="7695" max="7695" width="13.42578125" bestFit="1" customWidth="1"/>
    <col min="7697" max="7698" width="11.7109375" customWidth="1"/>
    <col min="7700" max="7700" width="15.85546875" customWidth="1"/>
    <col min="7702" max="7702" width="11.140625" bestFit="1" customWidth="1"/>
    <col min="7703" max="7703" width="8.28515625" customWidth="1"/>
    <col min="7704" max="7704" width="7" customWidth="1"/>
    <col min="7939" max="7939" width="11.140625" bestFit="1" customWidth="1"/>
    <col min="7940" max="7940" width="10.7109375" bestFit="1" customWidth="1"/>
    <col min="7941" max="7941" width="16.85546875" bestFit="1" customWidth="1"/>
    <col min="7942" max="7942" width="15" bestFit="1" customWidth="1"/>
    <col min="7943" max="7943" width="11.28515625" bestFit="1" customWidth="1"/>
    <col min="7944" max="7945" width="11.140625" bestFit="1" customWidth="1"/>
    <col min="7946" max="7946" width="10.7109375" bestFit="1" customWidth="1"/>
    <col min="7947" max="7948" width="11.140625" bestFit="1" customWidth="1"/>
    <col min="7949" max="7949" width="12.7109375" bestFit="1" customWidth="1"/>
    <col min="7950" max="7950" width="11.140625" bestFit="1" customWidth="1"/>
    <col min="7951" max="7951" width="13.42578125" bestFit="1" customWidth="1"/>
    <col min="7953" max="7954" width="11.7109375" customWidth="1"/>
    <col min="7956" max="7956" width="15.85546875" customWidth="1"/>
    <col min="7958" max="7958" width="11.140625" bestFit="1" customWidth="1"/>
    <col min="7959" max="7959" width="8.28515625" customWidth="1"/>
    <col min="7960" max="7960" width="7" customWidth="1"/>
    <col min="8195" max="8195" width="11.140625" bestFit="1" customWidth="1"/>
    <col min="8196" max="8196" width="10.7109375" bestFit="1" customWidth="1"/>
    <col min="8197" max="8197" width="16.85546875" bestFit="1" customWidth="1"/>
    <col min="8198" max="8198" width="15" bestFit="1" customWidth="1"/>
    <col min="8199" max="8199" width="11.28515625" bestFit="1" customWidth="1"/>
    <col min="8200" max="8201" width="11.140625" bestFit="1" customWidth="1"/>
    <col min="8202" max="8202" width="10.7109375" bestFit="1" customWidth="1"/>
    <col min="8203" max="8204" width="11.140625" bestFit="1" customWidth="1"/>
    <col min="8205" max="8205" width="12.7109375" bestFit="1" customWidth="1"/>
    <col min="8206" max="8206" width="11.140625" bestFit="1" customWidth="1"/>
    <col min="8207" max="8207" width="13.42578125" bestFit="1" customWidth="1"/>
    <col min="8209" max="8210" width="11.7109375" customWidth="1"/>
    <col min="8212" max="8212" width="15.85546875" customWidth="1"/>
    <col min="8214" max="8214" width="11.140625" bestFit="1" customWidth="1"/>
    <col min="8215" max="8215" width="8.28515625" customWidth="1"/>
    <col min="8216" max="8216" width="7" customWidth="1"/>
    <col min="8451" max="8451" width="11.140625" bestFit="1" customWidth="1"/>
    <col min="8452" max="8452" width="10.7109375" bestFit="1" customWidth="1"/>
    <col min="8453" max="8453" width="16.85546875" bestFit="1" customWidth="1"/>
    <col min="8454" max="8454" width="15" bestFit="1" customWidth="1"/>
    <col min="8455" max="8455" width="11.28515625" bestFit="1" customWidth="1"/>
    <col min="8456" max="8457" width="11.140625" bestFit="1" customWidth="1"/>
    <col min="8458" max="8458" width="10.7109375" bestFit="1" customWidth="1"/>
    <col min="8459" max="8460" width="11.140625" bestFit="1" customWidth="1"/>
    <col min="8461" max="8461" width="12.7109375" bestFit="1" customWidth="1"/>
    <col min="8462" max="8462" width="11.140625" bestFit="1" customWidth="1"/>
    <col min="8463" max="8463" width="13.42578125" bestFit="1" customWidth="1"/>
    <col min="8465" max="8466" width="11.7109375" customWidth="1"/>
    <col min="8468" max="8468" width="15.85546875" customWidth="1"/>
    <col min="8470" max="8470" width="11.140625" bestFit="1" customWidth="1"/>
    <col min="8471" max="8471" width="8.28515625" customWidth="1"/>
    <col min="8472" max="8472" width="7" customWidth="1"/>
    <col min="8707" max="8707" width="11.140625" bestFit="1" customWidth="1"/>
    <col min="8708" max="8708" width="10.7109375" bestFit="1" customWidth="1"/>
    <col min="8709" max="8709" width="16.85546875" bestFit="1" customWidth="1"/>
    <col min="8710" max="8710" width="15" bestFit="1" customWidth="1"/>
    <col min="8711" max="8711" width="11.28515625" bestFit="1" customWidth="1"/>
    <col min="8712" max="8713" width="11.140625" bestFit="1" customWidth="1"/>
    <col min="8714" max="8714" width="10.7109375" bestFit="1" customWidth="1"/>
    <col min="8715" max="8716" width="11.140625" bestFit="1" customWidth="1"/>
    <col min="8717" max="8717" width="12.7109375" bestFit="1" customWidth="1"/>
    <col min="8718" max="8718" width="11.140625" bestFit="1" customWidth="1"/>
    <col min="8719" max="8719" width="13.42578125" bestFit="1" customWidth="1"/>
    <col min="8721" max="8722" width="11.7109375" customWidth="1"/>
    <col min="8724" max="8724" width="15.85546875" customWidth="1"/>
    <col min="8726" max="8726" width="11.140625" bestFit="1" customWidth="1"/>
    <col min="8727" max="8727" width="8.28515625" customWidth="1"/>
    <col min="8728" max="8728" width="7" customWidth="1"/>
    <col min="8963" max="8963" width="11.140625" bestFit="1" customWidth="1"/>
    <col min="8964" max="8964" width="10.7109375" bestFit="1" customWidth="1"/>
    <col min="8965" max="8965" width="16.85546875" bestFit="1" customWidth="1"/>
    <col min="8966" max="8966" width="15" bestFit="1" customWidth="1"/>
    <col min="8967" max="8967" width="11.28515625" bestFit="1" customWidth="1"/>
    <col min="8968" max="8969" width="11.140625" bestFit="1" customWidth="1"/>
    <col min="8970" max="8970" width="10.7109375" bestFit="1" customWidth="1"/>
    <col min="8971" max="8972" width="11.140625" bestFit="1" customWidth="1"/>
    <col min="8973" max="8973" width="12.7109375" bestFit="1" customWidth="1"/>
    <col min="8974" max="8974" width="11.140625" bestFit="1" customWidth="1"/>
    <col min="8975" max="8975" width="13.42578125" bestFit="1" customWidth="1"/>
    <col min="8977" max="8978" width="11.7109375" customWidth="1"/>
    <col min="8980" max="8980" width="15.85546875" customWidth="1"/>
    <col min="8982" max="8982" width="11.140625" bestFit="1" customWidth="1"/>
    <col min="8983" max="8983" width="8.28515625" customWidth="1"/>
    <col min="8984" max="8984" width="7" customWidth="1"/>
    <col min="9219" max="9219" width="11.140625" bestFit="1" customWidth="1"/>
    <col min="9220" max="9220" width="10.7109375" bestFit="1" customWidth="1"/>
    <col min="9221" max="9221" width="16.85546875" bestFit="1" customWidth="1"/>
    <col min="9222" max="9222" width="15" bestFit="1" customWidth="1"/>
    <col min="9223" max="9223" width="11.28515625" bestFit="1" customWidth="1"/>
    <col min="9224" max="9225" width="11.140625" bestFit="1" customWidth="1"/>
    <col min="9226" max="9226" width="10.7109375" bestFit="1" customWidth="1"/>
    <col min="9227" max="9228" width="11.140625" bestFit="1" customWidth="1"/>
    <col min="9229" max="9229" width="12.7109375" bestFit="1" customWidth="1"/>
    <col min="9230" max="9230" width="11.140625" bestFit="1" customWidth="1"/>
    <col min="9231" max="9231" width="13.42578125" bestFit="1" customWidth="1"/>
    <col min="9233" max="9234" width="11.7109375" customWidth="1"/>
    <col min="9236" max="9236" width="15.85546875" customWidth="1"/>
    <col min="9238" max="9238" width="11.140625" bestFit="1" customWidth="1"/>
    <col min="9239" max="9239" width="8.28515625" customWidth="1"/>
    <col min="9240" max="9240" width="7" customWidth="1"/>
    <col min="9475" max="9475" width="11.140625" bestFit="1" customWidth="1"/>
    <col min="9476" max="9476" width="10.7109375" bestFit="1" customWidth="1"/>
    <col min="9477" max="9477" width="16.85546875" bestFit="1" customWidth="1"/>
    <col min="9478" max="9478" width="15" bestFit="1" customWidth="1"/>
    <col min="9479" max="9479" width="11.28515625" bestFit="1" customWidth="1"/>
    <col min="9480" max="9481" width="11.140625" bestFit="1" customWidth="1"/>
    <col min="9482" max="9482" width="10.7109375" bestFit="1" customWidth="1"/>
    <col min="9483" max="9484" width="11.140625" bestFit="1" customWidth="1"/>
    <col min="9485" max="9485" width="12.7109375" bestFit="1" customWidth="1"/>
    <col min="9486" max="9486" width="11.140625" bestFit="1" customWidth="1"/>
    <col min="9487" max="9487" width="13.42578125" bestFit="1" customWidth="1"/>
    <col min="9489" max="9490" width="11.7109375" customWidth="1"/>
    <col min="9492" max="9492" width="15.85546875" customWidth="1"/>
    <col min="9494" max="9494" width="11.140625" bestFit="1" customWidth="1"/>
    <col min="9495" max="9495" width="8.28515625" customWidth="1"/>
    <col min="9496" max="9496" width="7" customWidth="1"/>
    <col min="9731" max="9731" width="11.140625" bestFit="1" customWidth="1"/>
    <col min="9732" max="9732" width="10.7109375" bestFit="1" customWidth="1"/>
    <col min="9733" max="9733" width="16.85546875" bestFit="1" customWidth="1"/>
    <col min="9734" max="9734" width="15" bestFit="1" customWidth="1"/>
    <col min="9735" max="9735" width="11.28515625" bestFit="1" customWidth="1"/>
    <col min="9736" max="9737" width="11.140625" bestFit="1" customWidth="1"/>
    <col min="9738" max="9738" width="10.7109375" bestFit="1" customWidth="1"/>
    <col min="9739" max="9740" width="11.140625" bestFit="1" customWidth="1"/>
    <col min="9741" max="9741" width="12.7109375" bestFit="1" customWidth="1"/>
    <col min="9742" max="9742" width="11.140625" bestFit="1" customWidth="1"/>
    <col min="9743" max="9743" width="13.42578125" bestFit="1" customWidth="1"/>
    <col min="9745" max="9746" width="11.7109375" customWidth="1"/>
    <col min="9748" max="9748" width="15.85546875" customWidth="1"/>
    <col min="9750" max="9750" width="11.140625" bestFit="1" customWidth="1"/>
    <col min="9751" max="9751" width="8.28515625" customWidth="1"/>
    <col min="9752" max="9752" width="7" customWidth="1"/>
    <col min="9987" max="9987" width="11.140625" bestFit="1" customWidth="1"/>
    <col min="9988" max="9988" width="10.7109375" bestFit="1" customWidth="1"/>
    <col min="9989" max="9989" width="16.85546875" bestFit="1" customWidth="1"/>
    <col min="9990" max="9990" width="15" bestFit="1" customWidth="1"/>
    <col min="9991" max="9991" width="11.28515625" bestFit="1" customWidth="1"/>
    <col min="9992" max="9993" width="11.140625" bestFit="1" customWidth="1"/>
    <col min="9994" max="9994" width="10.7109375" bestFit="1" customWidth="1"/>
    <col min="9995" max="9996" width="11.140625" bestFit="1" customWidth="1"/>
    <col min="9997" max="9997" width="12.7109375" bestFit="1" customWidth="1"/>
    <col min="9998" max="9998" width="11.140625" bestFit="1" customWidth="1"/>
    <col min="9999" max="9999" width="13.42578125" bestFit="1" customWidth="1"/>
    <col min="10001" max="10002" width="11.7109375" customWidth="1"/>
    <col min="10004" max="10004" width="15.85546875" customWidth="1"/>
    <col min="10006" max="10006" width="11.140625" bestFit="1" customWidth="1"/>
    <col min="10007" max="10007" width="8.28515625" customWidth="1"/>
    <col min="10008" max="10008" width="7" customWidth="1"/>
    <col min="10243" max="10243" width="11.140625" bestFit="1" customWidth="1"/>
    <col min="10244" max="10244" width="10.7109375" bestFit="1" customWidth="1"/>
    <col min="10245" max="10245" width="16.85546875" bestFit="1" customWidth="1"/>
    <col min="10246" max="10246" width="15" bestFit="1" customWidth="1"/>
    <col min="10247" max="10247" width="11.28515625" bestFit="1" customWidth="1"/>
    <col min="10248" max="10249" width="11.140625" bestFit="1" customWidth="1"/>
    <col min="10250" max="10250" width="10.7109375" bestFit="1" customWidth="1"/>
    <col min="10251" max="10252" width="11.140625" bestFit="1" customWidth="1"/>
    <col min="10253" max="10253" width="12.7109375" bestFit="1" customWidth="1"/>
    <col min="10254" max="10254" width="11.140625" bestFit="1" customWidth="1"/>
    <col min="10255" max="10255" width="13.42578125" bestFit="1" customWidth="1"/>
    <col min="10257" max="10258" width="11.7109375" customWidth="1"/>
    <col min="10260" max="10260" width="15.85546875" customWidth="1"/>
    <col min="10262" max="10262" width="11.140625" bestFit="1" customWidth="1"/>
    <col min="10263" max="10263" width="8.28515625" customWidth="1"/>
    <col min="10264" max="10264" width="7" customWidth="1"/>
    <col min="10499" max="10499" width="11.140625" bestFit="1" customWidth="1"/>
    <col min="10500" max="10500" width="10.7109375" bestFit="1" customWidth="1"/>
    <col min="10501" max="10501" width="16.85546875" bestFit="1" customWidth="1"/>
    <col min="10502" max="10502" width="15" bestFit="1" customWidth="1"/>
    <col min="10503" max="10503" width="11.28515625" bestFit="1" customWidth="1"/>
    <col min="10504" max="10505" width="11.140625" bestFit="1" customWidth="1"/>
    <col min="10506" max="10506" width="10.7109375" bestFit="1" customWidth="1"/>
    <col min="10507" max="10508" width="11.140625" bestFit="1" customWidth="1"/>
    <col min="10509" max="10509" width="12.7109375" bestFit="1" customWidth="1"/>
    <col min="10510" max="10510" width="11.140625" bestFit="1" customWidth="1"/>
    <col min="10511" max="10511" width="13.42578125" bestFit="1" customWidth="1"/>
    <col min="10513" max="10514" width="11.7109375" customWidth="1"/>
    <col min="10516" max="10516" width="15.85546875" customWidth="1"/>
    <col min="10518" max="10518" width="11.140625" bestFit="1" customWidth="1"/>
    <col min="10519" max="10519" width="8.28515625" customWidth="1"/>
    <col min="10520" max="10520" width="7" customWidth="1"/>
    <col min="10755" max="10755" width="11.140625" bestFit="1" customWidth="1"/>
    <col min="10756" max="10756" width="10.7109375" bestFit="1" customWidth="1"/>
    <col min="10757" max="10757" width="16.85546875" bestFit="1" customWidth="1"/>
    <col min="10758" max="10758" width="15" bestFit="1" customWidth="1"/>
    <col min="10759" max="10759" width="11.28515625" bestFit="1" customWidth="1"/>
    <col min="10760" max="10761" width="11.140625" bestFit="1" customWidth="1"/>
    <col min="10762" max="10762" width="10.7109375" bestFit="1" customWidth="1"/>
    <col min="10763" max="10764" width="11.140625" bestFit="1" customWidth="1"/>
    <col min="10765" max="10765" width="12.7109375" bestFit="1" customWidth="1"/>
    <col min="10766" max="10766" width="11.140625" bestFit="1" customWidth="1"/>
    <col min="10767" max="10767" width="13.42578125" bestFit="1" customWidth="1"/>
    <col min="10769" max="10770" width="11.7109375" customWidth="1"/>
    <col min="10772" max="10772" width="15.85546875" customWidth="1"/>
    <col min="10774" max="10774" width="11.140625" bestFit="1" customWidth="1"/>
    <col min="10775" max="10775" width="8.28515625" customWidth="1"/>
    <col min="10776" max="10776" width="7" customWidth="1"/>
    <col min="11011" max="11011" width="11.140625" bestFit="1" customWidth="1"/>
    <col min="11012" max="11012" width="10.7109375" bestFit="1" customWidth="1"/>
    <col min="11013" max="11013" width="16.85546875" bestFit="1" customWidth="1"/>
    <col min="11014" max="11014" width="15" bestFit="1" customWidth="1"/>
    <col min="11015" max="11015" width="11.28515625" bestFit="1" customWidth="1"/>
    <col min="11016" max="11017" width="11.140625" bestFit="1" customWidth="1"/>
    <col min="11018" max="11018" width="10.7109375" bestFit="1" customWidth="1"/>
    <col min="11019" max="11020" width="11.140625" bestFit="1" customWidth="1"/>
    <col min="11021" max="11021" width="12.7109375" bestFit="1" customWidth="1"/>
    <col min="11022" max="11022" width="11.140625" bestFit="1" customWidth="1"/>
    <col min="11023" max="11023" width="13.42578125" bestFit="1" customWidth="1"/>
    <col min="11025" max="11026" width="11.7109375" customWidth="1"/>
    <col min="11028" max="11028" width="15.85546875" customWidth="1"/>
    <col min="11030" max="11030" width="11.140625" bestFit="1" customWidth="1"/>
    <col min="11031" max="11031" width="8.28515625" customWidth="1"/>
    <col min="11032" max="11032" width="7" customWidth="1"/>
    <col min="11267" max="11267" width="11.140625" bestFit="1" customWidth="1"/>
    <col min="11268" max="11268" width="10.7109375" bestFit="1" customWidth="1"/>
    <col min="11269" max="11269" width="16.85546875" bestFit="1" customWidth="1"/>
    <col min="11270" max="11270" width="15" bestFit="1" customWidth="1"/>
    <col min="11271" max="11271" width="11.28515625" bestFit="1" customWidth="1"/>
    <col min="11272" max="11273" width="11.140625" bestFit="1" customWidth="1"/>
    <col min="11274" max="11274" width="10.7109375" bestFit="1" customWidth="1"/>
    <col min="11275" max="11276" width="11.140625" bestFit="1" customWidth="1"/>
    <col min="11277" max="11277" width="12.7109375" bestFit="1" customWidth="1"/>
    <col min="11278" max="11278" width="11.140625" bestFit="1" customWidth="1"/>
    <col min="11279" max="11279" width="13.42578125" bestFit="1" customWidth="1"/>
    <col min="11281" max="11282" width="11.7109375" customWidth="1"/>
    <col min="11284" max="11284" width="15.85546875" customWidth="1"/>
    <col min="11286" max="11286" width="11.140625" bestFit="1" customWidth="1"/>
    <col min="11287" max="11287" width="8.28515625" customWidth="1"/>
    <col min="11288" max="11288" width="7" customWidth="1"/>
    <col min="11523" max="11523" width="11.140625" bestFit="1" customWidth="1"/>
    <col min="11524" max="11524" width="10.7109375" bestFit="1" customWidth="1"/>
    <col min="11525" max="11525" width="16.85546875" bestFit="1" customWidth="1"/>
    <col min="11526" max="11526" width="15" bestFit="1" customWidth="1"/>
    <col min="11527" max="11527" width="11.28515625" bestFit="1" customWidth="1"/>
    <col min="11528" max="11529" width="11.140625" bestFit="1" customWidth="1"/>
    <col min="11530" max="11530" width="10.7109375" bestFit="1" customWidth="1"/>
    <col min="11531" max="11532" width="11.140625" bestFit="1" customWidth="1"/>
    <col min="11533" max="11533" width="12.7109375" bestFit="1" customWidth="1"/>
    <col min="11534" max="11534" width="11.140625" bestFit="1" customWidth="1"/>
    <col min="11535" max="11535" width="13.42578125" bestFit="1" customWidth="1"/>
    <col min="11537" max="11538" width="11.7109375" customWidth="1"/>
    <col min="11540" max="11540" width="15.85546875" customWidth="1"/>
    <col min="11542" max="11542" width="11.140625" bestFit="1" customWidth="1"/>
    <col min="11543" max="11543" width="8.28515625" customWidth="1"/>
    <col min="11544" max="11544" width="7" customWidth="1"/>
    <col min="11779" max="11779" width="11.140625" bestFit="1" customWidth="1"/>
    <col min="11780" max="11780" width="10.7109375" bestFit="1" customWidth="1"/>
    <col min="11781" max="11781" width="16.85546875" bestFit="1" customWidth="1"/>
    <col min="11782" max="11782" width="15" bestFit="1" customWidth="1"/>
    <col min="11783" max="11783" width="11.28515625" bestFit="1" customWidth="1"/>
    <col min="11784" max="11785" width="11.140625" bestFit="1" customWidth="1"/>
    <col min="11786" max="11786" width="10.7109375" bestFit="1" customWidth="1"/>
    <col min="11787" max="11788" width="11.140625" bestFit="1" customWidth="1"/>
    <col min="11789" max="11789" width="12.7109375" bestFit="1" customWidth="1"/>
    <col min="11790" max="11790" width="11.140625" bestFit="1" customWidth="1"/>
    <col min="11791" max="11791" width="13.42578125" bestFit="1" customWidth="1"/>
    <col min="11793" max="11794" width="11.7109375" customWidth="1"/>
    <col min="11796" max="11796" width="15.85546875" customWidth="1"/>
    <col min="11798" max="11798" width="11.140625" bestFit="1" customWidth="1"/>
    <col min="11799" max="11799" width="8.28515625" customWidth="1"/>
    <col min="11800" max="11800" width="7" customWidth="1"/>
    <col min="12035" max="12035" width="11.140625" bestFit="1" customWidth="1"/>
    <col min="12036" max="12036" width="10.7109375" bestFit="1" customWidth="1"/>
    <col min="12037" max="12037" width="16.85546875" bestFit="1" customWidth="1"/>
    <col min="12038" max="12038" width="15" bestFit="1" customWidth="1"/>
    <col min="12039" max="12039" width="11.28515625" bestFit="1" customWidth="1"/>
    <col min="12040" max="12041" width="11.140625" bestFit="1" customWidth="1"/>
    <col min="12042" max="12042" width="10.7109375" bestFit="1" customWidth="1"/>
    <col min="12043" max="12044" width="11.140625" bestFit="1" customWidth="1"/>
    <col min="12045" max="12045" width="12.7109375" bestFit="1" customWidth="1"/>
    <col min="12046" max="12046" width="11.140625" bestFit="1" customWidth="1"/>
    <col min="12047" max="12047" width="13.42578125" bestFit="1" customWidth="1"/>
    <col min="12049" max="12050" width="11.7109375" customWidth="1"/>
    <col min="12052" max="12052" width="15.85546875" customWidth="1"/>
    <col min="12054" max="12054" width="11.140625" bestFit="1" customWidth="1"/>
    <col min="12055" max="12055" width="8.28515625" customWidth="1"/>
    <col min="12056" max="12056" width="7" customWidth="1"/>
    <col min="12291" max="12291" width="11.140625" bestFit="1" customWidth="1"/>
    <col min="12292" max="12292" width="10.7109375" bestFit="1" customWidth="1"/>
    <col min="12293" max="12293" width="16.85546875" bestFit="1" customWidth="1"/>
    <col min="12294" max="12294" width="15" bestFit="1" customWidth="1"/>
    <col min="12295" max="12295" width="11.28515625" bestFit="1" customWidth="1"/>
    <col min="12296" max="12297" width="11.140625" bestFit="1" customWidth="1"/>
    <col min="12298" max="12298" width="10.7109375" bestFit="1" customWidth="1"/>
    <col min="12299" max="12300" width="11.140625" bestFit="1" customWidth="1"/>
    <col min="12301" max="12301" width="12.7109375" bestFit="1" customWidth="1"/>
    <col min="12302" max="12302" width="11.140625" bestFit="1" customWidth="1"/>
    <col min="12303" max="12303" width="13.42578125" bestFit="1" customWidth="1"/>
    <col min="12305" max="12306" width="11.7109375" customWidth="1"/>
    <col min="12308" max="12308" width="15.85546875" customWidth="1"/>
    <col min="12310" max="12310" width="11.140625" bestFit="1" customWidth="1"/>
    <col min="12311" max="12311" width="8.28515625" customWidth="1"/>
    <col min="12312" max="12312" width="7" customWidth="1"/>
    <col min="12547" max="12547" width="11.140625" bestFit="1" customWidth="1"/>
    <col min="12548" max="12548" width="10.7109375" bestFit="1" customWidth="1"/>
    <col min="12549" max="12549" width="16.85546875" bestFit="1" customWidth="1"/>
    <col min="12550" max="12550" width="15" bestFit="1" customWidth="1"/>
    <col min="12551" max="12551" width="11.28515625" bestFit="1" customWidth="1"/>
    <col min="12552" max="12553" width="11.140625" bestFit="1" customWidth="1"/>
    <col min="12554" max="12554" width="10.7109375" bestFit="1" customWidth="1"/>
    <col min="12555" max="12556" width="11.140625" bestFit="1" customWidth="1"/>
    <col min="12557" max="12557" width="12.7109375" bestFit="1" customWidth="1"/>
    <col min="12558" max="12558" width="11.140625" bestFit="1" customWidth="1"/>
    <col min="12559" max="12559" width="13.42578125" bestFit="1" customWidth="1"/>
    <col min="12561" max="12562" width="11.7109375" customWidth="1"/>
    <col min="12564" max="12564" width="15.85546875" customWidth="1"/>
    <col min="12566" max="12566" width="11.140625" bestFit="1" customWidth="1"/>
    <col min="12567" max="12567" width="8.28515625" customWidth="1"/>
    <col min="12568" max="12568" width="7" customWidth="1"/>
    <col min="12803" max="12803" width="11.140625" bestFit="1" customWidth="1"/>
    <col min="12804" max="12804" width="10.7109375" bestFit="1" customWidth="1"/>
    <col min="12805" max="12805" width="16.85546875" bestFit="1" customWidth="1"/>
    <col min="12806" max="12806" width="15" bestFit="1" customWidth="1"/>
    <col min="12807" max="12807" width="11.28515625" bestFit="1" customWidth="1"/>
    <col min="12808" max="12809" width="11.140625" bestFit="1" customWidth="1"/>
    <col min="12810" max="12810" width="10.7109375" bestFit="1" customWidth="1"/>
    <col min="12811" max="12812" width="11.140625" bestFit="1" customWidth="1"/>
    <col min="12813" max="12813" width="12.7109375" bestFit="1" customWidth="1"/>
    <col min="12814" max="12814" width="11.140625" bestFit="1" customWidth="1"/>
    <col min="12815" max="12815" width="13.42578125" bestFit="1" customWidth="1"/>
    <col min="12817" max="12818" width="11.7109375" customWidth="1"/>
    <col min="12820" max="12820" width="15.85546875" customWidth="1"/>
    <col min="12822" max="12822" width="11.140625" bestFit="1" customWidth="1"/>
    <col min="12823" max="12823" width="8.28515625" customWidth="1"/>
    <col min="12824" max="12824" width="7" customWidth="1"/>
    <col min="13059" max="13059" width="11.140625" bestFit="1" customWidth="1"/>
    <col min="13060" max="13060" width="10.7109375" bestFit="1" customWidth="1"/>
    <col min="13061" max="13061" width="16.85546875" bestFit="1" customWidth="1"/>
    <col min="13062" max="13062" width="15" bestFit="1" customWidth="1"/>
    <col min="13063" max="13063" width="11.28515625" bestFit="1" customWidth="1"/>
    <col min="13064" max="13065" width="11.140625" bestFit="1" customWidth="1"/>
    <col min="13066" max="13066" width="10.7109375" bestFit="1" customWidth="1"/>
    <col min="13067" max="13068" width="11.140625" bestFit="1" customWidth="1"/>
    <col min="13069" max="13069" width="12.7109375" bestFit="1" customWidth="1"/>
    <col min="13070" max="13070" width="11.140625" bestFit="1" customWidth="1"/>
    <col min="13071" max="13071" width="13.42578125" bestFit="1" customWidth="1"/>
    <col min="13073" max="13074" width="11.7109375" customWidth="1"/>
    <col min="13076" max="13076" width="15.85546875" customWidth="1"/>
    <col min="13078" max="13078" width="11.140625" bestFit="1" customWidth="1"/>
    <col min="13079" max="13079" width="8.28515625" customWidth="1"/>
    <col min="13080" max="13080" width="7" customWidth="1"/>
    <col min="13315" max="13315" width="11.140625" bestFit="1" customWidth="1"/>
    <col min="13316" max="13316" width="10.7109375" bestFit="1" customWidth="1"/>
    <col min="13317" max="13317" width="16.85546875" bestFit="1" customWidth="1"/>
    <col min="13318" max="13318" width="15" bestFit="1" customWidth="1"/>
    <col min="13319" max="13319" width="11.28515625" bestFit="1" customWidth="1"/>
    <col min="13320" max="13321" width="11.140625" bestFit="1" customWidth="1"/>
    <col min="13322" max="13322" width="10.7109375" bestFit="1" customWidth="1"/>
    <col min="13323" max="13324" width="11.140625" bestFit="1" customWidth="1"/>
    <col min="13325" max="13325" width="12.7109375" bestFit="1" customWidth="1"/>
    <col min="13326" max="13326" width="11.140625" bestFit="1" customWidth="1"/>
    <col min="13327" max="13327" width="13.42578125" bestFit="1" customWidth="1"/>
    <col min="13329" max="13330" width="11.7109375" customWidth="1"/>
    <col min="13332" max="13332" width="15.85546875" customWidth="1"/>
    <col min="13334" max="13334" width="11.140625" bestFit="1" customWidth="1"/>
    <col min="13335" max="13335" width="8.28515625" customWidth="1"/>
    <col min="13336" max="13336" width="7" customWidth="1"/>
    <col min="13571" max="13571" width="11.140625" bestFit="1" customWidth="1"/>
    <col min="13572" max="13572" width="10.7109375" bestFit="1" customWidth="1"/>
    <col min="13573" max="13573" width="16.85546875" bestFit="1" customWidth="1"/>
    <col min="13574" max="13574" width="15" bestFit="1" customWidth="1"/>
    <col min="13575" max="13575" width="11.28515625" bestFit="1" customWidth="1"/>
    <col min="13576" max="13577" width="11.140625" bestFit="1" customWidth="1"/>
    <col min="13578" max="13578" width="10.7109375" bestFit="1" customWidth="1"/>
    <col min="13579" max="13580" width="11.140625" bestFit="1" customWidth="1"/>
    <col min="13581" max="13581" width="12.7109375" bestFit="1" customWidth="1"/>
    <col min="13582" max="13582" width="11.140625" bestFit="1" customWidth="1"/>
    <col min="13583" max="13583" width="13.42578125" bestFit="1" customWidth="1"/>
    <col min="13585" max="13586" width="11.7109375" customWidth="1"/>
    <col min="13588" max="13588" width="15.85546875" customWidth="1"/>
    <col min="13590" max="13590" width="11.140625" bestFit="1" customWidth="1"/>
    <col min="13591" max="13591" width="8.28515625" customWidth="1"/>
    <col min="13592" max="13592" width="7" customWidth="1"/>
    <col min="13827" max="13827" width="11.140625" bestFit="1" customWidth="1"/>
    <col min="13828" max="13828" width="10.7109375" bestFit="1" customWidth="1"/>
    <col min="13829" max="13829" width="16.85546875" bestFit="1" customWidth="1"/>
    <col min="13830" max="13830" width="15" bestFit="1" customWidth="1"/>
    <col min="13831" max="13831" width="11.28515625" bestFit="1" customWidth="1"/>
    <col min="13832" max="13833" width="11.140625" bestFit="1" customWidth="1"/>
    <col min="13834" max="13834" width="10.7109375" bestFit="1" customWidth="1"/>
    <col min="13835" max="13836" width="11.140625" bestFit="1" customWidth="1"/>
    <col min="13837" max="13837" width="12.7109375" bestFit="1" customWidth="1"/>
    <col min="13838" max="13838" width="11.140625" bestFit="1" customWidth="1"/>
    <col min="13839" max="13839" width="13.42578125" bestFit="1" customWidth="1"/>
    <col min="13841" max="13842" width="11.7109375" customWidth="1"/>
    <col min="13844" max="13844" width="15.85546875" customWidth="1"/>
    <col min="13846" max="13846" width="11.140625" bestFit="1" customWidth="1"/>
    <col min="13847" max="13847" width="8.28515625" customWidth="1"/>
    <col min="13848" max="13848" width="7" customWidth="1"/>
    <col min="14083" max="14083" width="11.140625" bestFit="1" customWidth="1"/>
    <col min="14084" max="14084" width="10.7109375" bestFit="1" customWidth="1"/>
    <col min="14085" max="14085" width="16.85546875" bestFit="1" customWidth="1"/>
    <col min="14086" max="14086" width="15" bestFit="1" customWidth="1"/>
    <col min="14087" max="14087" width="11.28515625" bestFit="1" customWidth="1"/>
    <col min="14088" max="14089" width="11.140625" bestFit="1" customWidth="1"/>
    <col min="14090" max="14090" width="10.7109375" bestFit="1" customWidth="1"/>
    <col min="14091" max="14092" width="11.140625" bestFit="1" customWidth="1"/>
    <col min="14093" max="14093" width="12.7109375" bestFit="1" customWidth="1"/>
    <col min="14094" max="14094" width="11.140625" bestFit="1" customWidth="1"/>
    <col min="14095" max="14095" width="13.42578125" bestFit="1" customWidth="1"/>
    <col min="14097" max="14098" width="11.7109375" customWidth="1"/>
    <col min="14100" max="14100" width="15.85546875" customWidth="1"/>
    <col min="14102" max="14102" width="11.140625" bestFit="1" customWidth="1"/>
    <col min="14103" max="14103" width="8.28515625" customWidth="1"/>
    <col min="14104" max="14104" width="7" customWidth="1"/>
    <col min="14339" max="14339" width="11.140625" bestFit="1" customWidth="1"/>
    <col min="14340" max="14340" width="10.7109375" bestFit="1" customWidth="1"/>
    <col min="14341" max="14341" width="16.85546875" bestFit="1" customWidth="1"/>
    <col min="14342" max="14342" width="15" bestFit="1" customWidth="1"/>
    <col min="14343" max="14343" width="11.28515625" bestFit="1" customWidth="1"/>
    <col min="14344" max="14345" width="11.140625" bestFit="1" customWidth="1"/>
    <col min="14346" max="14346" width="10.7109375" bestFit="1" customWidth="1"/>
    <col min="14347" max="14348" width="11.140625" bestFit="1" customWidth="1"/>
    <col min="14349" max="14349" width="12.7109375" bestFit="1" customWidth="1"/>
    <col min="14350" max="14350" width="11.140625" bestFit="1" customWidth="1"/>
    <col min="14351" max="14351" width="13.42578125" bestFit="1" customWidth="1"/>
    <col min="14353" max="14354" width="11.7109375" customWidth="1"/>
    <col min="14356" max="14356" width="15.85546875" customWidth="1"/>
    <col min="14358" max="14358" width="11.140625" bestFit="1" customWidth="1"/>
    <col min="14359" max="14359" width="8.28515625" customWidth="1"/>
    <col min="14360" max="14360" width="7" customWidth="1"/>
    <col min="14595" max="14595" width="11.140625" bestFit="1" customWidth="1"/>
    <col min="14596" max="14596" width="10.7109375" bestFit="1" customWidth="1"/>
    <col min="14597" max="14597" width="16.85546875" bestFit="1" customWidth="1"/>
    <col min="14598" max="14598" width="15" bestFit="1" customWidth="1"/>
    <col min="14599" max="14599" width="11.28515625" bestFit="1" customWidth="1"/>
    <col min="14600" max="14601" width="11.140625" bestFit="1" customWidth="1"/>
    <col min="14602" max="14602" width="10.7109375" bestFit="1" customWidth="1"/>
    <col min="14603" max="14604" width="11.140625" bestFit="1" customWidth="1"/>
    <col min="14605" max="14605" width="12.7109375" bestFit="1" customWidth="1"/>
    <col min="14606" max="14606" width="11.140625" bestFit="1" customWidth="1"/>
    <col min="14607" max="14607" width="13.42578125" bestFit="1" customWidth="1"/>
    <col min="14609" max="14610" width="11.7109375" customWidth="1"/>
    <col min="14612" max="14612" width="15.85546875" customWidth="1"/>
    <col min="14614" max="14614" width="11.140625" bestFit="1" customWidth="1"/>
    <col min="14615" max="14615" width="8.28515625" customWidth="1"/>
    <col min="14616" max="14616" width="7" customWidth="1"/>
    <col min="14851" max="14851" width="11.140625" bestFit="1" customWidth="1"/>
    <col min="14852" max="14852" width="10.7109375" bestFit="1" customWidth="1"/>
    <col min="14853" max="14853" width="16.85546875" bestFit="1" customWidth="1"/>
    <col min="14854" max="14854" width="15" bestFit="1" customWidth="1"/>
    <col min="14855" max="14855" width="11.28515625" bestFit="1" customWidth="1"/>
    <col min="14856" max="14857" width="11.140625" bestFit="1" customWidth="1"/>
    <col min="14858" max="14858" width="10.7109375" bestFit="1" customWidth="1"/>
    <col min="14859" max="14860" width="11.140625" bestFit="1" customWidth="1"/>
    <col min="14861" max="14861" width="12.7109375" bestFit="1" customWidth="1"/>
    <col min="14862" max="14862" width="11.140625" bestFit="1" customWidth="1"/>
    <col min="14863" max="14863" width="13.42578125" bestFit="1" customWidth="1"/>
    <col min="14865" max="14866" width="11.7109375" customWidth="1"/>
    <col min="14868" max="14868" width="15.85546875" customWidth="1"/>
    <col min="14870" max="14870" width="11.140625" bestFit="1" customWidth="1"/>
    <col min="14871" max="14871" width="8.28515625" customWidth="1"/>
    <col min="14872" max="14872" width="7" customWidth="1"/>
    <col min="15107" max="15107" width="11.140625" bestFit="1" customWidth="1"/>
    <col min="15108" max="15108" width="10.7109375" bestFit="1" customWidth="1"/>
    <col min="15109" max="15109" width="16.85546875" bestFit="1" customWidth="1"/>
    <col min="15110" max="15110" width="15" bestFit="1" customWidth="1"/>
    <col min="15111" max="15111" width="11.28515625" bestFit="1" customWidth="1"/>
    <col min="15112" max="15113" width="11.140625" bestFit="1" customWidth="1"/>
    <col min="15114" max="15114" width="10.7109375" bestFit="1" customWidth="1"/>
    <col min="15115" max="15116" width="11.140625" bestFit="1" customWidth="1"/>
    <col min="15117" max="15117" width="12.7109375" bestFit="1" customWidth="1"/>
    <col min="15118" max="15118" width="11.140625" bestFit="1" customWidth="1"/>
    <col min="15119" max="15119" width="13.42578125" bestFit="1" customWidth="1"/>
    <col min="15121" max="15122" width="11.7109375" customWidth="1"/>
    <col min="15124" max="15124" width="15.85546875" customWidth="1"/>
    <col min="15126" max="15126" width="11.140625" bestFit="1" customWidth="1"/>
    <col min="15127" max="15127" width="8.28515625" customWidth="1"/>
    <col min="15128" max="15128" width="7" customWidth="1"/>
    <col min="15363" max="15363" width="11.140625" bestFit="1" customWidth="1"/>
    <col min="15364" max="15364" width="10.7109375" bestFit="1" customWidth="1"/>
    <col min="15365" max="15365" width="16.85546875" bestFit="1" customWidth="1"/>
    <col min="15366" max="15366" width="15" bestFit="1" customWidth="1"/>
    <col min="15367" max="15367" width="11.28515625" bestFit="1" customWidth="1"/>
    <col min="15368" max="15369" width="11.140625" bestFit="1" customWidth="1"/>
    <col min="15370" max="15370" width="10.7109375" bestFit="1" customWidth="1"/>
    <col min="15371" max="15372" width="11.140625" bestFit="1" customWidth="1"/>
    <col min="15373" max="15373" width="12.7109375" bestFit="1" customWidth="1"/>
    <col min="15374" max="15374" width="11.140625" bestFit="1" customWidth="1"/>
    <col min="15375" max="15375" width="13.42578125" bestFit="1" customWidth="1"/>
    <col min="15377" max="15378" width="11.7109375" customWidth="1"/>
    <col min="15380" max="15380" width="15.85546875" customWidth="1"/>
    <col min="15382" max="15382" width="11.140625" bestFit="1" customWidth="1"/>
    <col min="15383" max="15383" width="8.28515625" customWidth="1"/>
    <col min="15384" max="15384" width="7" customWidth="1"/>
    <col min="15619" max="15619" width="11.140625" bestFit="1" customWidth="1"/>
    <col min="15620" max="15620" width="10.7109375" bestFit="1" customWidth="1"/>
    <col min="15621" max="15621" width="16.85546875" bestFit="1" customWidth="1"/>
    <col min="15622" max="15622" width="15" bestFit="1" customWidth="1"/>
    <col min="15623" max="15623" width="11.28515625" bestFit="1" customWidth="1"/>
    <col min="15624" max="15625" width="11.140625" bestFit="1" customWidth="1"/>
    <col min="15626" max="15626" width="10.7109375" bestFit="1" customWidth="1"/>
    <col min="15627" max="15628" width="11.140625" bestFit="1" customWidth="1"/>
    <col min="15629" max="15629" width="12.7109375" bestFit="1" customWidth="1"/>
    <col min="15630" max="15630" width="11.140625" bestFit="1" customWidth="1"/>
    <col min="15631" max="15631" width="13.42578125" bestFit="1" customWidth="1"/>
    <col min="15633" max="15634" width="11.7109375" customWidth="1"/>
    <col min="15636" max="15636" width="15.85546875" customWidth="1"/>
    <col min="15638" max="15638" width="11.140625" bestFit="1" customWidth="1"/>
    <col min="15639" max="15639" width="8.28515625" customWidth="1"/>
    <col min="15640" max="15640" width="7" customWidth="1"/>
    <col min="15875" max="15875" width="11.140625" bestFit="1" customWidth="1"/>
    <col min="15876" max="15876" width="10.7109375" bestFit="1" customWidth="1"/>
    <col min="15877" max="15877" width="16.85546875" bestFit="1" customWidth="1"/>
    <col min="15878" max="15878" width="15" bestFit="1" customWidth="1"/>
    <col min="15879" max="15879" width="11.28515625" bestFit="1" customWidth="1"/>
    <col min="15880" max="15881" width="11.140625" bestFit="1" customWidth="1"/>
    <col min="15882" max="15882" width="10.7109375" bestFit="1" customWidth="1"/>
    <col min="15883" max="15884" width="11.140625" bestFit="1" customWidth="1"/>
    <col min="15885" max="15885" width="12.7109375" bestFit="1" customWidth="1"/>
    <col min="15886" max="15886" width="11.140625" bestFit="1" customWidth="1"/>
    <col min="15887" max="15887" width="13.42578125" bestFit="1" customWidth="1"/>
    <col min="15889" max="15890" width="11.7109375" customWidth="1"/>
    <col min="15892" max="15892" width="15.85546875" customWidth="1"/>
    <col min="15894" max="15894" width="11.140625" bestFit="1" customWidth="1"/>
    <col min="15895" max="15895" width="8.28515625" customWidth="1"/>
    <col min="15896" max="15896" width="7" customWidth="1"/>
    <col min="16131" max="16131" width="11.140625" bestFit="1" customWidth="1"/>
    <col min="16132" max="16132" width="10.7109375" bestFit="1" customWidth="1"/>
    <col min="16133" max="16133" width="16.85546875" bestFit="1" customWidth="1"/>
    <col min="16134" max="16134" width="15" bestFit="1" customWidth="1"/>
    <col min="16135" max="16135" width="11.28515625" bestFit="1" customWidth="1"/>
    <col min="16136" max="16137" width="11.140625" bestFit="1" customWidth="1"/>
    <col min="16138" max="16138" width="10.7109375" bestFit="1" customWidth="1"/>
    <col min="16139" max="16140" width="11.140625" bestFit="1" customWidth="1"/>
    <col min="16141" max="16141" width="12.7109375" bestFit="1" customWidth="1"/>
    <col min="16142" max="16142" width="11.140625" bestFit="1" customWidth="1"/>
    <col min="16143" max="16143" width="13.42578125" bestFit="1" customWidth="1"/>
    <col min="16145" max="16146" width="11.7109375" customWidth="1"/>
    <col min="16148" max="16148" width="15.85546875" customWidth="1"/>
    <col min="16150" max="16150" width="11.140625" bestFit="1" customWidth="1"/>
    <col min="16151" max="16151" width="8.28515625" customWidth="1"/>
    <col min="16152" max="16152" width="7" customWidth="1"/>
  </cols>
  <sheetData>
    <row r="2" spans="1:22">
      <c r="C2" t="s">
        <v>0</v>
      </c>
      <c r="E2" t="s">
        <v>1</v>
      </c>
      <c r="I2" t="s">
        <v>2</v>
      </c>
      <c r="K2" t="s">
        <v>1</v>
      </c>
      <c r="M2" t="s">
        <v>460</v>
      </c>
      <c r="O2" t="s">
        <v>1</v>
      </c>
      <c r="Q2" s="1" t="s">
        <v>4</v>
      </c>
      <c r="T2" t="s">
        <v>5</v>
      </c>
    </row>
    <row r="3" spans="1:22" s="2" customFormat="1" ht="12.75">
      <c r="A3" s="2">
        <v>2019</v>
      </c>
      <c r="C3" s="80">
        <v>908.9</v>
      </c>
      <c r="D3" s="3"/>
      <c r="F3" s="3"/>
      <c r="I3" s="80">
        <v>75505.320000000007</v>
      </c>
      <c r="M3" s="3"/>
      <c r="Q3" s="80">
        <v>124544.71</v>
      </c>
      <c r="R3" s="3"/>
      <c r="T3" s="80">
        <f>C3 + I3 + Q3</f>
        <v>200958.93</v>
      </c>
    </row>
    <row r="4" spans="1:22" s="2" customFormat="1">
      <c r="A4" s="4">
        <v>43831</v>
      </c>
      <c r="C4" s="3">
        <v>5061.6099999999997</v>
      </c>
      <c r="D4" s="3">
        <v>4809.29</v>
      </c>
      <c r="E4" s="108">
        <f t="shared" ref="E4:E9" si="0">( (C4-D4)/C3 -1)</f>
        <v>-0.72238970183738616</v>
      </c>
      <c r="F4" s="3">
        <v>1220.07</v>
      </c>
      <c r="G4" s="5">
        <f t="shared" ref="G4:G9" si="1">(F4/C4)</f>
        <v>0.24104385758681526</v>
      </c>
      <c r="I4" s="3">
        <v>125984.25</v>
      </c>
      <c r="J4" s="3">
        <v>-1958.12</v>
      </c>
      <c r="K4" s="5">
        <f>((I4-J4)/I3) -1</f>
        <v>0.69448152792412476</v>
      </c>
      <c r="L4" s="5"/>
      <c r="M4" s="3"/>
      <c r="N4" s="3"/>
      <c r="O4" s="5"/>
      <c r="P4" s="5"/>
      <c r="Q4" s="3">
        <v>169551.84</v>
      </c>
      <c r="R4" s="5">
        <f t="shared" ref="R4:R10" si="2">Q4/Q3 -1</f>
        <v>0.36137327711470024</v>
      </c>
      <c r="T4" s="3">
        <f>C4 + I4 + Q4</f>
        <v>300597.7</v>
      </c>
      <c r="U4" s="102">
        <f>T4/T3 -1</f>
        <v>0.49581658302022213</v>
      </c>
      <c r="V4" s="7">
        <f>T4/T3 -1</f>
        <v>0.49581658302022213</v>
      </c>
    </row>
    <row r="5" spans="1:22" s="2" customFormat="1">
      <c r="A5" s="4">
        <v>44197</v>
      </c>
      <c r="C5" s="3">
        <v>15011.69</v>
      </c>
      <c r="D5" s="3">
        <v>3253.8</v>
      </c>
      <c r="E5" s="102">
        <f t="shared" si="0"/>
        <v>1.3229545539857872</v>
      </c>
      <c r="F5" s="3">
        <v>8031.94</v>
      </c>
      <c r="G5" s="102">
        <f t="shared" si="1"/>
        <v>0.53504568772736438</v>
      </c>
      <c r="I5" s="3">
        <v>135360.94</v>
      </c>
      <c r="J5" s="3"/>
      <c r="K5" s="5">
        <f>((I5+J5)/I4) -1</f>
        <v>7.4427478037929262E-2</v>
      </c>
      <c r="L5" s="5"/>
      <c r="M5" s="3"/>
      <c r="N5" s="3"/>
      <c r="O5" s="5"/>
      <c r="P5" s="5"/>
      <c r="Q5" s="3">
        <v>241561.18</v>
      </c>
      <c r="R5" s="102">
        <f t="shared" si="2"/>
        <v>0.42470397254314673</v>
      </c>
      <c r="T5" s="3">
        <f>C5 + I5 + Q5</f>
        <v>391933.81</v>
      </c>
      <c r="U5" s="5">
        <f>T5/T4 -1</f>
        <v>0.30384833283820867</v>
      </c>
      <c r="V5" s="7">
        <f>T5/T3 -1</f>
        <v>0.95031795800266261</v>
      </c>
    </row>
    <row r="6" spans="1:22" s="2" customFormat="1">
      <c r="A6" s="4">
        <v>44562</v>
      </c>
      <c r="C6" s="82">
        <v>18166.45</v>
      </c>
      <c r="D6" s="3">
        <v>3109.78</v>
      </c>
      <c r="E6" s="5">
        <f t="shared" si="0"/>
        <v>2.9963315256309464E-3</v>
      </c>
      <c r="F6" s="3">
        <v>2340.23</v>
      </c>
      <c r="G6" s="5">
        <f t="shared" si="1"/>
        <v>0.12882153640364519</v>
      </c>
      <c r="I6" s="3">
        <v>170104.5</v>
      </c>
      <c r="J6" s="3"/>
      <c r="K6" s="5">
        <f>((I6+J6)/I5) -1</f>
        <v>0.25667345395207808</v>
      </c>
      <c r="L6" s="5"/>
      <c r="M6" s="82">
        <v>234276.84</v>
      </c>
      <c r="N6" s="3">
        <v>226247.79</v>
      </c>
      <c r="O6" s="102">
        <f>((M6-N6)/N6)</f>
        <v>3.5487860456007055E-2</v>
      </c>
      <c r="P6" s="5"/>
      <c r="Q6" s="3">
        <v>319120.92</v>
      </c>
      <c r="R6" s="5">
        <f t="shared" si="2"/>
        <v>0.32107700417757523</v>
      </c>
      <c r="T6" s="3">
        <f t="shared" ref="T6:T17" si="3">C6 + I6 + M6 + Q6</f>
        <v>741668.71</v>
      </c>
      <c r="U6" s="5">
        <f>(T6-N6)/T5 -1</f>
        <v>0.31507133819355859</v>
      </c>
      <c r="V6" s="104">
        <f>T6/T3 -1</f>
        <v>2.6906481836860894</v>
      </c>
    </row>
    <row r="7" spans="1:22" s="2" customFormat="1">
      <c r="A7" s="4">
        <v>44927</v>
      </c>
      <c r="C7" s="3">
        <v>10169.06</v>
      </c>
      <c r="D7" s="3"/>
      <c r="E7" s="5">
        <f t="shared" si="0"/>
        <v>-0.44022855318457932</v>
      </c>
      <c r="F7" s="3">
        <v>-13707.94</v>
      </c>
      <c r="G7" s="5">
        <f t="shared" si="1"/>
        <v>-1.3480046336632885</v>
      </c>
      <c r="I7" s="3">
        <v>84285.27</v>
      </c>
      <c r="J7" s="3">
        <v>-39851.4</v>
      </c>
      <c r="K7" s="5">
        <f>(I7/(I6+J7)) -1</f>
        <v>-0.35291160056843174</v>
      </c>
      <c r="L7" s="5"/>
      <c r="M7" s="3">
        <v>75262.63</v>
      </c>
      <c r="N7" s="3">
        <v>-105148.6</v>
      </c>
      <c r="O7" s="108">
        <f>M7/(M6+N7)-1</f>
        <v>-0.41714817765656831</v>
      </c>
      <c r="P7" s="5"/>
      <c r="Q7" s="3">
        <v>294732.3</v>
      </c>
      <c r="R7" s="108">
        <f t="shared" si="2"/>
        <v>-7.6424384838198578E-2</v>
      </c>
      <c r="T7" s="3">
        <f t="shared" si="3"/>
        <v>464449.26</v>
      </c>
      <c r="U7" s="108">
        <f>(T7-N7-J7)/T6 -1</f>
        <v>-0.17827292457841448</v>
      </c>
      <c r="V7" s="7">
        <f>T7/T3 -1</f>
        <v>1.3111650723856862</v>
      </c>
    </row>
    <row r="8" spans="1:22" s="2" customFormat="1">
      <c r="A8" s="4">
        <v>45292</v>
      </c>
      <c r="C8" s="3">
        <v>10194.43</v>
      </c>
      <c r="D8" s="3"/>
      <c r="E8" s="5">
        <f t="shared" si="0"/>
        <v>2.4948225303027538E-3</v>
      </c>
      <c r="F8" s="3">
        <v>-3092.94</v>
      </c>
      <c r="G8" s="5">
        <f t="shared" si="1"/>
        <v>-0.30339508927914555</v>
      </c>
      <c r="I8" s="3">
        <v>193663.5</v>
      </c>
      <c r="J8" s="3">
        <v>-20593.150000000001</v>
      </c>
      <c r="K8" s="105">
        <f>((I8-J8)/I7) -1</f>
        <v>1.5420414504218827</v>
      </c>
      <c r="L8" s="5"/>
      <c r="M8" s="3">
        <v>53898.82</v>
      </c>
      <c r="N8" s="3">
        <v>-16893.400000000001</v>
      </c>
      <c r="O8" s="5">
        <f>M8/(M7+N8)-1</f>
        <v>-7.6588469644023105E-2</v>
      </c>
      <c r="P8" s="5"/>
      <c r="Q8" s="3">
        <v>398977.73</v>
      </c>
      <c r="R8" s="5">
        <f t="shared" si="2"/>
        <v>0.35369530248296499</v>
      </c>
      <c r="T8" s="3">
        <f t="shared" si="3"/>
        <v>656734.48</v>
      </c>
      <c r="U8" s="5">
        <f>(T8-N8-J8)/T7 -1</f>
        <v>0.49471877724597957</v>
      </c>
      <c r="V8" s="7">
        <f>T8/T3 -1</f>
        <v>2.2680034671761042</v>
      </c>
    </row>
    <row r="9" spans="1:22" s="2" customFormat="1">
      <c r="A9" s="4">
        <v>45658</v>
      </c>
      <c r="C9" s="3">
        <v>12345.33</v>
      </c>
      <c r="D9" s="3"/>
      <c r="E9" s="5">
        <f t="shared" si="0"/>
        <v>0.2109877648872962</v>
      </c>
      <c r="F9" s="3">
        <v>3195.98</v>
      </c>
      <c r="G9" s="5">
        <f t="shared" si="1"/>
        <v>0.25888169858561899</v>
      </c>
      <c r="I9" s="3">
        <v>95999.4</v>
      </c>
      <c r="J9" s="3">
        <v>-15760.72</v>
      </c>
      <c r="K9" s="108">
        <f>((I9-J9)/I8) -1</f>
        <v>-0.42291593408153838</v>
      </c>
      <c r="L9" s="5"/>
      <c r="M9" s="3">
        <v>26492.47</v>
      </c>
      <c r="N9" s="3">
        <v>-8680.85</v>
      </c>
      <c r="O9" s="5">
        <f>M9/(M8+N9)-1</f>
        <v>-0.41411633472267773</v>
      </c>
      <c r="P9" s="5"/>
      <c r="Q9" s="83">
        <v>470401.19</v>
      </c>
      <c r="R9" s="5">
        <f t="shared" si="2"/>
        <v>0.17901615711734098</v>
      </c>
      <c r="T9" s="83">
        <f t="shared" si="3"/>
        <v>605238.39</v>
      </c>
      <c r="U9" s="5">
        <f>(T9-N9-J9)/T8 -1</f>
        <v>-4.1195522427876829E-2</v>
      </c>
      <c r="V9" s="7">
        <f>T9/T3 -1</f>
        <v>2.0117516549277012</v>
      </c>
    </row>
    <row r="10" spans="1:22">
      <c r="A10" s="6">
        <v>45689</v>
      </c>
      <c r="C10" s="1">
        <v>12573.64</v>
      </c>
      <c r="E10" s="7">
        <f t="shared" ref="E10:E15" si="4">( C10/C9 -1)</f>
        <v>1.8493632814999605E-2</v>
      </c>
      <c r="F10" s="1">
        <v>39.74</v>
      </c>
      <c r="G10" s="7">
        <f t="shared" ref="G10:G15" si="5">(F10/C8)</f>
        <v>3.8982071582226766E-3</v>
      </c>
      <c r="I10" s="81">
        <v>91942.76</v>
      </c>
      <c r="J10" s="1">
        <v>-1203.96</v>
      </c>
      <c r="K10" s="7">
        <f t="shared" ref="K10:K15" si="6">((I10-J10)/I9) -1</f>
        <v>-2.9715602389181583E-2</v>
      </c>
      <c r="L10" s="7"/>
      <c r="M10" s="1">
        <v>27353.3</v>
      </c>
      <c r="N10" s="1">
        <v>-1296.04</v>
      </c>
      <c r="O10" s="7">
        <f t="shared" ref="O10:O15" si="7">((M10-N10)/M9) -1</f>
        <v>8.1414454748840015E-2</v>
      </c>
      <c r="P10" s="7"/>
      <c r="Q10" s="1">
        <v>489732.63</v>
      </c>
      <c r="R10" s="122">
        <f t="shared" si="2"/>
        <v>4.1095644337124204E-2</v>
      </c>
      <c r="T10" s="1">
        <f t="shared" si="3"/>
        <v>621602.32999999996</v>
      </c>
      <c r="U10" s="7">
        <f t="shared" ref="U10:U16" si="8">T10/T9 -1</f>
        <v>2.7037181167572477E-2</v>
      </c>
      <c r="V10" s="7">
        <f>T10/T9 -1</f>
        <v>2.7037181167572477E-2</v>
      </c>
    </row>
    <row r="11" spans="1:22">
      <c r="A11" s="6">
        <v>45717</v>
      </c>
      <c r="C11" s="1">
        <v>12520.98</v>
      </c>
      <c r="E11" s="7">
        <f t="shared" si="4"/>
        <v>-4.1881269067668425E-3</v>
      </c>
      <c r="F11" s="1">
        <v>185.98</v>
      </c>
      <c r="G11" s="7">
        <f t="shared" si="5"/>
        <v>1.5064805882062285E-2</v>
      </c>
      <c r="I11" s="1">
        <v>121262.11</v>
      </c>
      <c r="J11" s="1">
        <v>-2802.23</v>
      </c>
      <c r="K11" s="7">
        <f t="shared" si="6"/>
        <v>0.3493649744688978</v>
      </c>
      <c r="L11" s="7"/>
      <c r="M11" s="1">
        <v>28028.31</v>
      </c>
      <c r="N11" s="1">
        <v>2302.23</v>
      </c>
      <c r="O11" s="7">
        <f t="shared" si="7"/>
        <v>-5.9488983047749189E-2</v>
      </c>
      <c r="P11" s="7"/>
      <c r="Q11" s="1">
        <v>501100.79999999999</v>
      </c>
      <c r="R11" s="122">
        <f t="shared" ref="R11:R18" si="9">Q11/Q10 -1</f>
        <v>2.3213013190483078E-2</v>
      </c>
      <c r="T11" s="1">
        <f t="shared" si="3"/>
        <v>662912.19999999995</v>
      </c>
      <c r="U11" s="7">
        <f t="shared" si="8"/>
        <v>6.645707071271767E-2</v>
      </c>
      <c r="V11" s="7">
        <f>T11/T9 -1</f>
        <v>9.5291063741016035E-2</v>
      </c>
    </row>
    <row r="12" spans="1:22">
      <c r="A12" s="6">
        <v>45748</v>
      </c>
      <c r="C12" s="1">
        <v>11392.63</v>
      </c>
      <c r="E12" s="109">
        <f t="shared" si="4"/>
        <v>-9.0116748050072748E-2</v>
      </c>
      <c r="F12" s="1">
        <v>-241.36</v>
      </c>
      <c r="G12" s="7">
        <f t="shared" si="5"/>
        <v>-1.9195714208455152E-2</v>
      </c>
      <c r="I12" s="1">
        <v>119045.82</v>
      </c>
      <c r="J12" s="1"/>
      <c r="K12" s="7">
        <f t="shared" si="6"/>
        <v>-1.8276854987926527E-2</v>
      </c>
      <c r="L12" s="7"/>
      <c r="M12" s="45">
        <v>25691.97</v>
      </c>
      <c r="N12" s="1"/>
      <c r="O12" s="7">
        <f t="shared" si="7"/>
        <v>-8.33564349759226E-2</v>
      </c>
      <c r="P12" s="7"/>
      <c r="Q12" s="1">
        <v>480504.87</v>
      </c>
      <c r="R12" s="126">
        <f t="shared" si="9"/>
        <v>-4.1101371221119565E-2</v>
      </c>
      <c r="T12" s="1">
        <f t="shared" si="3"/>
        <v>636635.29</v>
      </c>
      <c r="U12" s="109">
        <f t="shared" si="8"/>
        <v>-3.9638597690614064E-2</v>
      </c>
      <c r="V12" s="7">
        <f>T12/T9 -1</f>
        <v>5.1875261911261239E-2</v>
      </c>
    </row>
    <row r="13" spans="1:22">
      <c r="A13" s="6">
        <v>45778</v>
      </c>
      <c r="C13" s="81">
        <v>11232.06</v>
      </c>
      <c r="E13" s="7">
        <f t="shared" si="4"/>
        <v>-1.4094199495638837E-2</v>
      </c>
      <c r="F13" s="1">
        <v>-130.22</v>
      </c>
      <c r="G13" s="7">
        <f t="shared" si="5"/>
        <v>-1.0400144397642997E-2</v>
      </c>
      <c r="I13" s="1">
        <v>104901.9</v>
      </c>
      <c r="J13" s="1">
        <v>-505.98</v>
      </c>
      <c r="K13" s="109">
        <f t="shared" si="6"/>
        <v>-0.11456042723717652</v>
      </c>
      <c r="L13" s="7"/>
      <c r="M13" s="1">
        <v>28072.39</v>
      </c>
      <c r="N13" s="1">
        <v>6000</v>
      </c>
      <c r="O13" s="109">
        <f t="shared" si="7"/>
        <v>-0.14088370802238992</v>
      </c>
      <c r="P13" s="7"/>
      <c r="Q13" s="1">
        <v>477577.75</v>
      </c>
      <c r="R13" s="122">
        <f t="shared" si="9"/>
        <v>-6.0917592781108976E-3</v>
      </c>
      <c r="T13" s="1">
        <f t="shared" si="3"/>
        <v>621784.1</v>
      </c>
      <c r="U13" s="7">
        <f t="shared" si="8"/>
        <v>-2.3327626088714082E-2</v>
      </c>
      <c r="V13" s="7">
        <f>T13/T9 -1</f>
        <v>2.7337509109427005E-2</v>
      </c>
    </row>
    <row r="14" spans="1:22">
      <c r="A14" s="6">
        <v>45809</v>
      </c>
      <c r="C14" s="1">
        <v>12260</v>
      </c>
      <c r="E14" s="7">
        <f t="shared" si="4"/>
        <v>9.1518385763608823E-2</v>
      </c>
      <c r="F14" s="1">
        <v>-63.28</v>
      </c>
      <c r="G14" s="7">
        <f t="shared" si="5"/>
        <v>-5.5544681078908038E-3</v>
      </c>
      <c r="I14" s="1">
        <v>104025.55</v>
      </c>
      <c r="J14" s="1"/>
      <c r="K14" s="7">
        <f t="shared" si="6"/>
        <v>-8.3539954948383954E-3</v>
      </c>
      <c r="L14" s="7"/>
      <c r="M14" s="1">
        <v>32371.17</v>
      </c>
      <c r="N14" s="1">
        <v>-1500</v>
      </c>
      <c r="O14" s="88">
        <f t="shared" si="7"/>
        <v>0.20656524079353411</v>
      </c>
      <c r="P14" s="7"/>
      <c r="Q14" s="1">
        <v>504975.77</v>
      </c>
      <c r="R14" s="122">
        <f t="shared" si="9"/>
        <v>5.7368711167972153E-2</v>
      </c>
      <c r="T14" s="1">
        <f t="shared" si="3"/>
        <v>653632.49</v>
      </c>
      <c r="U14" s="7">
        <f t="shared" si="8"/>
        <v>5.1220978471466339E-2</v>
      </c>
      <c r="V14" s="7">
        <f>T14/T9 -1</f>
        <v>7.9958741546450662E-2</v>
      </c>
    </row>
    <row r="15" spans="1:22">
      <c r="A15" s="6">
        <v>45839</v>
      </c>
      <c r="C15" s="1">
        <v>13165.27</v>
      </c>
      <c r="E15" s="7">
        <f t="shared" si="4"/>
        <v>7.3839314845024484E-2</v>
      </c>
      <c r="F15" s="1">
        <v>151.84</v>
      </c>
      <c r="G15" s="7">
        <f t="shared" si="5"/>
        <v>1.3518446304595953E-2</v>
      </c>
      <c r="I15" s="1">
        <v>124006.39999999999</v>
      </c>
      <c r="J15" s="1"/>
      <c r="K15" s="7">
        <f t="shared" si="6"/>
        <v>0.19207636969955932</v>
      </c>
      <c r="L15" s="7"/>
      <c r="M15" s="1">
        <v>32524.15</v>
      </c>
      <c r="N15" s="1">
        <v>-3000</v>
      </c>
      <c r="O15" s="7">
        <f t="shared" si="7"/>
        <v>9.7400866264642394E-2</v>
      </c>
      <c r="P15" s="7"/>
      <c r="Q15" s="1">
        <v>536582.93999999994</v>
      </c>
      <c r="R15" s="122">
        <f t="shared" si="9"/>
        <v>6.2591458596122251E-2</v>
      </c>
      <c r="T15" s="1">
        <f t="shared" si="3"/>
        <v>706278.75999999989</v>
      </c>
      <c r="U15" s="7">
        <f t="shared" si="8"/>
        <v>8.0544144921559591E-2</v>
      </c>
      <c r="V15" s="7">
        <f>T15/T9 -1</f>
        <v>0.16694309493487336</v>
      </c>
    </row>
    <row r="16" spans="1:22">
      <c r="A16" s="6">
        <v>45870</v>
      </c>
      <c r="C16" s="1">
        <v>13840.64</v>
      </c>
      <c r="E16" s="7">
        <f>( C16/C15 -1)</f>
        <v>5.1299365679549291E-2</v>
      </c>
      <c r="F16" s="1">
        <v>1217.44</v>
      </c>
      <c r="G16" s="7">
        <f t="shared" ref="G16:G21" si="10">(F16/C14)</f>
        <v>9.9301794453507342E-2</v>
      </c>
      <c r="I16" s="1">
        <v>110602.8</v>
      </c>
      <c r="J16" s="1"/>
      <c r="K16" s="7">
        <f t="shared" ref="K16:K21" si="11">((I16-J16)/I15) -1</f>
        <v>-0.10808796965317913</v>
      </c>
      <c r="L16" s="7"/>
      <c r="M16" s="1">
        <v>33242.19</v>
      </c>
      <c r="N16" s="1">
        <v>-1000</v>
      </c>
      <c r="O16" s="7">
        <f t="shared" ref="O16:O21" si="12">((M16-N16)/M15) -1</f>
        <v>5.2823517294072309E-2</v>
      </c>
      <c r="P16" s="7"/>
      <c r="Q16" s="1">
        <v>536650.92000000004</v>
      </c>
      <c r="R16" s="122">
        <f t="shared" si="9"/>
        <v>1.2669057275682682E-4</v>
      </c>
      <c r="T16" s="1">
        <f t="shared" si="3"/>
        <v>694336.55</v>
      </c>
      <c r="U16" s="7">
        <f t="shared" si="8"/>
        <v>-1.6908635338261924E-2</v>
      </c>
      <c r="V16" s="7">
        <f>T16/T9 -1</f>
        <v>0.14721167968211679</v>
      </c>
    </row>
    <row r="17" spans="1:22">
      <c r="A17" s="6">
        <v>45901</v>
      </c>
      <c r="C17" s="1">
        <v>14514.79</v>
      </c>
      <c r="E17" s="7">
        <f>( C17/C16 -1)</f>
        <v>4.8708007722186419E-2</v>
      </c>
      <c r="F17" s="1">
        <v>-484.21</v>
      </c>
      <c r="G17" s="7">
        <f t="shared" si="10"/>
        <v>-3.6779344441853448E-2</v>
      </c>
      <c r="I17" s="1">
        <v>146294.79999999999</v>
      </c>
      <c r="J17" s="1"/>
      <c r="K17" s="7">
        <f t="shared" si="11"/>
        <v>0.32270430766671354</v>
      </c>
      <c r="L17" s="7"/>
      <c r="M17" s="1">
        <v>36277.339999999997</v>
      </c>
      <c r="N17" s="1">
        <v>-500</v>
      </c>
      <c r="O17" s="7">
        <f t="shared" si="12"/>
        <v>0.10634527989882714</v>
      </c>
      <c r="P17" s="7"/>
      <c r="Q17" s="1">
        <v>565511.67000000004</v>
      </c>
      <c r="R17" s="122">
        <f t="shared" si="9"/>
        <v>5.3779373004708475E-2</v>
      </c>
      <c r="T17" s="1">
        <f t="shared" si="3"/>
        <v>762598.60000000009</v>
      </c>
      <c r="U17" s="7">
        <f>T17/T16 -1</f>
        <v>9.8312626636175349E-2</v>
      </c>
      <c r="V17" s="7">
        <f>T17/T9 -1</f>
        <v>0.25999707321936416</v>
      </c>
    </row>
    <row r="18" spans="1:22">
      <c r="A18" s="6">
        <v>45931</v>
      </c>
      <c r="C18" s="1">
        <v>15967.76</v>
      </c>
      <c r="E18" s="88">
        <f>( C18/C17 -1)</f>
        <v>0.10010272280894172</v>
      </c>
      <c r="F18" s="1">
        <v>1209.21</v>
      </c>
      <c r="G18" s="7">
        <f t="shared" si="10"/>
        <v>8.7366624664755393E-2</v>
      </c>
      <c r="I18" s="1">
        <v>206802.2</v>
      </c>
      <c r="J18" s="1">
        <v>-2006</v>
      </c>
      <c r="K18" s="88">
        <f t="shared" si="11"/>
        <v>0.42731115528371499</v>
      </c>
      <c r="L18" s="7"/>
      <c r="M18" s="71">
        <v>37251.050000000003</v>
      </c>
      <c r="N18" s="1">
        <v>-1500</v>
      </c>
      <c r="O18" s="7">
        <f t="shared" si="12"/>
        <v>6.8188847363120031E-2</v>
      </c>
      <c r="P18" s="7"/>
      <c r="Q18" s="1">
        <v>604771.31000000006</v>
      </c>
      <c r="R18" s="125">
        <f t="shared" si="9"/>
        <v>6.9423218092033334E-2</v>
      </c>
      <c r="T18" s="1">
        <f>C18 + I18 + M18 + Q18</f>
        <v>864792.32000000007</v>
      </c>
      <c r="U18" s="88">
        <f>T18/T17 -1</f>
        <v>0.1340072221480606</v>
      </c>
      <c r="V18" s="7">
        <f>T18/T9 -1</f>
        <v>0.42884578091617764</v>
      </c>
    </row>
    <row r="19" spans="1:22">
      <c r="A19" s="6">
        <v>45962</v>
      </c>
      <c r="C19" s="71">
        <v>17203.810000000001</v>
      </c>
      <c r="E19" s="7">
        <f>( C19/C18 -1)</f>
        <v>7.740910434525583E-2</v>
      </c>
      <c r="F19" s="1">
        <v>2113.7399999999998</v>
      </c>
      <c r="G19" s="7">
        <f t="shared" si="10"/>
        <v>0.14562663324788025</v>
      </c>
      <c r="I19" s="1">
        <v>248675.6</v>
      </c>
      <c r="J19" s="1"/>
      <c r="K19" s="7">
        <f t="shared" si="11"/>
        <v>0.20248043782899794</v>
      </c>
      <c r="L19" s="7"/>
      <c r="M19" s="1">
        <v>34226.089999999997</v>
      </c>
      <c r="N19" s="1">
        <v>-2000</v>
      </c>
      <c r="O19" s="7">
        <f t="shared" si="12"/>
        <v>-2.7514929109381026E-2</v>
      </c>
      <c r="P19" s="7"/>
      <c r="Q19" s="1">
        <v>633058.89</v>
      </c>
      <c r="R19" s="122">
        <f>Q19/Q18 -1</f>
        <v>4.677401115472879E-2</v>
      </c>
      <c r="T19" s="1">
        <f>C19 + I19 + M19 + Q19</f>
        <v>933164.39</v>
      </c>
      <c r="U19" s="7">
        <f>T19/T18 -1</f>
        <v>7.9061837644441635E-2</v>
      </c>
      <c r="V19" s="7">
        <f>T19/T9 -1</f>
        <v>0.54181295406591778</v>
      </c>
    </row>
    <row r="20" spans="1:22">
      <c r="A20" s="6">
        <v>45992</v>
      </c>
      <c r="C20" s="1">
        <v>15340.72</v>
      </c>
      <c r="D20" s="1">
        <v>-1465</v>
      </c>
      <c r="E20" s="7">
        <f>((C20-D20)/C19) -1</f>
        <v>-2.3139641742148997E-2</v>
      </c>
      <c r="F20" s="1">
        <v>-99.46</v>
      </c>
      <c r="G20" s="7">
        <f t="shared" si="10"/>
        <v>-6.2288010340836785E-3</v>
      </c>
      <c r="I20" s="101">
        <v>252283.2</v>
      </c>
      <c r="J20" s="1"/>
      <c r="K20" s="7">
        <f t="shared" si="11"/>
        <v>1.4507253626813377E-2</v>
      </c>
      <c r="L20" s="7"/>
      <c r="M20" s="1">
        <v>34888.44</v>
      </c>
      <c r="N20" s="1">
        <v>2465</v>
      </c>
      <c r="O20" s="7">
        <f t="shared" si="12"/>
        <v>-5.2668885052309378E-2</v>
      </c>
      <c r="P20" s="7"/>
      <c r="Q20" s="101">
        <v>640003.5</v>
      </c>
      <c r="R20" s="122">
        <f>Q20/Q19 -1</f>
        <v>1.0969927300128468E-2</v>
      </c>
      <c r="T20" s="101">
        <f>C20 + I20 + M20 + Q20</f>
        <v>942515.86</v>
      </c>
      <c r="U20" s="7">
        <f>T20/T19 -1</f>
        <v>1.002124609577093E-2</v>
      </c>
      <c r="V20" s="88">
        <f>T20/T9 -1</f>
        <v>0.55726384111225991</v>
      </c>
    </row>
    <row r="21" spans="1:22">
      <c r="A21" s="6">
        <v>46023</v>
      </c>
      <c r="C21" s="1">
        <v>17303.61</v>
      </c>
      <c r="D21" s="1">
        <v>1465</v>
      </c>
      <c r="E21" s="7">
        <f>((C21-D21)/C20) -1</f>
        <v>3.2455451895347931E-2</v>
      </c>
      <c r="F21" s="1">
        <v>-18.239999999999998</v>
      </c>
      <c r="G21" s="7">
        <f t="shared" si="10"/>
        <v>-1.0602302629475679E-3</v>
      </c>
      <c r="I21" s="1">
        <v>238199.59</v>
      </c>
      <c r="J21" s="1"/>
      <c r="K21" s="7">
        <f t="shared" si="11"/>
        <v>-5.5824605047026576E-2</v>
      </c>
      <c r="L21" s="7"/>
      <c r="M21" s="1">
        <v>30788.1</v>
      </c>
      <c r="N21" s="1">
        <v>-2465</v>
      </c>
      <c r="O21" s="7">
        <f t="shared" si="12"/>
        <v>-4.6873405632352871E-2</v>
      </c>
      <c r="P21" s="7"/>
      <c r="Q21" s="1">
        <v>641653.56999999995</v>
      </c>
      <c r="R21" s="122">
        <f>Q21/Q20 -1</f>
        <v>2.578220275357701E-3</v>
      </c>
      <c r="T21" s="1">
        <f>C21 + I21 + M21 + Q21</f>
        <v>927944.86999999988</v>
      </c>
      <c r="U21" s="7">
        <f>T21/T20 -1</f>
        <v>-1.5459676190488825E-2</v>
      </c>
      <c r="V21" s="7">
        <f>T21/T9 -1</f>
        <v>0.53318904638550757</v>
      </c>
    </row>
    <row r="22" spans="1:22">
      <c r="C22" s="1"/>
      <c r="E22" s="7"/>
      <c r="I22" s="1"/>
      <c r="J22" s="1"/>
      <c r="K22" s="7"/>
      <c r="L22" s="7"/>
      <c r="M22" s="1"/>
      <c r="N22" s="1"/>
      <c r="O22" s="7"/>
      <c r="P22" s="7"/>
    </row>
    <row r="23" spans="1:22">
      <c r="C23" s="1"/>
      <c r="E23" s="7"/>
      <c r="I23" s="1"/>
      <c r="J23" s="1"/>
      <c r="K23" s="7"/>
      <c r="L23" s="7"/>
      <c r="M23" s="1"/>
      <c r="N23" s="1"/>
      <c r="O23" s="7"/>
      <c r="P23" s="7"/>
    </row>
    <row r="24" spans="1:22">
      <c r="C24" s="1">
        <f>SUM(-C9,C21)</f>
        <v>4958.2800000000007</v>
      </c>
      <c r="D24" s="1">
        <f>SUM(D10:D22)</f>
        <v>0</v>
      </c>
      <c r="E24" s="7">
        <f>( (C21-D24)/C9 -1)</f>
        <v>0.40163203413760518</v>
      </c>
      <c r="F24" s="1">
        <f>SUM(F10:F22)</f>
        <v>3881.1800000000003</v>
      </c>
      <c r="G24" s="7">
        <f>F24/C24</f>
        <v>0.78276741127971794</v>
      </c>
      <c r="I24" s="1">
        <f>SUM(-I9,I21,-J24)</f>
        <v>148718.36000000002</v>
      </c>
      <c r="J24" s="1">
        <f>SUM(J10:J22)</f>
        <v>-6518.17</v>
      </c>
      <c r="K24" s="7">
        <f>((I21 - J24)/I9) -1</f>
        <v>1.5491592655787434</v>
      </c>
      <c r="L24" s="7"/>
      <c r="M24" s="1">
        <f>SUM(M21-N24,-M9)</f>
        <v>6789.4399999999951</v>
      </c>
      <c r="N24" s="1">
        <f>SUM(N10:N22)</f>
        <v>-2493.8099999999995</v>
      </c>
      <c r="O24" s="7">
        <f>((M21-N24)/M9) -1</f>
        <v>0.25627810468408541</v>
      </c>
      <c r="P24" s="7"/>
      <c r="Q24" s="1">
        <f>(Q21- Q9)</f>
        <v>171252.37999999995</v>
      </c>
      <c r="R24" s="7">
        <f>(Q21/Q9) -1</f>
        <v>0.36405600929708526</v>
      </c>
      <c r="T24" s="1">
        <f>(T21- T9 - N24 - J24)</f>
        <v>331718.45999999985</v>
      </c>
      <c r="U24" s="7">
        <f>(T21-N24-J24)/T9 -1</f>
        <v>0.54807901395679792</v>
      </c>
    </row>
    <row r="25" spans="1:22">
      <c r="E25" s="7"/>
      <c r="I25" s="1"/>
      <c r="J25" s="1"/>
      <c r="K25" s="7"/>
      <c r="L25" s="7"/>
      <c r="M25" s="1"/>
      <c r="N25" s="1"/>
      <c r="O25" s="7"/>
      <c r="P25" s="7"/>
      <c r="T25" s="1"/>
      <c r="U25" s="7"/>
    </row>
    <row r="26" spans="1:22">
      <c r="C26" s="1">
        <f>SUM(-C3,C21)</f>
        <v>16394.71</v>
      </c>
      <c r="D26" s="1">
        <f>SUM(D4:D23)</f>
        <v>11172.87</v>
      </c>
      <c r="E26" s="7">
        <f xml:space="preserve"> (C21-D26)/C3 -1</f>
        <v>5.7452304984046645</v>
      </c>
      <c r="F26" s="1">
        <f>SUM(F4:F23)</f>
        <v>1868.5199999999988</v>
      </c>
      <c r="G26" s="7">
        <f>F26/(C21-C3)</f>
        <v>0.11397090890903218</v>
      </c>
      <c r="I26" s="1">
        <f>SUM(-I3,I21, -J26)</f>
        <v>247375.83</v>
      </c>
      <c r="J26" s="1">
        <f>SUM(J4:J23)</f>
        <v>-84681.56</v>
      </c>
      <c r="K26" s="7">
        <f>((I21-J26)/I3 -1)</f>
        <v>3.276270201887761</v>
      </c>
      <c r="L26" s="7"/>
      <c r="M26" s="1">
        <f>SUM(-M3-N26,M21)</f>
        <v>-62243.030000000006</v>
      </c>
      <c r="N26" s="1">
        <f>SUM(N4:N23)</f>
        <v>93031.13</v>
      </c>
      <c r="O26" s="7">
        <f>(M21/N26) -1</f>
        <v>-0.66905593858743839</v>
      </c>
      <c r="P26" s="7"/>
      <c r="Q26" s="1">
        <f>(Q21- Q3)</f>
        <v>517108.85999999993</v>
      </c>
      <c r="R26" s="7">
        <f>Q21/Q3 -1</f>
        <v>4.1519937699481568</v>
      </c>
      <c r="T26" s="1">
        <f>(T21 - T3 - N26)</f>
        <v>633954.80999999994</v>
      </c>
      <c r="U26" s="7">
        <f>(T21-N26-J26)/T3 -1</f>
        <v>3.5760360089496883</v>
      </c>
    </row>
    <row r="27" spans="1:22">
      <c r="E27" s="7">
        <f>(C21/C3 -1)</f>
        <v>18.037968973484432</v>
      </c>
      <c r="I27" s="1"/>
      <c r="J27" s="1"/>
      <c r="K27" s="7"/>
      <c r="L27" s="7"/>
      <c r="M27" s="1"/>
      <c r="N27" s="1"/>
      <c r="O27" s="7"/>
      <c r="P27" s="7"/>
    </row>
    <row r="28" spans="1:22">
      <c r="E28" s="7"/>
      <c r="I28" s="1"/>
      <c r="J28" s="1"/>
      <c r="K28" s="7"/>
      <c r="L28" s="7"/>
      <c r="M28" s="1"/>
      <c r="N28" s="1"/>
      <c r="O28" s="7"/>
      <c r="P28" s="7"/>
    </row>
    <row r="29" spans="1:22">
      <c r="E29" s="7">
        <f>AVERAGE(E10:E21)</f>
        <v>3.0190605806690557E-2</v>
      </c>
      <c r="G29" s="7">
        <f>AVERAGE(G10:G21)</f>
        <v>2.3796484104845857E-2</v>
      </c>
      <c r="I29" s="1"/>
      <c r="J29" s="1"/>
      <c r="K29" s="7">
        <f>AVERAGE(K10:K21)</f>
        <v>9.7802086980447345E-2</v>
      </c>
      <c r="L29" s="7"/>
      <c r="M29" s="1"/>
      <c r="N29" s="1"/>
      <c r="O29" s="7">
        <f>AVERAGE(O10:O21)</f>
        <v>1.682932171024425E-2</v>
      </c>
      <c r="P29" s="7"/>
      <c r="R29" s="7">
        <f>AVERAGE(R10:R21)</f>
        <v>2.6727261432682069E-2</v>
      </c>
      <c r="U29" s="7">
        <f>AVERAGE(U10:U21)</f>
        <v>3.7610647707473806E-2</v>
      </c>
    </row>
    <row r="30" spans="1:22">
      <c r="E30" s="7"/>
      <c r="I30" s="1"/>
      <c r="J30" s="1"/>
      <c r="K30" s="7"/>
      <c r="L30" s="7"/>
      <c r="M30" s="7"/>
      <c r="N30" s="7"/>
    </row>
    <row r="31" spans="1:22">
      <c r="E31" s="7"/>
      <c r="I31" s="1"/>
      <c r="J31" s="1"/>
      <c r="K31" s="7"/>
      <c r="L31" s="7"/>
      <c r="M31" s="7"/>
      <c r="N31" s="1">
        <v>420</v>
      </c>
    </row>
    <row r="32" spans="1:22">
      <c r="E32" s="7"/>
      <c r="I32" s="1"/>
      <c r="J32" s="1"/>
      <c r="K32" s="7"/>
      <c r="L32" s="7"/>
      <c r="M32" s="7"/>
      <c r="N32" s="1"/>
    </row>
    <row r="33" spans="3:20">
      <c r="E33" s="7"/>
      <c r="I33" s="1"/>
      <c r="J33" s="1"/>
      <c r="K33" s="7"/>
      <c r="L33" s="7"/>
      <c r="M33" s="7"/>
      <c r="N33" s="7"/>
    </row>
    <row r="34" spans="3:20">
      <c r="C34" s="1"/>
      <c r="D34"/>
      <c r="E34" s="1"/>
      <c r="F34"/>
      <c r="N34" s="2"/>
      <c r="O34" s="1"/>
      <c r="Q34"/>
      <c r="R34"/>
    </row>
    <row r="35" spans="3:20">
      <c r="P35" s="1"/>
      <c r="Q35"/>
      <c r="R35"/>
    </row>
    <row r="36" spans="3:20">
      <c r="P36" s="1"/>
      <c r="Q36"/>
      <c r="R36"/>
    </row>
    <row r="37" spans="3:20">
      <c r="Q37"/>
      <c r="R37"/>
      <c r="S37" s="1"/>
      <c r="T37" s="1"/>
    </row>
    <row r="38" spans="3:20">
      <c r="P38" s="1"/>
      <c r="Q38"/>
      <c r="R38"/>
    </row>
    <row r="39" spans="3:20">
      <c r="P39" s="1"/>
      <c r="Q39"/>
      <c r="R39"/>
    </row>
    <row r="40" spans="3:20">
      <c r="P40" s="1"/>
      <c r="Q40"/>
      <c r="R40"/>
    </row>
    <row r="41" spans="3:20">
      <c r="P41" s="1"/>
      <c r="Q41"/>
      <c r="R41"/>
    </row>
    <row r="42" spans="3:20">
      <c r="P42" s="1"/>
      <c r="Q42"/>
      <c r="R42"/>
    </row>
    <row r="43" spans="3:20">
      <c r="P43" s="1"/>
      <c r="Q43"/>
      <c r="R43"/>
    </row>
    <row r="44" spans="3:20">
      <c r="P44" s="1"/>
      <c r="Q44"/>
      <c r="R44"/>
    </row>
    <row r="45" spans="3:20">
      <c r="P45" s="1"/>
      <c r="Q45"/>
      <c r="R45"/>
    </row>
    <row r="46" spans="3:20">
      <c r="P46" s="1"/>
      <c r="Q46"/>
      <c r="R46"/>
    </row>
    <row r="47" spans="3:20">
      <c r="P47" s="1"/>
      <c r="Q47"/>
      <c r="R47"/>
    </row>
    <row r="48" spans="3:20">
      <c r="P48" s="1"/>
      <c r="Q48"/>
      <c r="R48"/>
    </row>
    <row r="49" spans="15:18">
      <c r="P49" s="1"/>
      <c r="Q49"/>
      <c r="R49"/>
    </row>
    <row r="50" spans="15:18">
      <c r="P50" s="1"/>
      <c r="Q50"/>
      <c r="R50"/>
    </row>
    <row r="51" spans="15:18">
      <c r="P51" s="1"/>
      <c r="Q51"/>
      <c r="R51"/>
    </row>
    <row r="52" spans="15:18">
      <c r="P52" s="1"/>
      <c r="Q52"/>
      <c r="R52"/>
    </row>
    <row r="53" spans="15:18">
      <c r="P53" s="1"/>
      <c r="Q53"/>
      <c r="R53"/>
    </row>
    <row r="54" spans="15:18">
      <c r="P54" s="1"/>
      <c r="Q54"/>
      <c r="R54"/>
    </row>
    <row r="55" spans="15:18">
      <c r="P55" s="1"/>
      <c r="Q55"/>
      <c r="R55"/>
    </row>
    <row r="56" spans="15:18">
      <c r="P56" s="1"/>
      <c r="Q56"/>
      <c r="R56"/>
    </row>
    <row r="57" spans="15:18">
      <c r="P57" s="1"/>
      <c r="Q57"/>
      <c r="R57"/>
    </row>
    <row r="58" spans="15:18">
      <c r="P58" s="1"/>
      <c r="Q58"/>
      <c r="R58"/>
    </row>
    <row r="59" spans="15:18">
      <c r="P59" s="1"/>
      <c r="Q59"/>
      <c r="R59"/>
    </row>
    <row r="60" spans="15:18">
      <c r="P60" s="1"/>
      <c r="Q60"/>
      <c r="R60"/>
    </row>
    <row r="61" spans="15:18">
      <c r="O61" s="1"/>
      <c r="P61" s="1"/>
      <c r="Q61"/>
      <c r="R61"/>
    </row>
    <row r="62" spans="15:18">
      <c r="O62" s="1"/>
      <c r="P62" s="1"/>
      <c r="Q62"/>
      <c r="R62"/>
    </row>
    <row r="63" spans="15:18">
      <c r="O63" s="1"/>
      <c r="P63" s="1"/>
      <c r="Q63"/>
      <c r="R63"/>
    </row>
    <row r="64" spans="15:18">
      <c r="O64" s="1"/>
      <c r="P64" s="1"/>
      <c r="Q64"/>
      <c r="R64"/>
    </row>
    <row r="65" spans="15:18">
      <c r="O65" s="1"/>
      <c r="P65" s="1"/>
      <c r="Q65"/>
      <c r="R65"/>
    </row>
    <row r="66" spans="15:18">
      <c r="O66" s="1"/>
      <c r="P66" s="1"/>
      <c r="Q66"/>
      <c r="R66"/>
    </row>
    <row r="67" spans="15:18">
      <c r="O67" s="1"/>
      <c r="P67" s="1"/>
      <c r="Q67"/>
      <c r="R67"/>
    </row>
    <row r="68" spans="15:18">
      <c r="O68" s="1"/>
      <c r="P68" s="1"/>
      <c r="Q68"/>
      <c r="R68"/>
    </row>
    <row r="69" spans="15:18">
      <c r="O69" s="1"/>
      <c r="P69" s="1"/>
      <c r="Q69"/>
      <c r="R69"/>
    </row>
    <row r="70" spans="15:18">
      <c r="O70" s="1"/>
      <c r="P70" s="1"/>
      <c r="Q70"/>
      <c r="R70"/>
    </row>
    <row r="71" spans="15:18">
      <c r="O71" s="1"/>
      <c r="P71" s="1"/>
      <c r="Q71"/>
      <c r="R71"/>
    </row>
    <row r="72" spans="15:18">
      <c r="O72" s="1"/>
      <c r="P72" s="1"/>
      <c r="Q72"/>
      <c r="R72"/>
    </row>
    <row r="73" spans="15:18">
      <c r="O73" s="1"/>
      <c r="P73" s="1"/>
      <c r="Q73"/>
      <c r="R73"/>
    </row>
    <row r="74" spans="15:18">
      <c r="O74" s="1"/>
      <c r="P74" s="1"/>
      <c r="Q74"/>
      <c r="R74"/>
    </row>
    <row r="75" spans="15:18">
      <c r="O75" s="1"/>
      <c r="P75" s="1"/>
      <c r="Q75"/>
      <c r="R75"/>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2065-7D13-4967-A1B8-38992307AE5E}">
  <dimension ref="A2:V76"/>
  <sheetViews>
    <sheetView topLeftCell="D1" zoomScale="84" zoomScaleNormal="84" workbookViewId="0">
      <selection activeCell="U30" sqref="U30"/>
    </sheetView>
  </sheetViews>
  <sheetFormatPr defaultRowHeight="15"/>
  <cols>
    <col min="1" max="1" width="9.7109375" bestFit="1" customWidth="1"/>
    <col min="2" max="2" width="3.140625" customWidth="1"/>
    <col min="3" max="3" width="11.42578125" bestFit="1" customWidth="1"/>
    <col min="4" max="4" width="10.140625" style="1" bestFit="1" customWidth="1"/>
    <col min="5" max="5" width="9.28515625" bestFit="1" customWidth="1"/>
    <col min="6" max="6" width="11" style="1" bestFit="1" customWidth="1"/>
    <col min="7" max="7" width="11" customWidth="1"/>
    <col min="8" max="8" width="12.28515625" bestFit="1" customWidth="1"/>
    <col min="9" max="9" width="11.42578125" bestFit="1" customWidth="1"/>
    <col min="10" max="10" width="11.85546875" bestFit="1" customWidth="1"/>
    <col min="11" max="11" width="9.28515625" bestFit="1" customWidth="1"/>
    <col min="12" max="12" width="11.140625" bestFit="1" customWidth="1"/>
    <col min="13" max="13" width="11.42578125" bestFit="1" customWidth="1"/>
    <col min="14" max="14" width="11.85546875" bestFit="1" customWidth="1"/>
    <col min="15" max="15" width="8.85546875" bestFit="1" customWidth="1"/>
    <col min="17" max="17" width="11.42578125" style="1" bestFit="1" customWidth="1"/>
    <col min="18" max="18" width="8.85546875" style="1" bestFit="1" customWidth="1"/>
    <col min="20" max="20" width="12.85546875" bestFit="1" customWidth="1"/>
    <col min="21" max="21" width="8.140625" bestFit="1" customWidth="1"/>
    <col min="22" max="22" width="8.28515625" bestFit="1" customWidth="1"/>
    <col min="23" max="23" width="8.28515625" customWidth="1"/>
    <col min="24" max="24" width="7" customWidth="1"/>
    <col min="259" max="259" width="11.140625" bestFit="1" customWidth="1"/>
    <col min="260" max="260" width="10.7109375" bestFit="1" customWidth="1"/>
    <col min="261" max="261" width="16.85546875" bestFit="1" customWidth="1"/>
    <col min="262" max="262" width="15" bestFit="1" customWidth="1"/>
    <col min="263" max="263" width="11.28515625" bestFit="1" customWidth="1"/>
    <col min="264" max="265" width="11.140625" bestFit="1" customWidth="1"/>
    <col min="266" max="266" width="10.7109375" bestFit="1" customWidth="1"/>
    <col min="267" max="268" width="11.140625" bestFit="1" customWidth="1"/>
    <col min="269" max="269" width="12.7109375" bestFit="1" customWidth="1"/>
    <col min="270" max="270" width="11.140625" bestFit="1" customWidth="1"/>
    <col min="271" max="271" width="13.42578125" bestFit="1" customWidth="1"/>
    <col min="273" max="274" width="11.7109375" customWidth="1"/>
    <col min="276" max="276" width="15.85546875" customWidth="1"/>
    <col min="278" max="278" width="11.140625" bestFit="1" customWidth="1"/>
    <col min="279" max="279" width="8.28515625" customWidth="1"/>
    <col min="280" max="280" width="7" customWidth="1"/>
    <col min="515" max="515" width="11.140625" bestFit="1" customWidth="1"/>
    <col min="516" max="516" width="10.7109375" bestFit="1" customWidth="1"/>
    <col min="517" max="517" width="16.85546875" bestFit="1" customWidth="1"/>
    <col min="518" max="518" width="15" bestFit="1" customWidth="1"/>
    <col min="519" max="519" width="11.28515625" bestFit="1" customWidth="1"/>
    <col min="520" max="521" width="11.140625" bestFit="1" customWidth="1"/>
    <col min="522" max="522" width="10.7109375" bestFit="1" customWidth="1"/>
    <col min="523" max="524" width="11.140625" bestFit="1" customWidth="1"/>
    <col min="525" max="525" width="12.7109375" bestFit="1" customWidth="1"/>
    <col min="526" max="526" width="11.140625" bestFit="1" customWidth="1"/>
    <col min="527" max="527" width="13.42578125" bestFit="1" customWidth="1"/>
    <col min="529" max="530" width="11.7109375" customWidth="1"/>
    <col min="532" max="532" width="15.85546875" customWidth="1"/>
    <col min="534" max="534" width="11.140625" bestFit="1" customWidth="1"/>
    <col min="535" max="535" width="8.28515625" customWidth="1"/>
    <col min="536" max="536" width="7" customWidth="1"/>
    <col min="771" max="771" width="11.140625" bestFit="1" customWidth="1"/>
    <col min="772" max="772" width="10.7109375" bestFit="1" customWidth="1"/>
    <col min="773" max="773" width="16.85546875" bestFit="1" customWidth="1"/>
    <col min="774" max="774" width="15" bestFit="1" customWidth="1"/>
    <col min="775" max="775" width="11.28515625" bestFit="1" customWidth="1"/>
    <col min="776" max="777" width="11.140625" bestFit="1" customWidth="1"/>
    <col min="778" max="778" width="10.7109375" bestFit="1" customWidth="1"/>
    <col min="779" max="780" width="11.140625" bestFit="1" customWidth="1"/>
    <col min="781" max="781" width="12.7109375" bestFit="1" customWidth="1"/>
    <col min="782" max="782" width="11.140625" bestFit="1" customWidth="1"/>
    <col min="783" max="783" width="13.42578125" bestFit="1" customWidth="1"/>
    <col min="785" max="786" width="11.7109375" customWidth="1"/>
    <col min="788" max="788" width="15.85546875" customWidth="1"/>
    <col min="790" max="790" width="11.140625" bestFit="1" customWidth="1"/>
    <col min="791" max="791" width="8.28515625" customWidth="1"/>
    <col min="792" max="792" width="7" customWidth="1"/>
    <col min="1027" max="1027" width="11.140625" bestFit="1" customWidth="1"/>
    <col min="1028" max="1028" width="10.7109375" bestFit="1" customWidth="1"/>
    <col min="1029" max="1029" width="16.85546875" bestFit="1" customWidth="1"/>
    <col min="1030" max="1030" width="15" bestFit="1" customWidth="1"/>
    <col min="1031" max="1031" width="11.28515625" bestFit="1" customWidth="1"/>
    <col min="1032" max="1033" width="11.140625" bestFit="1" customWidth="1"/>
    <col min="1034" max="1034" width="10.7109375" bestFit="1" customWidth="1"/>
    <col min="1035" max="1036" width="11.140625" bestFit="1" customWidth="1"/>
    <col min="1037" max="1037" width="12.7109375" bestFit="1" customWidth="1"/>
    <col min="1038" max="1038" width="11.140625" bestFit="1" customWidth="1"/>
    <col min="1039" max="1039" width="13.42578125" bestFit="1" customWidth="1"/>
    <col min="1041" max="1042" width="11.7109375" customWidth="1"/>
    <col min="1044" max="1044" width="15.85546875" customWidth="1"/>
    <col min="1046" max="1046" width="11.140625" bestFit="1" customWidth="1"/>
    <col min="1047" max="1047" width="8.28515625" customWidth="1"/>
    <col min="1048" max="1048" width="7" customWidth="1"/>
    <col min="1283" max="1283" width="11.140625" bestFit="1" customWidth="1"/>
    <col min="1284" max="1284" width="10.7109375" bestFit="1" customWidth="1"/>
    <col min="1285" max="1285" width="16.85546875" bestFit="1" customWidth="1"/>
    <col min="1286" max="1286" width="15" bestFit="1" customWidth="1"/>
    <col min="1287" max="1287" width="11.28515625" bestFit="1" customWidth="1"/>
    <col min="1288" max="1289" width="11.140625" bestFit="1" customWidth="1"/>
    <col min="1290" max="1290" width="10.7109375" bestFit="1" customWidth="1"/>
    <col min="1291" max="1292" width="11.140625" bestFit="1" customWidth="1"/>
    <col min="1293" max="1293" width="12.7109375" bestFit="1" customWidth="1"/>
    <col min="1294" max="1294" width="11.140625" bestFit="1" customWidth="1"/>
    <col min="1295" max="1295" width="13.42578125" bestFit="1" customWidth="1"/>
    <col min="1297" max="1298" width="11.7109375" customWidth="1"/>
    <col min="1300" max="1300" width="15.85546875" customWidth="1"/>
    <col min="1302" max="1302" width="11.140625" bestFit="1" customWidth="1"/>
    <col min="1303" max="1303" width="8.28515625" customWidth="1"/>
    <col min="1304" max="1304" width="7" customWidth="1"/>
    <col min="1539" max="1539" width="11.140625" bestFit="1" customWidth="1"/>
    <col min="1540" max="1540" width="10.7109375" bestFit="1" customWidth="1"/>
    <col min="1541" max="1541" width="16.85546875" bestFit="1" customWidth="1"/>
    <col min="1542" max="1542" width="15" bestFit="1" customWidth="1"/>
    <col min="1543" max="1543" width="11.28515625" bestFit="1" customWidth="1"/>
    <col min="1544" max="1545" width="11.140625" bestFit="1" customWidth="1"/>
    <col min="1546" max="1546" width="10.7109375" bestFit="1" customWidth="1"/>
    <col min="1547" max="1548" width="11.140625" bestFit="1" customWidth="1"/>
    <col min="1549" max="1549" width="12.7109375" bestFit="1" customWidth="1"/>
    <col min="1550" max="1550" width="11.140625" bestFit="1" customWidth="1"/>
    <col min="1551" max="1551" width="13.42578125" bestFit="1" customWidth="1"/>
    <col min="1553" max="1554" width="11.7109375" customWidth="1"/>
    <col min="1556" max="1556" width="15.85546875" customWidth="1"/>
    <col min="1558" max="1558" width="11.140625" bestFit="1" customWidth="1"/>
    <col min="1559" max="1559" width="8.28515625" customWidth="1"/>
    <col min="1560" max="1560" width="7" customWidth="1"/>
    <col min="1795" max="1795" width="11.140625" bestFit="1" customWidth="1"/>
    <col min="1796" max="1796" width="10.7109375" bestFit="1" customWidth="1"/>
    <col min="1797" max="1797" width="16.85546875" bestFit="1" customWidth="1"/>
    <col min="1798" max="1798" width="15" bestFit="1" customWidth="1"/>
    <col min="1799" max="1799" width="11.28515625" bestFit="1" customWidth="1"/>
    <col min="1800" max="1801" width="11.140625" bestFit="1" customWidth="1"/>
    <col min="1802" max="1802" width="10.7109375" bestFit="1" customWidth="1"/>
    <col min="1803" max="1804" width="11.140625" bestFit="1" customWidth="1"/>
    <col min="1805" max="1805" width="12.7109375" bestFit="1" customWidth="1"/>
    <col min="1806" max="1806" width="11.140625" bestFit="1" customWidth="1"/>
    <col min="1807" max="1807" width="13.42578125" bestFit="1" customWidth="1"/>
    <col min="1809" max="1810" width="11.7109375" customWidth="1"/>
    <col min="1812" max="1812" width="15.85546875" customWidth="1"/>
    <col min="1814" max="1814" width="11.140625" bestFit="1" customWidth="1"/>
    <col min="1815" max="1815" width="8.28515625" customWidth="1"/>
    <col min="1816" max="1816" width="7" customWidth="1"/>
    <col min="2051" max="2051" width="11.140625" bestFit="1" customWidth="1"/>
    <col min="2052" max="2052" width="10.7109375" bestFit="1" customWidth="1"/>
    <col min="2053" max="2053" width="16.85546875" bestFit="1" customWidth="1"/>
    <col min="2054" max="2054" width="15" bestFit="1" customWidth="1"/>
    <col min="2055" max="2055" width="11.28515625" bestFit="1" customWidth="1"/>
    <col min="2056" max="2057" width="11.140625" bestFit="1" customWidth="1"/>
    <col min="2058" max="2058" width="10.7109375" bestFit="1" customWidth="1"/>
    <col min="2059" max="2060" width="11.140625" bestFit="1" customWidth="1"/>
    <col min="2061" max="2061" width="12.7109375" bestFit="1" customWidth="1"/>
    <col min="2062" max="2062" width="11.140625" bestFit="1" customWidth="1"/>
    <col min="2063" max="2063" width="13.42578125" bestFit="1" customWidth="1"/>
    <col min="2065" max="2066" width="11.7109375" customWidth="1"/>
    <col min="2068" max="2068" width="15.85546875" customWidth="1"/>
    <col min="2070" max="2070" width="11.140625" bestFit="1" customWidth="1"/>
    <col min="2071" max="2071" width="8.28515625" customWidth="1"/>
    <col min="2072" max="2072" width="7" customWidth="1"/>
    <col min="2307" max="2307" width="11.140625" bestFit="1" customWidth="1"/>
    <col min="2308" max="2308" width="10.7109375" bestFit="1" customWidth="1"/>
    <col min="2309" max="2309" width="16.85546875" bestFit="1" customWidth="1"/>
    <col min="2310" max="2310" width="15" bestFit="1" customWidth="1"/>
    <col min="2311" max="2311" width="11.28515625" bestFit="1" customWidth="1"/>
    <col min="2312" max="2313" width="11.140625" bestFit="1" customWidth="1"/>
    <col min="2314" max="2314" width="10.7109375" bestFit="1" customWidth="1"/>
    <col min="2315" max="2316" width="11.140625" bestFit="1" customWidth="1"/>
    <col min="2317" max="2317" width="12.7109375" bestFit="1" customWidth="1"/>
    <col min="2318" max="2318" width="11.140625" bestFit="1" customWidth="1"/>
    <col min="2319" max="2319" width="13.42578125" bestFit="1" customWidth="1"/>
    <col min="2321" max="2322" width="11.7109375" customWidth="1"/>
    <col min="2324" max="2324" width="15.85546875" customWidth="1"/>
    <col min="2326" max="2326" width="11.140625" bestFit="1" customWidth="1"/>
    <col min="2327" max="2327" width="8.28515625" customWidth="1"/>
    <col min="2328" max="2328" width="7" customWidth="1"/>
    <col min="2563" max="2563" width="11.140625" bestFit="1" customWidth="1"/>
    <col min="2564" max="2564" width="10.7109375" bestFit="1" customWidth="1"/>
    <col min="2565" max="2565" width="16.85546875" bestFit="1" customWidth="1"/>
    <col min="2566" max="2566" width="15" bestFit="1" customWidth="1"/>
    <col min="2567" max="2567" width="11.28515625" bestFit="1" customWidth="1"/>
    <col min="2568" max="2569" width="11.140625" bestFit="1" customWidth="1"/>
    <col min="2570" max="2570" width="10.7109375" bestFit="1" customWidth="1"/>
    <col min="2571" max="2572" width="11.140625" bestFit="1" customWidth="1"/>
    <col min="2573" max="2573" width="12.7109375" bestFit="1" customWidth="1"/>
    <col min="2574" max="2574" width="11.140625" bestFit="1" customWidth="1"/>
    <col min="2575" max="2575" width="13.42578125" bestFit="1" customWidth="1"/>
    <col min="2577" max="2578" width="11.7109375" customWidth="1"/>
    <col min="2580" max="2580" width="15.85546875" customWidth="1"/>
    <col min="2582" max="2582" width="11.140625" bestFit="1" customWidth="1"/>
    <col min="2583" max="2583" width="8.28515625" customWidth="1"/>
    <col min="2584" max="2584" width="7" customWidth="1"/>
    <col min="2819" max="2819" width="11.140625" bestFit="1" customWidth="1"/>
    <col min="2820" max="2820" width="10.7109375" bestFit="1" customWidth="1"/>
    <col min="2821" max="2821" width="16.85546875" bestFit="1" customWidth="1"/>
    <col min="2822" max="2822" width="15" bestFit="1" customWidth="1"/>
    <col min="2823" max="2823" width="11.28515625" bestFit="1" customWidth="1"/>
    <col min="2824" max="2825" width="11.140625" bestFit="1" customWidth="1"/>
    <col min="2826" max="2826" width="10.7109375" bestFit="1" customWidth="1"/>
    <col min="2827" max="2828" width="11.140625" bestFit="1" customWidth="1"/>
    <col min="2829" max="2829" width="12.7109375" bestFit="1" customWidth="1"/>
    <col min="2830" max="2830" width="11.140625" bestFit="1" customWidth="1"/>
    <col min="2831" max="2831" width="13.42578125" bestFit="1" customWidth="1"/>
    <col min="2833" max="2834" width="11.7109375" customWidth="1"/>
    <col min="2836" max="2836" width="15.85546875" customWidth="1"/>
    <col min="2838" max="2838" width="11.140625" bestFit="1" customWidth="1"/>
    <col min="2839" max="2839" width="8.28515625" customWidth="1"/>
    <col min="2840" max="2840" width="7" customWidth="1"/>
    <col min="3075" max="3075" width="11.140625" bestFit="1" customWidth="1"/>
    <col min="3076" max="3076" width="10.7109375" bestFit="1" customWidth="1"/>
    <col min="3077" max="3077" width="16.85546875" bestFit="1" customWidth="1"/>
    <col min="3078" max="3078" width="15" bestFit="1" customWidth="1"/>
    <col min="3079" max="3079" width="11.28515625" bestFit="1" customWidth="1"/>
    <col min="3080" max="3081" width="11.140625" bestFit="1" customWidth="1"/>
    <col min="3082" max="3082" width="10.7109375" bestFit="1" customWidth="1"/>
    <col min="3083" max="3084" width="11.140625" bestFit="1" customWidth="1"/>
    <col min="3085" max="3085" width="12.7109375" bestFit="1" customWidth="1"/>
    <col min="3086" max="3086" width="11.140625" bestFit="1" customWidth="1"/>
    <col min="3087" max="3087" width="13.42578125" bestFit="1" customWidth="1"/>
    <col min="3089" max="3090" width="11.7109375" customWidth="1"/>
    <col min="3092" max="3092" width="15.85546875" customWidth="1"/>
    <col min="3094" max="3094" width="11.140625" bestFit="1" customWidth="1"/>
    <col min="3095" max="3095" width="8.28515625" customWidth="1"/>
    <col min="3096" max="3096" width="7" customWidth="1"/>
    <col min="3331" max="3331" width="11.140625" bestFit="1" customWidth="1"/>
    <col min="3332" max="3332" width="10.7109375" bestFit="1" customWidth="1"/>
    <col min="3333" max="3333" width="16.85546875" bestFit="1" customWidth="1"/>
    <col min="3334" max="3334" width="15" bestFit="1" customWidth="1"/>
    <col min="3335" max="3335" width="11.28515625" bestFit="1" customWidth="1"/>
    <col min="3336" max="3337" width="11.140625" bestFit="1" customWidth="1"/>
    <col min="3338" max="3338" width="10.7109375" bestFit="1" customWidth="1"/>
    <col min="3339" max="3340" width="11.140625" bestFit="1" customWidth="1"/>
    <col min="3341" max="3341" width="12.7109375" bestFit="1" customWidth="1"/>
    <col min="3342" max="3342" width="11.140625" bestFit="1" customWidth="1"/>
    <col min="3343" max="3343" width="13.42578125" bestFit="1" customWidth="1"/>
    <col min="3345" max="3346" width="11.7109375" customWidth="1"/>
    <col min="3348" max="3348" width="15.85546875" customWidth="1"/>
    <col min="3350" max="3350" width="11.140625" bestFit="1" customWidth="1"/>
    <col min="3351" max="3351" width="8.28515625" customWidth="1"/>
    <col min="3352" max="3352" width="7" customWidth="1"/>
    <col min="3587" max="3587" width="11.140625" bestFit="1" customWidth="1"/>
    <col min="3588" max="3588" width="10.7109375" bestFit="1" customWidth="1"/>
    <col min="3589" max="3589" width="16.85546875" bestFit="1" customWidth="1"/>
    <col min="3590" max="3590" width="15" bestFit="1" customWidth="1"/>
    <col min="3591" max="3591" width="11.28515625" bestFit="1" customWidth="1"/>
    <col min="3592" max="3593" width="11.140625" bestFit="1" customWidth="1"/>
    <col min="3594" max="3594" width="10.7109375" bestFit="1" customWidth="1"/>
    <col min="3595" max="3596" width="11.140625" bestFit="1" customWidth="1"/>
    <col min="3597" max="3597" width="12.7109375" bestFit="1" customWidth="1"/>
    <col min="3598" max="3598" width="11.140625" bestFit="1" customWidth="1"/>
    <col min="3599" max="3599" width="13.42578125" bestFit="1" customWidth="1"/>
    <col min="3601" max="3602" width="11.7109375" customWidth="1"/>
    <col min="3604" max="3604" width="15.85546875" customWidth="1"/>
    <col min="3606" max="3606" width="11.140625" bestFit="1" customWidth="1"/>
    <col min="3607" max="3607" width="8.28515625" customWidth="1"/>
    <col min="3608" max="3608" width="7" customWidth="1"/>
    <col min="3843" max="3843" width="11.140625" bestFit="1" customWidth="1"/>
    <col min="3844" max="3844" width="10.7109375" bestFit="1" customWidth="1"/>
    <col min="3845" max="3845" width="16.85546875" bestFit="1" customWidth="1"/>
    <col min="3846" max="3846" width="15" bestFit="1" customWidth="1"/>
    <col min="3847" max="3847" width="11.28515625" bestFit="1" customWidth="1"/>
    <col min="3848" max="3849" width="11.140625" bestFit="1" customWidth="1"/>
    <col min="3850" max="3850" width="10.7109375" bestFit="1" customWidth="1"/>
    <col min="3851" max="3852" width="11.140625" bestFit="1" customWidth="1"/>
    <col min="3853" max="3853" width="12.7109375" bestFit="1" customWidth="1"/>
    <col min="3854" max="3854" width="11.140625" bestFit="1" customWidth="1"/>
    <col min="3855" max="3855" width="13.42578125" bestFit="1" customWidth="1"/>
    <col min="3857" max="3858" width="11.7109375" customWidth="1"/>
    <col min="3860" max="3860" width="15.85546875" customWidth="1"/>
    <col min="3862" max="3862" width="11.140625" bestFit="1" customWidth="1"/>
    <col min="3863" max="3863" width="8.28515625" customWidth="1"/>
    <col min="3864" max="3864" width="7" customWidth="1"/>
    <col min="4099" max="4099" width="11.140625" bestFit="1" customWidth="1"/>
    <col min="4100" max="4100" width="10.7109375" bestFit="1" customWidth="1"/>
    <col min="4101" max="4101" width="16.85546875" bestFit="1" customWidth="1"/>
    <col min="4102" max="4102" width="15" bestFit="1" customWidth="1"/>
    <col min="4103" max="4103" width="11.28515625" bestFit="1" customWidth="1"/>
    <col min="4104" max="4105" width="11.140625" bestFit="1" customWidth="1"/>
    <col min="4106" max="4106" width="10.7109375" bestFit="1" customWidth="1"/>
    <col min="4107" max="4108" width="11.140625" bestFit="1" customWidth="1"/>
    <col min="4109" max="4109" width="12.7109375" bestFit="1" customWidth="1"/>
    <col min="4110" max="4110" width="11.140625" bestFit="1" customWidth="1"/>
    <col min="4111" max="4111" width="13.42578125" bestFit="1" customWidth="1"/>
    <col min="4113" max="4114" width="11.7109375" customWidth="1"/>
    <col min="4116" max="4116" width="15.85546875" customWidth="1"/>
    <col min="4118" max="4118" width="11.140625" bestFit="1" customWidth="1"/>
    <col min="4119" max="4119" width="8.28515625" customWidth="1"/>
    <col min="4120" max="4120" width="7" customWidth="1"/>
    <col min="4355" max="4355" width="11.140625" bestFit="1" customWidth="1"/>
    <col min="4356" max="4356" width="10.7109375" bestFit="1" customWidth="1"/>
    <col min="4357" max="4357" width="16.85546875" bestFit="1" customWidth="1"/>
    <col min="4358" max="4358" width="15" bestFit="1" customWidth="1"/>
    <col min="4359" max="4359" width="11.28515625" bestFit="1" customWidth="1"/>
    <col min="4360" max="4361" width="11.140625" bestFit="1" customWidth="1"/>
    <col min="4362" max="4362" width="10.7109375" bestFit="1" customWidth="1"/>
    <col min="4363" max="4364" width="11.140625" bestFit="1" customWidth="1"/>
    <col min="4365" max="4365" width="12.7109375" bestFit="1" customWidth="1"/>
    <col min="4366" max="4366" width="11.140625" bestFit="1" customWidth="1"/>
    <col min="4367" max="4367" width="13.42578125" bestFit="1" customWidth="1"/>
    <col min="4369" max="4370" width="11.7109375" customWidth="1"/>
    <col min="4372" max="4372" width="15.85546875" customWidth="1"/>
    <col min="4374" max="4374" width="11.140625" bestFit="1" customWidth="1"/>
    <col min="4375" max="4375" width="8.28515625" customWidth="1"/>
    <col min="4376" max="4376" width="7" customWidth="1"/>
    <col min="4611" max="4611" width="11.140625" bestFit="1" customWidth="1"/>
    <col min="4612" max="4612" width="10.7109375" bestFit="1" customWidth="1"/>
    <col min="4613" max="4613" width="16.85546875" bestFit="1" customWidth="1"/>
    <col min="4614" max="4614" width="15" bestFit="1" customWidth="1"/>
    <col min="4615" max="4615" width="11.28515625" bestFit="1" customWidth="1"/>
    <col min="4616" max="4617" width="11.140625" bestFit="1" customWidth="1"/>
    <col min="4618" max="4618" width="10.7109375" bestFit="1" customWidth="1"/>
    <col min="4619" max="4620" width="11.140625" bestFit="1" customWidth="1"/>
    <col min="4621" max="4621" width="12.7109375" bestFit="1" customWidth="1"/>
    <col min="4622" max="4622" width="11.140625" bestFit="1" customWidth="1"/>
    <col min="4623" max="4623" width="13.42578125" bestFit="1" customWidth="1"/>
    <col min="4625" max="4626" width="11.7109375" customWidth="1"/>
    <col min="4628" max="4628" width="15.85546875" customWidth="1"/>
    <col min="4630" max="4630" width="11.140625" bestFit="1" customWidth="1"/>
    <col min="4631" max="4631" width="8.28515625" customWidth="1"/>
    <col min="4632" max="4632" width="7" customWidth="1"/>
    <col min="4867" max="4867" width="11.140625" bestFit="1" customWidth="1"/>
    <col min="4868" max="4868" width="10.7109375" bestFit="1" customWidth="1"/>
    <col min="4869" max="4869" width="16.85546875" bestFit="1" customWidth="1"/>
    <col min="4870" max="4870" width="15" bestFit="1" customWidth="1"/>
    <col min="4871" max="4871" width="11.28515625" bestFit="1" customWidth="1"/>
    <col min="4872" max="4873" width="11.140625" bestFit="1" customWidth="1"/>
    <col min="4874" max="4874" width="10.7109375" bestFit="1" customWidth="1"/>
    <col min="4875" max="4876" width="11.140625" bestFit="1" customWidth="1"/>
    <col min="4877" max="4877" width="12.7109375" bestFit="1" customWidth="1"/>
    <col min="4878" max="4878" width="11.140625" bestFit="1" customWidth="1"/>
    <col min="4879" max="4879" width="13.42578125" bestFit="1" customWidth="1"/>
    <col min="4881" max="4882" width="11.7109375" customWidth="1"/>
    <col min="4884" max="4884" width="15.85546875" customWidth="1"/>
    <col min="4886" max="4886" width="11.140625" bestFit="1" customWidth="1"/>
    <col min="4887" max="4887" width="8.28515625" customWidth="1"/>
    <col min="4888" max="4888" width="7" customWidth="1"/>
    <col min="5123" max="5123" width="11.140625" bestFit="1" customWidth="1"/>
    <col min="5124" max="5124" width="10.7109375" bestFit="1" customWidth="1"/>
    <col min="5125" max="5125" width="16.85546875" bestFit="1" customWidth="1"/>
    <col min="5126" max="5126" width="15" bestFit="1" customWidth="1"/>
    <col min="5127" max="5127" width="11.28515625" bestFit="1" customWidth="1"/>
    <col min="5128" max="5129" width="11.140625" bestFit="1" customWidth="1"/>
    <col min="5130" max="5130" width="10.7109375" bestFit="1" customWidth="1"/>
    <col min="5131" max="5132" width="11.140625" bestFit="1" customWidth="1"/>
    <col min="5133" max="5133" width="12.7109375" bestFit="1" customWidth="1"/>
    <col min="5134" max="5134" width="11.140625" bestFit="1" customWidth="1"/>
    <col min="5135" max="5135" width="13.42578125" bestFit="1" customWidth="1"/>
    <col min="5137" max="5138" width="11.7109375" customWidth="1"/>
    <col min="5140" max="5140" width="15.85546875" customWidth="1"/>
    <col min="5142" max="5142" width="11.140625" bestFit="1" customWidth="1"/>
    <col min="5143" max="5143" width="8.28515625" customWidth="1"/>
    <col min="5144" max="5144" width="7" customWidth="1"/>
    <col min="5379" max="5379" width="11.140625" bestFit="1" customWidth="1"/>
    <col min="5380" max="5380" width="10.7109375" bestFit="1" customWidth="1"/>
    <col min="5381" max="5381" width="16.85546875" bestFit="1" customWidth="1"/>
    <col min="5382" max="5382" width="15" bestFit="1" customWidth="1"/>
    <col min="5383" max="5383" width="11.28515625" bestFit="1" customWidth="1"/>
    <col min="5384" max="5385" width="11.140625" bestFit="1" customWidth="1"/>
    <col min="5386" max="5386" width="10.7109375" bestFit="1" customWidth="1"/>
    <col min="5387" max="5388" width="11.140625" bestFit="1" customWidth="1"/>
    <col min="5389" max="5389" width="12.7109375" bestFit="1" customWidth="1"/>
    <col min="5390" max="5390" width="11.140625" bestFit="1" customWidth="1"/>
    <col min="5391" max="5391" width="13.42578125" bestFit="1" customWidth="1"/>
    <col min="5393" max="5394" width="11.7109375" customWidth="1"/>
    <col min="5396" max="5396" width="15.85546875" customWidth="1"/>
    <col min="5398" max="5398" width="11.140625" bestFit="1" customWidth="1"/>
    <col min="5399" max="5399" width="8.28515625" customWidth="1"/>
    <col min="5400" max="5400" width="7" customWidth="1"/>
    <col min="5635" max="5635" width="11.140625" bestFit="1" customWidth="1"/>
    <col min="5636" max="5636" width="10.7109375" bestFit="1" customWidth="1"/>
    <col min="5637" max="5637" width="16.85546875" bestFit="1" customWidth="1"/>
    <col min="5638" max="5638" width="15" bestFit="1" customWidth="1"/>
    <col min="5639" max="5639" width="11.28515625" bestFit="1" customWidth="1"/>
    <col min="5640" max="5641" width="11.140625" bestFit="1" customWidth="1"/>
    <col min="5642" max="5642" width="10.7109375" bestFit="1" customWidth="1"/>
    <col min="5643" max="5644" width="11.140625" bestFit="1" customWidth="1"/>
    <col min="5645" max="5645" width="12.7109375" bestFit="1" customWidth="1"/>
    <col min="5646" max="5646" width="11.140625" bestFit="1" customWidth="1"/>
    <col min="5647" max="5647" width="13.42578125" bestFit="1" customWidth="1"/>
    <col min="5649" max="5650" width="11.7109375" customWidth="1"/>
    <col min="5652" max="5652" width="15.85546875" customWidth="1"/>
    <col min="5654" max="5654" width="11.140625" bestFit="1" customWidth="1"/>
    <col min="5655" max="5655" width="8.28515625" customWidth="1"/>
    <col min="5656" max="5656" width="7" customWidth="1"/>
    <col min="5891" max="5891" width="11.140625" bestFit="1" customWidth="1"/>
    <col min="5892" max="5892" width="10.7109375" bestFit="1" customWidth="1"/>
    <col min="5893" max="5893" width="16.85546875" bestFit="1" customWidth="1"/>
    <col min="5894" max="5894" width="15" bestFit="1" customWidth="1"/>
    <col min="5895" max="5895" width="11.28515625" bestFit="1" customWidth="1"/>
    <col min="5896" max="5897" width="11.140625" bestFit="1" customWidth="1"/>
    <col min="5898" max="5898" width="10.7109375" bestFit="1" customWidth="1"/>
    <col min="5899" max="5900" width="11.140625" bestFit="1" customWidth="1"/>
    <col min="5901" max="5901" width="12.7109375" bestFit="1" customWidth="1"/>
    <col min="5902" max="5902" width="11.140625" bestFit="1" customWidth="1"/>
    <col min="5903" max="5903" width="13.42578125" bestFit="1" customWidth="1"/>
    <col min="5905" max="5906" width="11.7109375" customWidth="1"/>
    <col min="5908" max="5908" width="15.85546875" customWidth="1"/>
    <col min="5910" max="5910" width="11.140625" bestFit="1" customWidth="1"/>
    <col min="5911" max="5911" width="8.28515625" customWidth="1"/>
    <col min="5912" max="5912" width="7" customWidth="1"/>
    <col min="6147" max="6147" width="11.140625" bestFit="1" customWidth="1"/>
    <col min="6148" max="6148" width="10.7109375" bestFit="1" customWidth="1"/>
    <col min="6149" max="6149" width="16.85546875" bestFit="1" customWidth="1"/>
    <col min="6150" max="6150" width="15" bestFit="1" customWidth="1"/>
    <col min="6151" max="6151" width="11.28515625" bestFit="1" customWidth="1"/>
    <col min="6152" max="6153" width="11.140625" bestFit="1" customWidth="1"/>
    <col min="6154" max="6154" width="10.7109375" bestFit="1" customWidth="1"/>
    <col min="6155" max="6156" width="11.140625" bestFit="1" customWidth="1"/>
    <col min="6157" max="6157" width="12.7109375" bestFit="1" customWidth="1"/>
    <col min="6158" max="6158" width="11.140625" bestFit="1" customWidth="1"/>
    <col min="6159" max="6159" width="13.42578125" bestFit="1" customWidth="1"/>
    <col min="6161" max="6162" width="11.7109375" customWidth="1"/>
    <col min="6164" max="6164" width="15.85546875" customWidth="1"/>
    <col min="6166" max="6166" width="11.140625" bestFit="1" customWidth="1"/>
    <col min="6167" max="6167" width="8.28515625" customWidth="1"/>
    <col min="6168" max="6168" width="7" customWidth="1"/>
    <col min="6403" max="6403" width="11.140625" bestFit="1" customWidth="1"/>
    <col min="6404" max="6404" width="10.7109375" bestFit="1" customWidth="1"/>
    <col min="6405" max="6405" width="16.85546875" bestFit="1" customWidth="1"/>
    <col min="6406" max="6406" width="15" bestFit="1" customWidth="1"/>
    <col min="6407" max="6407" width="11.28515625" bestFit="1" customWidth="1"/>
    <col min="6408" max="6409" width="11.140625" bestFit="1" customWidth="1"/>
    <col min="6410" max="6410" width="10.7109375" bestFit="1" customWidth="1"/>
    <col min="6411" max="6412" width="11.140625" bestFit="1" customWidth="1"/>
    <col min="6413" max="6413" width="12.7109375" bestFit="1" customWidth="1"/>
    <col min="6414" max="6414" width="11.140625" bestFit="1" customWidth="1"/>
    <col min="6415" max="6415" width="13.42578125" bestFit="1" customWidth="1"/>
    <col min="6417" max="6418" width="11.7109375" customWidth="1"/>
    <col min="6420" max="6420" width="15.85546875" customWidth="1"/>
    <col min="6422" max="6422" width="11.140625" bestFit="1" customWidth="1"/>
    <col min="6423" max="6423" width="8.28515625" customWidth="1"/>
    <col min="6424" max="6424" width="7" customWidth="1"/>
    <col min="6659" max="6659" width="11.140625" bestFit="1" customWidth="1"/>
    <col min="6660" max="6660" width="10.7109375" bestFit="1" customWidth="1"/>
    <col min="6661" max="6661" width="16.85546875" bestFit="1" customWidth="1"/>
    <col min="6662" max="6662" width="15" bestFit="1" customWidth="1"/>
    <col min="6663" max="6663" width="11.28515625" bestFit="1" customWidth="1"/>
    <col min="6664" max="6665" width="11.140625" bestFit="1" customWidth="1"/>
    <col min="6666" max="6666" width="10.7109375" bestFit="1" customWidth="1"/>
    <col min="6667" max="6668" width="11.140625" bestFit="1" customWidth="1"/>
    <col min="6669" max="6669" width="12.7109375" bestFit="1" customWidth="1"/>
    <col min="6670" max="6670" width="11.140625" bestFit="1" customWidth="1"/>
    <col min="6671" max="6671" width="13.42578125" bestFit="1" customWidth="1"/>
    <col min="6673" max="6674" width="11.7109375" customWidth="1"/>
    <col min="6676" max="6676" width="15.85546875" customWidth="1"/>
    <col min="6678" max="6678" width="11.140625" bestFit="1" customWidth="1"/>
    <col min="6679" max="6679" width="8.28515625" customWidth="1"/>
    <col min="6680" max="6680" width="7" customWidth="1"/>
    <col min="6915" max="6915" width="11.140625" bestFit="1" customWidth="1"/>
    <col min="6916" max="6916" width="10.7109375" bestFit="1" customWidth="1"/>
    <col min="6917" max="6917" width="16.85546875" bestFit="1" customWidth="1"/>
    <col min="6918" max="6918" width="15" bestFit="1" customWidth="1"/>
    <col min="6919" max="6919" width="11.28515625" bestFit="1" customWidth="1"/>
    <col min="6920" max="6921" width="11.140625" bestFit="1" customWidth="1"/>
    <col min="6922" max="6922" width="10.7109375" bestFit="1" customWidth="1"/>
    <col min="6923" max="6924" width="11.140625" bestFit="1" customWidth="1"/>
    <col min="6925" max="6925" width="12.7109375" bestFit="1" customWidth="1"/>
    <col min="6926" max="6926" width="11.140625" bestFit="1" customWidth="1"/>
    <col min="6927" max="6927" width="13.42578125" bestFit="1" customWidth="1"/>
    <col min="6929" max="6930" width="11.7109375" customWidth="1"/>
    <col min="6932" max="6932" width="15.85546875" customWidth="1"/>
    <col min="6934" max="6934" width="11.140625" bestFit="1" customWidth="1"/>
    <col min="6935" max="6935" width="8.28515625" customWidth="1"/>
    <col min="6936" max="6936" width="7" customWidth="1"/>
    <col min="7171" max="7171" width="11.140625" bestFit="1" customWidth="1"/>
    <col min="7172" max="7172" width="10.7109375" bestFit="1" customWidth="1"/>
    <col min="7173" max="7173" width="16.85546875" bestFit="1" customWidth="1"/>
    <col min="7174" max="7174" width="15" bestFit="1" customWidth="1"/>
    <col min="7175" max="7175" width="11.28515625" bestFit="1" customWidth="1"/>
    <col min="7176" max="7177" width="11.140625" bestFit="1" customWidth="1"/>
    <col min="7178" max="7178" width="10.7109375" bestFit="1" customWidth="1"/>
    <col min="7179" max="7180" width="11.140625" bestFit="1" customWidth="1"/>
    <col min="7181" max="7181" width="12.7109375" bestFit="1" customWidth="1"/>
    <col min="7182" max="7182" width="11.140625" bestFit="1" customWidth="1"/>
    <col min="7183" max="7183" width="13.42578125" bestFit="1" customWidth="1"/>
    <col min="7185" max="7186" width="11.7109375" customWidth="1"/>
    <col min="7188" max="7188" width="15.85546875" customWidth="1"/>
    <col min="7190" max="7190" width="11.140625" bestFit="1" customWidth="1"/>
    <col min="7191" max="7191" width="8.28515625" customWidth="1"/>
    <col min="7192" max="7192" width="7" customWidth="1"/>
    <col min="7427" max="7427" width="11.140625" bestFit="1" customWidth="1"/>
    <col min="7428" max="7428" width="10.7109375" bestFit="1" customWidth="1"/>
    <col min="7429" max="7429" width="16.85546875" bestFit="1" customWidth="1"/>
    <col min="7430" max="7430" width="15" bestFit="1" customWidth="1"/>
    <col min="7431" max="7431" width="11.28515625" bestFit="1" customWidth="1"/>
    <col min="7432" max="7433" width="11.140625" bestFit="1" customWidth="1"/>
    <col min="7434" max="7434" width="10.7109375" bestFit="1" customWidth="1"/>
    <col min="7435" max="7436" width="11.140625" bestFit="1" customWidth="1"/>
    <col min="7437" max="7437" width="12.7109375" bestFit="1" customWidth="1"/>
    <col min="7438" max="7438" width="11.140625" bestFit="1" customWidth="1"/>
    <col min="7439" max="7439" width="13.42578125" bestFit="1" customWidth="1"/>
    <col min="7441" max="7442" width="11.7109375" customWidth="1"/>
    <col min="7444" max="7444" width="15.85546875" customWidth="1"/>
    <col min="7446" max="7446" width="11.140625" bestFit="1" customWidth="1"/>
    <col min="7447" max="7447" width="8.28515625" customWidth="1"/>
    <col min="7448" max="7448" width="7" customWidth="1"/>
    <col min="7683" max="7683" width="11.140625" bestFit="1" customWidth="1"/>
    <col min="7684" max="7684" width="10.7109375" bestFit="1" customWidth="1"/>
    <col min="7685" max="7685" width="16.85546875" bestFit="1" customWidth="1"/>
    <col min="7686" max="7686" width="15" bestFit="1" customWidth="1"/>
    <col min="7687" max="7687" width="11.28515625" bestFit="1" customWidth="1"/>
    <col min="7688" max="7689" width="11.140625" bestFit="1" customWidth="1"/>
    <col min="7690" max="7690" width="10.7109375" bestFit="1" customWidth="1"/>
    <col min="7691" max="7692" width="11.140625" bestFit="1" customWidth="1"/>
    <col min="7693" max="7693" width="12.7109375" bestFit="1" customWidth="1"/>
    <col min="7694" max="7694" width="11.140625" bestFit="1" customWidth="1"/>
    <col min="7695" max="7695" width="13.42578125" bestFit="1" customWidth="1"/>
    <col min="7697" max="7698" width="11.7109375" customWidth="1"/>
    <col min="7700" max="7700" width="15.85546875" customWidth="1"/>
    <col min="7702" max="7702" width="11.140625" bestFit="1" customWidth="1"/>
    <col min="7703" max="7703" width="8.28515625" customWidth="1"/>
    <col min="7704" max="7704" width="7" customWidth="1"/>
    <col min="7939" max="7939" width="11.140625" bestFit="1" customWidth="1"/>
    <col min="7940" max="7940" width="10.7109375" bestFit="1" customWidth="1"/>
    <col min="7941" max="7941" width="16.85546875" bestFit="1" customWidth="1"/>
    <col min="7942" max="7942" width="15" bestFit="1" customWidth="1"/>
    <col min="7943" max="7943" width="11.28515625" bestFit="1" customWidth="1"/>
    <col min="7944" max="7945" width="11.140625" bestFit="1" customWidth="1"/>
    <col min="7946" max="7946" width="10.7109375" bestFit="1" customWidth="1"/>
    <col min="7947" max="7948" width="11.140625" bestFit="1" customWidth="1"/>
    <col min="7949" max="7949" width="12.7109375" bestFit="1" customWidth="1"/>
    <col min="7950" max="7950" width="11.140625" bestFit="1" customWidth="1"/>
    <col min="7951" max="7951" width="13.42578125" bestFit="1" customWidth="1"/>
    <col min="7953" max="7954" width="11.7109375" customWidth="1"/>
    <col min="7956" max="7956" width="15.85546875" customWidth="1"/>
    <col min="7958" max="7958" width="11.140625" bestFit="1" customWidth="1"/>
    <col min="7959" max="7959" width="8.28515625" customWidth="1"/>
    <col min="7960" max="7960" width="7" customWidth="1"/>
    <col min="8195" max="8195" width="11.140625" bestFit="1" customWidth="1"/>
    <col min="8196" max="8196" width="10.7109375" bestFit="1" customWidth="1"/>
    <col min="8197" max="8197" width="16.85546875" bestFit="1" customWidth="1"/>
    <col min="8198" max="8198" width="15" bestFit="1" customWidth="1"/>
    <col min="8199" max="8199" width="11.28515625" bestFit="1" customWidth="1"/>
    <col min="8200" max="8201" width="11.140625" bestFit="1" customWidth="1"/>
    <col min="8202" max="8202" width="10.7109375" bestFit="1" customWidth="1"/>
    <col min="8203" max="8204" width="11.140625" bestFit="1" customWidth="1"/>
    <col min="8205" max="8205" width="12.7109375" bestFit="1" customWidth="1"/>
    <col min="8206" max="8206" width="11.140625" bestFit="1" customWidth="1"/>
    <col min="8207" max="8207" width="13.42578125" bestFit="1" customWidth="1"/>
    <col min="8209" max="8210" width="11.7109375" customWidth="1"/>
    <col min="8212" max="8212" width="15.85546875" customWidth="1"/>
    <col min="8214" max="8214" width="11.140625" bestFit="1" customWidth="1"/>
    <col min="8215" max="8215" width="8.28515625" customWidth="1"/>
    <col min="8216" max="8216" width="7" customWidth="1"/>
    <col min="8451" max="8451" width="11.140625" bestFit="1" customWidth="1"/>
    <col min="8452" max="8452" width="10.7109375" bestFit="1" customWidth="1"/>
    <col min="8453" max="8453" width="16.85546875" bestFit="1" customWidth="1"/>
    <col min="8454" max="8454" width="15" bestFit="1" customWidth="1"/>
    <col min="8455" max="8455" width="11.28515625" bestFit="1" customWidth="1"/>
    <col min="8456" max="8457" width="11.140625" bestFit="1" customWidth="1"/>
    <col min="8458" max="8458" width="10.7109375" bestFit="1" customWidth="1"/>
    <col min="8459" max="8460" width="11.140625" bestFit="1" customWidth="1"/>
    <col min="8461" max="8461" width="12.7109375" bestFit="1" customWidth="1"/>
    <col min="8462" max="8462" width="11.140625" bestFit="1" customWidth="1"/>
    <col min="8463" max="8463" width="13.42578125" bestFit="1" customWidth="1"/>
    <col min="8465" max="8466" width="11.7109375" customWidth="1"/>
    <col min="8468" max="8468" width="15.85546875" customWidth="1"/>
    <col min="8470" max="8470" width="11.140625" bestFit="1" customWidth="1"/>
    <col min="8471" max="8471" width="8.28515625" customWidth="1"/>
    <col min="8472" max="8472" width="7" customWidth="1"/>
    <col min="8707" max="8707" width="11.140625" bestFit="1" customWidth="1"/>
    <col min="8708" max="8708" width="10.7109375" bestFit="1" customWidth="1"/>
    <col min="8709" max="8709" width="16.85546875" bestFit="1" customWidth="1"/>
    <col min="8710" max="8710" width="15" bestFit="1" customWidth="1"/>
    <col min="8711" max="8711" width="11.28515625" bestFit="1" customWidth="1"/>
    <col min="8712" max="8713" width="11.140625" bestFit="1" customWidth="1"/>
    <col min="8714" max="8714" width="10.7109375" bestFit="1" customWidth="1"/>
    <col min="8715" max="8716" width="11.140625" bestFit="1" customWidth="1"/>
    <col min="8717" max="8717" width="12.7109375" bestFit="1" customWidth="1"/>
    <col min="8718" max="8718" width="11.140625" bestFit="1" customWidth="1"/>
    <col min="8719" max="8719" width="13.42578125" bestFit="1" customWidth="1"/>
    <col min="8721" max="8722" width="11.7109375" customWidth="1"/>
    <col min="8724" max="8724" width="15.85546875" customWidth="1"/>
    <col min="8726" max="8726" width="11.140625" bestFit="1" customWidth="1"/>
    <col min="8727" max="8727" width="8.28515625" customWidth="1"/>
    <col min="8728" max="8728" width="7" customWidth="1"/>
    <col min="8963" max="8963" width="11.140625" bestFit="1" customWidth="1"/>
    <col min="8964" max="8964" width="10.7109375" bestFit="1" customWidth="1"/>
    <col min="8965" max="8965" width="16.85546875" bestFit="1" customWidth="1"/>
    <col min="8966" max="8966" width="15" bestFit="1" customWidth="1"/>
    <col min="8967" max="8967" width="11.28515625" bestFit="1" customWidth="1"/>
    <col min="8968" max="8969" width="11.140625" bestFit="1" customWidth="1"/>
    <col min="8970" max="8970" width="10.7109375" bestFit="1" customWidth="1"/>
    <col min="8971" max="8972" width="11.140625" bestFit="1" customWidth="1"/>
    <col min="8973" max="8973" width="12.7109375" bestFit="1" customWidth="1"/>
    <col min="8974" max="8974" width="11.140625" bestFit="1" customWidth="1"/>
    <col min="8975" max="8975" width="13.42578125" bestFit="1" customWidth="1"/>
    <col min="8977" max="8978" width="11.7109375" customWidth="1"/>
    <col min="8980" max="8980" width="15.85546875" customWidth="1"/>
    <col min="8982" max="8982" width="11.140625" bestFit="1" customWidth="1"/>
    <col min="8983" max="8983" width="8.28515625" customWidth="1"/>
    <col min="8984" max="8984" width="7" customWidth="1"/>
    <col min="9219" max="9219" width="11.140625" bestFit="1" customWidth="1"/>
    <col min="9220" max="9220" width="10.7109375" bestFit="1" customWidth="1"/>
    <col min="9221" max="9221" width="16.85546875" bestFit="1" customWidth="1"/>
    <col min="9222" max="9222" width="15" bestFit="1" customWidth="1"/>
    <col min="9223" max="9223" width="11.28515625" bestFit="1" customWidth="1"/>
    <col min="9224" max="9225" width="11.140625" bestFit="1" customWidth="1"/>
    <col min="9226" max="9226" width="10.7109375" bestFit="1" customWidth="1"/>
    <col min="9227" max="9228" width="11.140625" bestFit="1" customWidth="1"/>
    <col min="9229" max="9229" width="12.7109375" bestFit="1" customWidth="1"/>
    <col min="9230" max="9230" width="11.140625" bestFit="1" customWidth="1"/>
    <col min="9231" max="9231" width="13.42578125" bestFit="1" customWidth="1"/>
    <col min="9233" max="9234" width="11.7109375" customWidth="1"/>
    <col min="9236" max="9236" width="15.85546875" customWidth="1"/>
    <col min="9238" max="9238" width="11.140625" bestFit="1" customWidth="1"/>
    <col min="9239" max="9239" width="8.28515625" customWidth="1"/>
    <col min="9240" max="9240" width="7" customWidth="1"/>
    <col min="9475" max="9475" width="11.140625" bestFit="1" customWidth="1"/>
    <col min="9476" max="9476" width="10.7109375" bestFit="1" customWidth="1"/>
    <col min="9477" max="9477" width="16.85546875" bestFit="1" customWidth="1"/>
    <col min="9478" max="9478" width="15" bestFit="1" customWidth="1"/>
    <col min="9479" max="9479" width="11.28515625" bestFit="1" customWidth="1"/>
    <col min="9480" max="9481" width="11.140625" bestFit="1" customWidth="1"/>
    <col min="9482" max="9482" width="10.7109375" bestFit="1" customWidth="1"/>
    <col min="9483" max="9484" width="11.140625" bestFit="1" customWidth="1"/>
    <col min="9485" max="9485" width="12.7109375" bestFit="1" customWidth="1"/>
    <col min="9486" max="9486" width="11.140625" bestFit="1" customWidth="1"/>
    <col min="9487" max="9487" width="13.42578125" bestFit="1" customWidth="1"/>
    <col min="9489" max="9490" width="11.7109375" customWidth="1"/>
    <col min="9492" max="9492" width="15.85546875" customWidth="1"/>
    <col min="9494" max="9494" width="11.140625" bestFit="1" customWidth="1"/>
    <col min="9495" max="9495" width="8.28515625" customWidth="1"/>
    <col min="9496" max="9496" width="7" customWidth="1"/>
    <col min="9731" max="9731" width="11.140625" bestFit="1" customWidth="1"/>
    <col min="9732" max="9732" width="10.7109375" bestFit="1" customWidth="1"/>
    <col min="9733" max="9733" width="16.85546875" bestFit="1" customWidth="1"/>
    <col min="9734" max="9734" width="15" bestFit="1" customWidth="1"/>
    <col min="9735" max="9735" width="11.28515625" bestFit="1" customWidth="1"/>
    <col min="9736" max="9737" width="11.140625" bestFit="1" customWidth="1"/>
    <col min="9738" max="9738" width="10.7109375" bestFit="1" customWidth="1"/>
    <col min="9739" max="9740" width="11.140625" bestFit="1" customWidth="1"/>
    <col min="9741" max="9741" width="12.7109375" bestFit="1" customWidth="1"/>
    <col min="9742" max="9742" width="11.140625" bestFit="1" customWidth="1"/>
    <col min="9743" max="9743" width="13.42578125" bestFit="1" customWidth="1"/>
    <col min="9745" max="9746" width="11.7109375" customWidth="1"/>
    <col min="9748" max="9748" width="15.85546875" customWidth="1"/>
    <col min="9750" max="9750" width="11.140625" bestFit="1" customWidth="1"/>
    <col min="9751" max="9751" width="8.28515625" customWidth="1"/>
    <col min="9752" max="9752" width="7" customWidth="1"/>
    <col min="9987" max="9987" width="11.140625" bestFit="1" customWidth="1"/>
    <col min="9988" max="9988" width="10.7109375" bestFit="1" customWidth="1"/>
    <col min="9989" max="9989" width="16.85546875" bestFit="1" customWidth="1"/>
    <col min="9990" max="9990" width="15" bestFit="1" customWidth="1"/>
    <col min="9991" max="9991" width="11.28515625" bestFit="1" customWidth="1"/>
    <col min="9992" max="9993" width="11.140625" bestFit="1" customWidth="1"/>
    <col min="9994" max="9994" width="10.7109375" bestFit="1" customWidth="1"/>
    <col min="9995" max="9996" width="11.140625" bestFit="1" customWidth="1"/>
    <col min="9997" max="9997" width="12.7109375" bestFit="1" customWidth="1"/>
    <col min="9998" max="9998" width="11.140625" bestFit="1" customWidth="1"/>
    <col min="9999" max="9999" width="13.42578125" bestFit="1" customWidth="1"/>
    <col min="10001" max="10002" width="11.7109375" customWidth="1"/>
    <col min="10004" max="10004" width="15.85546875" customWidth="1"/>
    <col min="10006" max="10006" width="11.140625" bestFit="1" customWidth="1"/>
    <col min="10007" max="10007" width="8.28515625" customWidth="1"/>
    <col min="10008" max="10008" width="7" customWidth="1"/>
    <col min="10243" max="10243" width="11.140625" bestFit="1" customWidth="1"/>
    <col min="10244" max="10244" width="10.7109375" bestFit="1" customWidth="1"/>
    <col min="10245" max="10245" width="16.85546875" bestFit="1" customWidth="1"/>
    <col min="10246" max="10246" width="15" bestFit="1" customWidth="1"/>
    <col min="10247" max="10247" width="11.28515625" bestFit="1" customWidth="1"/>
    <col min="10248" max="10249" width="11.140625" bestFit="1" customWidth="1"/>
    <col min="10250" max="10250" width="10.7109375" bestFit="1" customWidth="1"/>
    <col min="10251" max="10252" width="11.140625" bestFit="1" customWidth="1"/>
    <col min="10253" max="10253" width="12.7109375" bestFit="1" customWidth="1"/>
    <col min="10254" max="10254" width="11.140625" bestFit="1" customWidth="1"/>
    <col min="10255" max="10255" width="13.42578125" bestFit="1" customWidth="1"/>
    <col min="10257" max="10258" width="11.7109375" customWidth="1"/>
    <col min="10260" max="10260" width="15.85546875" customWidth="1"/>
    <col min="10262" max="10262" width="11.140625" bestFit="1" customWidth="1"/>
    <col min="10263" max="10263" width="8.28515625" customWidth="1"/>
    <col min="10264" max="10264" width="7" customWidth="1"/>
    <col min="10499" max="10499" width="11.140625" bestFit="1" customWidth="1"/>
    <col min="10500" max="10500" width="10.7109375" bestFit="1" customWidth="1"/>
    <col min="10501" max="10501" width="16.85546875" bestFit="1" customWidth="1"/>
    <col min="10502" max="10502" width="15" bestFit="1" customWidth="1"/>
    <col min="10503" max="10503" width="11.28515625" bestFit="1" customWidth="1"/>
    <col min="10504" max="10505" width="11.140625" bestFit="1" customWidth="1"/>
    <col min="10506" max="10506" width="10.7109375" bestFit="1" customWidth="1"/>
    <col min="10507" max="10508" width="11.140625" bestFit="1" customWidth="1"/>
    <col min="10509" max="10509" width="12.7109375" bestFit="1" customWidth="1"/>
    <col min="10510" max="10510" width="11.140625" bestFit="1" customWidth="1"/>
    <col min="10511" max="10511" width="13.42578125" bestFit="1" customWidth="1"/>
    <col min="10513" max="10514" width="11.7109375" customWidth="1"/>
    <col min="10516" max="10516" width="15.85546875" customWidth="1"/>
    <col min="10518" max="10518" width="11.140625" bestFit="1" customWidth="1"/>
    <col min="10519" max="10519" width="8.28515625" customWidth="1"/>
    <col min="10520" max="10520" width="7" customWidth="1"/>
    <col min="10755" max="10755" width="11.140625" bestFit="1" customWidth="1"/>
    <col min="10756" max="10756" width="10.7109375" bestFit="1" customWidth="1"/>
    <col min="10757" max="10757" width="16.85546875" bestFit="1" customWidth="1"/>
    <col min="10758" max="10758" width="15" bestFit="1" customWidth="1"/>
    <col min="10759" max="10759" width="11.28515625" bestFit="1" customWidth="1"/>
    <col min="10760" max="10761" width="11.140625" bestFit="1" customWidth="1"/>
    <col min="10762" max="10762" width="10.7109375" bestFit="1" customWidth="1"/>
    <col min="10763" max="10764" width="11.140625" bestFit="1" customWidth="1"/>
    <col min="10765" max="10765" width="12.7109375" bestFit="1" customWidth="1"/>
    <col min="10766" max="10766" width="11.140625" bestFit="1" customWidth="1"/>
    <col min="10767" max="10767" width="13.42578125" bestFit="1" customWidth="1"/>
    <col min="10769" max="10770" width="11.7109375" customWidth="1"/>
    <col min="10772" max="10772" width="15.85546875" customWidth="1"/>
    <col min="10774" max="10774" width="11.140625" bestFit="1" customWidth="1"/>
    <col min="10775" max="10775" width="8.28515625" customWidth="1"/>
    <col min="10776" max="10776" width="7" customWidth="1"/>
    <col min="11011" max="11011" width="11.140625" bestFit="1" customWidth="1"/>
    <col min="11012" max="11012" width="10.7109375" bestFit="1" customWidth="1"/>
    <col min="11013" max="11013" width="16.85546875" bestFit="1" customWidth="1"/>
    <col min="11014" max="11014" width="15" bestFit="1" customWidth="1"/>
    <col min="11015" max="11015" width="11.28515625" bestFit="1" customWidth="1"/>
    <col min="11016" max="11017" width="11.140625" bestFit="1" customWidth="1"/>
    <col min="11018" max="11018" width="10.7109375" bestFit="1" customWidth="1"/>
    <col min="11019" max="11020" width="11.140625" bestFit="1" customWidth="1"/>
    <col min="11021" max="11021" width="12.7109375" bestFit="1" customWidth="1"/>
    <col min="11022" max="11022" width="11.140625" bestFit="1" customWidth="1"/>
    <col min="11023" max="11023" width="13.42578125" bestFit="1" customWidth="1"/>
    <col min="11025" max="11026" width="11.7109375" customWidth="1"/>
    <col min="11028" max="11028" width="15.85546875" customWidth="1"/>
    <col min="11030" max="11030" width="11.140625" bestFit="1" customWidth="1"/>
    <col min="11031" max="11031" width="8.28515625" customWidth="1"/>
    <col min="11032" max="11032" width="7" customWidth="1"/>
    <col min="11267" max="11267" width="11.140625" bestFit="1" customWidth="1"/>
    <col min="11268" max="11268" width="10.7109375" bestFit="1" customWidth="1"/>
    <col min="11269" max="11269" width="16.85546875" bestFit="1" customWidth="1"/>
    <col min="11270" max="11270" width="15" bestFit="1" customWidth="1"/>
    <col min="11271" max="11271" width="11.28515625" bestFit="1" customWidth="1"/>
    <col min="11272" max="11273" width="11.140625" bestFit="1" customWidth="1"/>
    <col min="11274" max="11274" width="10.7109375" bestFit="1" customWidth="1"/>
    <col min="11275" max="11276" width="11.140625" bestFit="1" customWidth="1"/>
    <col min="11277" max="11277" width="12.7109375" bestFit="1" customWidth="1"/>
    <col min="11278" max="11278" width="11.140625" bestFit="1" customWidth="1"/>
    <col min="11279" max="11279" width="13.42578125" bestFit="1" customWidth="1"/>
    <col min="11281" max="11282" width="11.7109375" customWidth="1"/>
    <col min="11284" max="11284" width="15.85546875" customWidth="1"/>
    <col min="11286" max="11286" width="11.140625" bestFit="1" customWidth="1"/>
    <col min="11287" max="11287" width="8.28515625" customWidth="1"/>
    <col min="11288" max="11288" width="7" customWidth="1"/>
    <col min="11523" max="11523" width="11.140625" bestFit="1" customWidth="1"/>
    <col min="11524" max="11524" width="10.7109375" bestFit="1" customWidth="1"/>
    <col min="11525" max="11525" width="16.85546875" bestFit="1" customWidth="1"/>
    <col min="11526" max="11526" width="15" bestFit="1" customWidth="1"/>
    <col min="11527" max="11527" width="11.28515625" bestFit="1" customWidth="1"/>
    <col min="11528" max="11529" width="11.140625" bestFit="1" customWidth="1"/>
    <col min="11530" max="11530" width="10.7109375" bestFit="1" customWidth="1"/>
    <col min="11531" max="11532" width="11.140625" bestFit="1" customWidth="1"/>
    <col min="11533" max="11533" width="12.7109375" bestFit="1" customWidth="1"/>
    <col min="11534" max="11534" width="11.140625" bestFit="1" customWidth="1"/>
    <col min="11535" max="11535" width="13.42578125" bestFit="1" customWidth="1"/>
    <col min="11537" max="11538" width="11.7109375" customWidth="1"/>
    <col min="11540" max="11540" width="15.85546875" customWidth="1"/>
    <col min="11542" max="11542" width="11.140625" bestFit="1" customWidth="1"/>
    <col min="11543" max="11543" width="8.28515625" customWidth="1"/>
    <col min="11544" max="11544" width="7" customWidth="1"/>
    <col min="11779" max="11779" width="11.140625" bestFit="1" customWidth="1"/>
    <col min="11780" max="11780" width="10.7109375" bestFit="1" customWidth="1"/>
    <col min="11781" max="11781" width="16.85546875" bestFit="1" customWidth="1"/>
    <col min="11782" max="11782" width="15" bestFit="1" customWidth="1"/>
    <col min="11783" max="11783" width="11.28515625" bestFit="1" customWidth="1"/>
    <col min="11784" max="11785" width="11.140625" bestFit="1" customWidth="1"/>
    <col min="11786" max="11786" width="10.7109375" bestFit="1" customWidth="1"/>
    <col min="11787" max="11788" width="11.140625" bestFit="1" customWidth="1"/>
    <col min="11789" max="11789" width="12.7109375" bestFit="1" customWidth="1"/>
    <col min="11790" max="11790" width="11.140625" bestFit="1" customWidth="1"/>
    <col min="11791" max="11791" width="13.42578125" bestFit="1" customWidth="1"/>
    <col min="11793" max="11794" width="11.7109375" customWidth="1"/>
    <col min="11796" max="11796" width="15.85546875" customWidth="1"/>
    <col min="11798" max="11798" width="11.140625" bestFit="1" customWidth="1"/>
    <col min="11799" max="11799" width="8.28515625" customWidth="1"/>
    <col min="11800" max="11800" width="7" customWidth="1"/>
    <col min="12035" max="12035" width="11.140625" bestFit="1" customWidth="1"/>
    <col min="12036" max="12036" width="10.7109375" bestFit="1" customWidth="1"/>
    <col min="12037" max="12037" width="16.85546875" bestFit="1" customWidth="1"/>
    <col min="12038" max="12038" width="15" bestFit="1" customWidth="1"/>
    <col min="12039" max="12039" width="11.28515625" bestFit="1" customWidth="1"/>
    <col min="12040" max="12041" width="11.140625" bestFit="1" customWidth="1"/>
    <col min="12042" max="12042" width="10.7109375" bestFit="1" customWidth="1"/>
    <col min="12043" max="12044" width="11.140625" bestFit="1" customWidth="1"/>
    <col min="12045" max="12045" width="12.7109375" bestFit="1" customWidth="1"/>
    <col min="12046" max="12046" width="11.140625" bestFit="1" customWidth="1"/>
    <col min="12047" max="12047" width="13.42578125" bestFit="1" customWidth="1"/>
    <col min="12049" max="12050" width="11.7109375" customWidth="1"/>
    <col min="12052" max="12052" width="15.85546875" customWidth="1"/>
    <col min="12054" max="12054" width="11.140625" bestFit="1" customWidth="1"/>
    <col min="12055" max="12055" width="8.28515625" customWidth="1"/>
    <col min="12056" max="12056" width="7" customWidth="1"/>
    <col min="12291" max="12291" width="11.140625" bestFit="1" customWidth="1"/>
    <col min="12292" max="12292" width="10.7109375" bestFit="1" customWidth="1"/>
    <col min="12293" max="12293" width="16.85546875" bestFit="1" customWidth="1"/>
    <col min="12294" max="12294" width="15" bestFit="1" customWidth="1"/>
    <col min="12295" max="12295" width="11.28515625" bestFit="1" customWidth="1"/>
    <col min="12296" max="12297" width="11.140625" bestFit="1" customWidth="1"/>
    <col min="12298" max="12298" width="10.7109375" bestFit="1" customWidth="1"/>
    <col min="12299" max="12300" width="11.140625" bestFit="1" customWidth="1"/>
    <col min="12301" max="12301" width="12.7109375" bestFit="1" customWidth="1"/>
    <col min="12302" max="12302" width="11.140625" bestFit="1" customWidth="1"/>
    <col min="12303" max="12303" width="13.42578125" bestFit="1" customWidth="1"/>
    <col min="12305" max="12306" width="11.7109375" customWidth="1"/>
    <col min="12308" max="12308" width="15.85546875" customWidth="1"/>
    <col min="12310" max="12310" width="11.140625" bestFit="1" customWidth="1"/>
    <col min="12311" max="12311" width="8.28515625" customWidth="1"/>
    <col min="12312" max="12312" width="7" customWidth="1"/>
    <col min="12547" max="12547" width="11.140625" bestFit="1" customWidth="1"/>
    <col min="12548" max="12548" width="10.7109375" bestFit="1" customWidth="1"/>
    <col min="12549" max="12549" width="16.85546875" bestFit="1" customWidth="1"/>
    <col min="12550" max="12550" width="15" bestFit="1" customWidth="1"/>
    <col min="12551" max="12551" width="11.28515625" bestFit="1" customWidth="1"/>
    <col min="12552" max="12553" width="11.140625" bestFit="1" customWidth="1"/>
    <col min="12554" max="12554" width="10.7109375" bestFit="1" customWidth="1"/>
    <col min="12555" max="12556" width="11.140625" bestFit="1" customWidth="1"/>
    <col min="12557" max="12557" width="12.7109375" bestFit="1" customWidth="1"/>
    <col min="12558" max="12558" width="11.140625" bestFit="1" customWidth="1"/>
    <col min="12559" max="12559" width="13.42578125" bestFit="1" customWidth="1"/>
    <col min="12561" max="12562" width="11.7109375" customWidth="1"/>
    <col min="12564" max="12564" width="15.85546875" customWidth="1"/>
    <col min="12566" max="12566" width="11.140625" bestFit="1" customWidth="1"/>
    <col min="12567" max="12567" width="8.28515625" customWidth="1"/>
    <col min="12568" max="12568" width="7" customWidth="1"/>
    <col min="12803" max="12803" width="11.140625" bestFit="1" customWidth="1"/>
    <col min="12804" max="12804" width="10.7109375" bestFit="1" customWidth="1"/>
    <col min="12805" max="12805" width="16.85546875" bestFit="1" customWidth="1"/>
    <col min="12806" max="12806" width="15" bestFit="1" customWidth="1"/>
    <col min="12807" max="12807" width="11.28515625" bestFit="1" customWidth="1"/>
    <col min="12808" max="12809" width="11.140625" bestFit="1" customWidth="1"/>
    <col min="12810" max="12810" width="10.7109375" bestFit="1" customWidth="1"/>
    <col min="12811" max="12812" width="11.140625" bestFit="1" customWidth="1"/>
    <col min="12813" max="12813" width="12.7109375" bestFit="1" customWidth="1"/>
    <col min="12814" max="12814" width="11.140625" bestFit="1" customWidth="1"/>
    <col min="12815" max="12815" width="13.42578125" bestFit="1" customWidth="1"/>
    <col min="12817" max="12818" width="11.7109375" customWidth="1"/>
    <col min="12820" max="12820" width="15.85546875" customWidth="1"/>
    <col min="12822" max="12822" width="11.140625" bestFit="1" customWidth="1"/>
    <col min="12823" max="12823" width="8.28515625" customWidth="1"/>
    <col min="12824" max="12824" width="7" customWidth="1"/>
    <col min="13059" max="13059" width="11.140625" bestFit="1" customWidth="1"/>
    <col min="13060" max="13060" width="10.7109375" bestFit="1" customWidth="1"/>
    <col min="13061" max="13061" width="16.85546875" bestFit="1" customWidth="1"/>
    <col min="13062" max="13062" width="15" bestFit="1" customWidth="1"/>
    <col min="13063" max="13063" width="11.28515625" bestFit="1" customWidth="1"/>
    <col min="13064" max="13065" width="11.140625" bestFit="1" customWidth="1"/>
    <col min="13066" max="13066" width="10.7109375" bestFit="1" customWidth="1"/>
    <col min="13067" max="13068" width="11.140625" bestFit="1" customWidth="1"/>
    <col min="13069" max="13069" width="12.7109375" bestFit="1" customWidth="1"/>
    <col min="13070" max="13070" width="11.140625" bestFit="1" customWidth="1"/>
    <col min="13071" max="13071" width="13.42578125" bestFit="1" customWidth="1"/>
    <col min="13073" max="13074" width="11.7109375" customWidth="1"/>
    <col min="13076" max="13076" width="15.85546875" customWidth="1"/>
    <col min="13078" max="13078" width="11.140625" bestFit="1" customWidth="1"/>
    <col min="13079" max="13079" width="8.28515625" customWidth="1"/>
    <col min="13080" max="13080" width="7" customWidth="1"/>
    <col min="13315" max="13315" width="11.140625" bestFit="1" customWidth="1"/>
    <col min="13316" max="13316" width="10.7109375" bestFit="1" customWidth="1"/>
    <col min="13317" max="13317" width="16.85546875" bestFit="1" customWidth="1"/>
    <col min="13318" max="13318" width="15" bestFit="1" customWidth="1"/>
    <col min="13319" max="13319" width="11.28515625" bestFit="1" customWidth="1"/>
    <col min="13320" max="13321" width="11.140625" bestFit="1" customWidth="1"/>
    <col min="13322" max="13322" width="10.7109375" bestFit="1" customWidth="1"/>
    <col min="13323" max="13324" width="11.140625" bestFit="1" customWidth="1"/>
    <col min="13325" max="13325" width="12.7109375" bestFit="1" customWidth="1"/>
    <col min="13326" max="13326" width="11.140625" bestFit="1" customWidth="1"/>
    <col min="13327" max="13327" width="13.42578125" bestFit="1" customWidth="1"/>
    <col min="13329" max="13330" width="11.7109375" customWidth="1"/>
    <col min="13332" max="13332" width="15.85546875" customWidth="1"/>
    <col min="13334" max="13334" width="11.140625" bestFit="1" customWidth="1"/>
    <col min="13335" max="13335" width="8.28515625" customWidth="1"/>
    <col min="13336" max="13336" width="7" customWidth="1"/>
    <col min="13571" max="13571" width="11.140625" bestFit="1" customWidth="1"/>
    <col min="13572" max="13572" width="10.7109375" bestFit="1" customWidth="1"/>
    <col min="13573" max="13573" width="16.85546875" bestFit="1" customWidth="1"/>
    <col min="13574" max="13574" width="15" bestFit="1" customWidth="1"/>
    <col min="13575" max="13575" width="11.28515625" bestFit="1" customWidth="1"/>
    <col min="13576" max="13577" width="11.140625" bestFit="1" customWidth="1"/>
    <col min="13578" max="13578" width="10.7109375" bestFit="1" customWidth="1"/>
    <col min="13579" max="13580" width="11.140625" bestFit="1" customWidth="1"/>
    <col min="13581" max="13581" width="12.7109375" bestFit="1" customWidth="1"/>
    <col min="13582" max="13582" width="11.140625" bestFit="1" customWidth="1"/>
    <col min="13583" max="13583" width="13.42578125" bestFit="1" customWidth="1"/>
    <col min="13585" max="13586" width="11.7109375" customWidth="1"/>
    <col min="13588" max="13588" width="15.85546875" customWidth="1"/>
    <col min="13590" max="13590" width="11.140625" bestFit="1" customWidth="1"/>
    <col min="13591" max="13591" width="8.28515625" customWidth="1"/>
    <col min="13592" max="13592" width="7" customWidth="1"/>
    <col min="13827" max="13827" width="11.140625" bestFit="1" customWidth="1"/>
    <col min="13828" max="13828" width="10.7109375" bestFit="1" customWidth="1"/>
    <col min="13829" max="13829" width="16.85546875" bestFit="1" customWidth="1"/>
    <col min="13830" max="13830" width="15" bestFit="1" customWidth="1"/>
    <col min="13831" max="13831" width="11.28515625" bestFit="1" customWidth="1"/>
    <col min="13832" max="13833" width="11.140625" bestFit="1" customWidth="1"/>
    <col min="13834" max="13834" width="10.7109375" bestFit="1" customWidth="1"/>
    <col min="13835" max="13836" width="11.140625" bestFit="1" customWidth="1"/>
    <col min="13837" max="13837" width="12.7109375" bestFit="1" customWidth="1"/>
    <col min="13838" max="13838" width="11.140625" bestFit="1" customWidth="1"/>
    <col min="13839" max="13839" width="13.42578125" bestFit="1" customWidth="1"/>
    <col min="13841" max="13842" width="11.7109375" customWidth="1"/>
    <col min="13844" max="13844" width="15.85546875" customWidth="1"/>
    <col min="13846" max="13846" width="11.140625" bestFit="1" customWidth="1"/>
    <col min="13847" max="13847" width="8.28515625" customWidth="1"/>
    <col min="13848" max="13848" width="7" customWidth="1"/>
    <col min="14083" max="14083" width="11.140625" bestFit="1" customWidth="1"/>
    <col min="14084" max="14084" width="10.7109375" bestFit="1" customWidth="1"/>
    <col min="14085" max="14085" width="16.85546875" bestFit="1" customWidth="1"/>
    <col min="14086" max="14086" width="15" bestFit="1" customWidth="1"/>
    <col min="14087" max="14087" width="11.28515625" bestFit="1" customWidth="1"/>
    <col min="14088" max="14089" width="11.140625" bestFit="1" customWidth="1"/>
    <col min="14090" max="14090" width="10.7109375" bestFit="1" customWidth="1"/>
    <col min="14091" max="14092" width="11.140625" bestFit="1" customWidth="1"/>
    <col min="14093" max="14093" width="12.7109375" bestFit="1" customWidth="1"/>
    <col min="14094" max="14094" width="11.140625" bestFit="1" customWidth="1"/>
    <col min="14095" max="14095" width="13.42578125" bestFit="1" customWidth="1"/>
    <col min="14097" max="14098" width="11.7109375" customWidth="1"/>
    <col min="14100" max="14100" width="15.85546875" customWidth="1"/>
    <col min="14102" max="14102" width="11.140625" bestFit="1" customWidth="1"/>
    <col min="14103" max="14103" width="8.28515625" customWidth="1"/>
    <col min="14104" max="14104" width="7" customWidth="1"/>
    <col min="14339" max="14339" width="11.140625" bestFit="1" customWidth="1"/>
    <col min="14340" max="14340" width="10.7109375" bestFit="1" customWidth="1"/>
    <col min="14341" max="14341" width="16.85546875" bestFit="1" customWidth="1"/>
    <col min="14342" max="14342" width="15" bestFit="1" customWidth="1"/>
    <col min="14343" max="14343" width="11.28515625" bestFit="1" customWidth="1"/>
    <col min="14344" max="14345" width="11.140625" bestFit="1" customWidth="1"/>
    <col min="14346" max="14346" width="10.7109375" bestFit="1" customWidth="1"/>
    <col min="14347" max="14348" width="11.140625" bestFit="1" customWidth="1"/>
    <col min="14349" max="14349" width="12.7109375" bestFit="1" customWidth="1"/>
    <col min="14350" max="14350" width="11.140625" bestFit="1" customWidth="1"/>
    <col min="14351" max="14351" width="13.42578125" bestFit="1" customWidth="1"/>
    <col min="14353" max="14354" width="11.7109375" customWidth="1"/>
    <col min="14356" max="14356" width="15.85546875" customWidth="1"/>
    <col min="14358" max="14358" width="11.140625" bestFit="1" customWidth="1"/>
    <col min="14359" max="14359" width="8.28515625" customWidth="1"/>
    <col min="14360" max="14360" width="7" customWidth="1"/>
    <col min="14595" max="14595" width="11.140625" bestFit="1" customWidth="1"/>
    <col min="14596" max="14596" width="10.7109375" bestFit="1" customWidth="1"/>
    <col min="14597" max="14597" width="16.85546875" bestFit="1" customWidth="1"/>
    <col min="14598" max="14598" width="15" bestFit="1" customWidth="1"/>
    <col min="14599" max="14599" width="11.28515625" bestFit="1" customWidth="1"/>
    <col min="14600" max="14601" width="11.140625" bestFit="1" customWidth="1"/>
    <col min="14602" max="14602" width="10.7109375" bestFit="1" customWidth="1"/>
    <col min="14603" max="14604" width="11.140625" bestFit="1" customWidth="1"/>
    <col min="14605" max="14605" width="12.7109375" bestFit="1" customWidth="1"/>
    <col min="14606" max="14606" width="11.140625" bestFit="1" customWidth="1"/>
    <col min="14607" max="14607" width="13.42578125" bestFit="1" customWidth="1"/>
    <col min="14609" max="14610" width="11.7109375" customWidth="1"/>
    <col min="14612" max="14612" width="15.85546875" customWidth="1"/>
    <col min="14614" max="14614" width="11.140625" bestFit="1" customWidth="1"/>
    <col min="14615" max="14615" width="8.28515625" customWidth="1"/>
    <col min="14616" max="14616" width="7" customWidth="1"/>
    <col min="14851" max="14851" width="11.140625" bestFit="1" customWidth="1"/>
    <col min="14852" max="14852" width="10.7109375" bestFit="1" customWidth="1"/>
    <col min="14853" max="14853" width="16.85546875" bestFit="1" customWidth="1"/>
    <col min="14854" max="14854" width="15" bestFit="1" customWidth="1"/>
    <col min="14855" max="14855" width="11.28515625" bestFit="1" customWidth="1"/>
    <col min="14856" max="14857" width="11.140625" bestFit="1" customWidth="1"/>
    <col min="14858" max="14858" width="10.7109375" bestFit="1" customWidth="1"/>
    <col min="14859" max="14860" width="11.140625" bestFit="1" customWidth="1"/>
    <col min="14861" max="14861" width="12.7109375" bestFit="1" customWidth="1"/>
    <col min="14862" max="14862" width="11.140625" bestFit="1" customWidth="1"/>
    <col min="14863" max="14863" width="13.42578125" bestFit="1" customWidth="1"/>
    <col min="14865" max="14866" width="11.7109375" customWidth="1"/>
    <col min="14868" max="14868" width="15.85546875" customWidth="1"/>
    <col min="14870" max="14870" width="11.140625" bestFit="1" customWidth="1"/>
    <col min="14871" max="14871" width="8.28515625" customWidth="1"/>
    <col min="14872" max="14872" width="7" customWidth="1"/>
    <col min="15107" max="15107" width="11.140625" bestFit="1" customWidth="1"/>
    <col min="15108" max="15108" width="10.7109375" bestFit="1" customWidth="1"/>
    <col min="15109" max="15109" width="16.85546875" bestFit="1" customWidth="1"/>
    <col min="15110" max="15110" width="15" bestFit="1" customWidth="1"/>
    <col min="15111" max="15111" width="11.28515625" bestFit="1" customWidth="1"/>
    <col min="15112" max="15113" width="11.140625" bestFit="1" customWidth="1"/>
    <col min="15114" max="15114" width="10.7109375" bestFit="1" customWidth="1"/>
    <col min="15115" max="15116" width="11.140625" bestFit="1" customWidth="1"/>
    <col min="15117" max="15117" width="12.7109375" bestFit="1" customWidth="1"/>
    <col min="15118" max="15118" width="11.140625" bestFit="1" customWidth="1"/>
    <col min="15119" max="15119" width="13.42578125" bestFit="1" customWidth="1"/>
    <col min="15121" max="15122" width="11.7109375" customWidth="1"/>
    <col min="15124" max="15124" width="15.85546875" customWidth="1"/>
    <col min="15126" max="15126" width="11.140625" bestFit="1" customWidth="1"/>
    <col min="15127" max="15127" width="8.28515625" customWidth="1"/>
    <col min="15128" max="15128" width="7" customWidth="1"/>
    <col min="15363" max="15363" width="11.140625" bestFit="1" customWidth="1"/>
    <col min="15364" max="15364" width="10.7109375" bestFit="1" customWidth="1"/>
    <col min="15365" max="15365" width="16.85546875" bestFit="1" customWidth="1"/>
    <col min="15366" max="15366" width="15" bestFit="1" customWidth="1"/>
    <col min="15367" max="15367" width="11.28515625" bestFit="1" customWidth="1"/>
    <col min="15368" max="15369" width="11.140625" bestFit="1" customWidth="1"/>
    <col min="15370" max="15370" width="10.7109375" bestFit="1" customWidth="1"/>
    <col min="15371" max="15372" width="11.140625" bestFit="1" customWidth="1"/>
    <col min="15373" max="15373" width="12.7109375" bestFit="1" customWidth="1"/>
    <col min="15374" max="15374" width="11.140625" bestFit="1" customWidth="1"/>
    <col min="15375" max="15375" width="13.42578125" bestFit="1" customWidth="1"/>
    <col min="15377" max="15378" width="11.7109375" customWidth="1"/>
    <col min="15380" max="15380" width="15.85546875" customWidth="1"/>
    <col min="15382" max="15382" width="11.140625" bestFit="1" customWidth="1"/>
    <col min="15383" max="15383" width="8.28515625" customWidth="1"/>
    <col min="15384" max="15384" width="7" customWidth="1"/>
    <col min="15619" max="15619" width="11.140625" bestFit="1" customWidth="1"/>
    <col min="15620" max="15620" width="10.7109375" bestFit="1" customWidth="1"/>
    <col min="15621" max="15621" width="16.85546875" bestFit="1" customWidth="1"/>
    <col min="15622" max="15622" width="15" bestFit="1" customWidth="1"/>
    <col min="15623" max="15623" width="11.28515625" bestFit="1" customWidth="1"/>
    <col min="15624" max="15625" width="11.140625" bestFit="1" customWidth="1"/>
    <col min="15626" max="15626" width="10.7109375" bestFit="1" customWidth="1"/>
    <col min="15627" max="15628" width="11.140625" bestFit="1" customWidth="1"/>
    <col min="15629" max="15629" width="12.7109375" bestFit="1" customWidth="1"/>
    <col min="15630" max="15630" width="11.140625" bestFit="1" customWidth="1"/>
    <col min="15631" max="15631" width="13.42578125" bestFit="1" customWidth="1"/>
    <col min="15633" max="15634" width="11.7109375" customWidth="1"/>
    <col min="15636" max="15636" width="15.85546875" customWidth="1"/>
    <col min="15638" max="15638" width="11.140625" bestFit="1" customWidth="1"/>
    <col min="15639" max="15639" width="8.28515625" customWidth="1"/>
    <col min="15640" max="15640" width="7" customWidth="1"/>
    <col min="15875" max="15875" width="11.140625" bestFit="1" customWidth="1"/>
    <col min="15876" max="15876" width="10.7109375" bestFit="1" customWidth="1"/>
    <col min="15877" max="15877" width="16.85546875" bestFit="1" customWidth="1"/>
    <col min="15878" max="15878" width="15" bestFit="1" customWidth="1"/>
    <col min="15879" max="15879" width="11.28515625" bestFit="1" customWidth="1"/>
    <col min="15880" max="15881" width="11.140625" bestFit="1" customWidth="1"/>
    <col min="15882" max="15882" width="10.7109375" bestFit="1" customWidth="1"/>
    <col min="15883" max="15884" width="11.140625" bestFit="1" customWidth="1"/>
    <col min="15885" max="15885" width="12.7109375" bestFit="1" customWidth="1"/>
    <col min="15886" max="15886" width="11.140625" bestFit="1" customWidth="1"/>
    <col min="15887" max="15887" width="13.42578125" bestFit="1" customWidth="1"/>
    <col min="15889" max="15890" width="11.7109375" customWidth="1"/>
    <col min="15892" max="15892" width="15.85546875" customWidth="1"/>
    <col min="15894" max="15894" width="11.140625" bestFit="1" customWidth="1"/>
    <col min="15895" max="15895" width="8.28515625" customWidth="1"/>
    <col min="15896" max="15896" width="7" customWidth="1"/>
    <col min="16131" max="16131" width="11.140625" bestFit="1" customWidth="1"/>
    <col min="16132" max="16132" width="10.7109375" bestFit="1" customWidth="1"/>
    <col min="16133" max="16133" width="16.85546875" bestFit="1" customWidth="1"/>
    <col min="16134" max="16134" width="15" bestFit="1" customWidth="1"/>
    <col min="16135" max="16135" width="11.28515625" bestFit="1" customWidth="1"/>
    <col min="16136" max="16137" width="11.140625" bestFit="1" customWidth="1"/>
    <col min="16138" max="16138" width="10.7109375" bestFit="1" customWidth="1"/>
    <col min="16139" max="16140" width="11.140625" bestFit="1" customWidth="1"/>
    <col min="16141" max="16141" width="12.7109375" bestFit="1" customWidth="1"/>
    <col min="16142" max="16142" width="11.140625" bestFit="1" customWidth="1"/>
    <col min="16143" max="16143" width="13.42578125" bestFit="1" customWidth="1"/>
    <col min="16145" max="16146" width="11.7109375" customWidth="1"/>
    <col min="16148" max="16148" width="15.85546875" customWidth="1"/>
    <col min="16150" max="16150" width="11.140625" bestFit="1" customWidth="1"/>
    <col min="16151" max="16151" width="8.28515625" customWidth="1"/>
    <col min="16152" max="16152" width="7" customWidth="1"/>
  </cols>
  <sheetData>
    <row r="2" spans="1:22">
      <c r="C2" t="s">
        <v>0</v>
      </c>
      <c r="E2" t="s">
        <v>1</v>
      </c>
      <c r="I2" t="s">
        <v>2</v>
      </c>
      <c r="K2" t="s">
        <v>1</v>
      </c>
      <c r="M2" t="s">
        <v>460</v>
      </c>
      <c r="O2" t="s">
        <v>1</v>
      </c>
      <c r="Q2" s="1" t="s">
        <v>4</v>
      </c>
      <c r="T2" t="s">
        <v>5</v>
      </c>
    </row>
    <row r="3" spans="1:22" s="2" customFormat="1" ht="12.75">
      <c r="A3" s="2">
        <v>2019</v>
      </c>
      <c r="C3" s="80">
        <v>908.9</v>
      </c>
      <c r="D3" s="3"/>
      <c r="F3" s="3"/>
      <c r="I3" s="80">
        <v>75505.320000000007</v>
      </c>
      <c r="M3" s="3"/>
      <c r="Q3" s="80">
        <v>124544.71</v>
      </c>
      <c r="R3" s="3"/>
      <c r="T3" s="80">
        <f>C3 + I3 + Q3</f>
        <v>200958.93</v>
      </c>
    </row>
    <row r="4" spans="1:22" s="2" customFormat="1">
      <c r="A4" s="4">
        <v>43831</v>
      </c>
      <c r="C4" s="3">
        <v>5061.6099999999997</v>
      </c>
      <c r="D4" s="3">
        <v>4809.29</v>
      </c>
      <c r="E4" s="108">
        <f t="shared" ref="E4:E9" si="0">( (C4-D4)/C3 -1)</f>
        <v>-0.72238970183738616</v>
      </c>
      <c r="F4" s="3">
        <v>1220.07</v>
      </c>
      <c r="G4" s="5">
        <f t="shared" ref="G4:G9" si="1">(F4/C4)</f>
        <v>0.24104385758681526</v>
      </c>
      <c r="I4" s="3">
        <v>125984.25</v>
      </c>
      <c r="J4" s="3">
        <v>-1958.12</v>
      </c>
      <c r="K4" s="5">
        <f>((I4-J4)/I3) -1</f>
        <v>0.69448152792412476</v>
      </c>
      <c r="L4" s="5"/>
      <c r="M4" s="3"/>
      <c r="N4" s="3"/>
      <c r="O4" s="5"/>
      <c r="P4" s="5"/>
      <c r="Q4" s="3">
        <v>169551.84</v>
      </c>
      <c r="R4" s="5">
        <f t="shared" ref="R4:R9" si="2">Q4/Q3 -1</f>
        <v>0.36137327711470024</v>
      </c>
      <c r="T4" s="3">
        <f>C4 + I4 + Q4</f>
        <v>300597.7</v>
      </c>
      <c r="U4" s="5">
        <f>T4/T3 -1</f>
        <v>0.49581658302022213</v>
      </c>
      <c r="V4" s="7">
        <f>T4/T3 -1</f>
        <v>0.49581658302022213</v>
      </c>
    </row>
    <row r="5" spans="1:22" s="2" customFormat="1">
      <c r="A5" s="4">
        <v>44197</v>
      </c>
      <c r="C5" s="3">
        <v>15011.69</v>
      </c>
      <c r="D5" s="3">
        <v>3253.8</v>
      </c>
      <c r="E5" s="102">
        <f t="shared" si="0"/>
        <v>1.3229545539857872</v>
      </c>
      <c r="F5" s="3">
        <v>8031.94</v>
      </c>
      <c r="G5" s="102">
        <f t="shared" si="1"/>
        <v>0.53504568772736438</v>
      </c>
      <c r="I5" s="3">
        <v>135360.94</v>
      </c>
      <c r="J5" s="3"/>
      <c r="K5" s="5">
        <f>((I5+J5)/I4) -1</f>
        <v>7.4427478037929262E-2</v>
      </c>
      <c r="L5" s="5"/>
      <c r="M5" s="3"/>
      <c r="N5" s="3"/>
      <c r="O5" s="5"/>
      <c r="P5" s="5"/>
      <c r="Q5" s="3">
        <v>241561.18</v>
      </c>
      <c r="R5" s="102">
        <f t="shared" si="2"/>
        <v>0.42470397254314673</v>
      </c>
      <c r="T5" s="3">
        <f>C5 + I5 + Q5</f>
        <v>391933.81</v>
      </c>
      <c r="U5" s="5">
        <f>T5/T4 -1</f>
        <v>0.30384833283820867</v>
      </c>
      <c r="V5" s="7">
        <f>T5/T3 -1</f>
        <v>0.95031795800266261</v>
      </c>
    </row>
    <row r="6" spans="1:22" s="2" customFormat="1">
      <c r="A6" s="4">
        <v>44562</v>
      </c>
      <c r="C6" s="3">
        <v>18166.45</v>
      </c>
      <c r="D6" s="3">
        <v>3109.78</v>
      </c>
      <c r="E6" s="5">
        <f t="shared" si="0"/>
        <v>2.9963315256309464E-3</v>
      </c>
      <c r="F6" s="3">
        <v>2340.23</v>
      </c>
      <c r="G6" s="5">
        <f t="shared" si="1"/>
        <v>0.12882153640364519</v>
      </c>
      <c r="I6" s="3">
        <v>170104.5</v>
      </c>
      <c r="J6" s="3"/>
      <c r="K6" s="5">
        <f>((I6+J6)/I5) -1</f>
        <v>0.25667345395207808</v>
      </c>
      <c r="L6" s="5"/>
      <c r="M6" s="82">
        <v>234276.84</v>
      </c>
      <c r="N6" s="3">
        <v>226247.79</v>
      </c>
      <c r="O6" s="5">
        <f>((M6-N6)/N6)</f>
        <v>3.5487860456007055E-2</v>
      </c>
      <c r="P6" s="5"/>
      <c r="Q6" s="3">
        <v>319120.92</v>
      </c>
      <c r="R6" s="5">
        <f t="shared" si="2"/>
        <v>0.32107700417757523</v>
      </c>
      <c r="T6" s="3">
        <f t="shared" ref="T6:T11" si="3">C6 + I6 + M6 + Q6</f>
        <v>741668.71</v>
      </c>
      <c r="U6" s="5">
        <f>(T6-N6)/T5 -1</f>
        <v>0.31507133819355859</v>
      </c>
      <c r="V6" s="7">
        <f>T6/T3 -1</f>
        <v>2.6906481836860894</v>
      </c>
    </row>
    <row r="7" spans="1:22" s="2" customFormat="1">
      <c r="A7" s="4">
        <v>44927</v>
      </c>
      <c r="C7" s="3">
        <v>10169.06</v>
      </c>
      <c r="D7" s="3"/>
      <c r="E7" s="5">
        <f t="shared" si="0"/>
        <v>-0.44022855318457932</v>
      </c>
      <c r="F7" s="3">
        <v>-13707.94</v>
      </c>
      <c r="G7" s="5">
        <f t="shared" si="1"/>
        <v>-1.3480046336632885</v>
      </c>
      <c r="I7" s="3">
        <v>84285.27</v>
      </c>
      <c r="J7" s="3">
        <v>-39851.4</v>
      </c>
      <c r="K7" s="5">
        <f>(I7/(I6+J7)) -1</f>
        <v>-0.35291160056843174</v>
      </c>
      <c r="L7" s="5"/>
      <c r="M7" s="3">
        <v>75262.63</v>
      </c>
      <c r="N7" s="3">
        <v>-105148.6</v>
      </c>
      <c r="O7" s="108">
        <f>M7/(M6+N7)-1</f>
        <v>-0.41714817765656831</v>
      </c>
      <c r="P7" s="5"/>
      <c r="Q7" s="3">
        <v>294732.3</v>
      </c>
      <c r="R7" s="108">
        <f t="shared" si="2"/>
        <v>-7.6424384838198578E-2</v>
      </c>
      <c r="T7" s="3">
        <f t="shared" si="3"/>
        <v>464449.26</v>
      </c>
      <c r="U7" s="108">
        <f>(T7-N7-J7)/T6 -1</f>
        <v>-0.17827292457841448</v>
      </c>
      <c r="V7" s="7">
        <f>T7/T3 -1</f>
        <v>1.3111650723856862</v>
      </c>
    </row>
    <row r="8" spans="1:22" s="2" customFormat="1">
      <c r="A8" s="4">
        <v>45292</v>
      </c>
      <c r="C8" s="3">
        <v>10194.43</v>
      </c>
      <c r="D8" s="3"/>
      <c r="E8" s="5">
        <f t="shared" si="0"/>
        <v>2.4948225303027538E-3</v>
      </c>
      <c r="F8" s="3">
        <v>-3092.94</v>
      </c>
      <c r="G8" s="5">
        <f t="shared" si="1"/>
        <v>-0.30339508927914555</v>
      </c>
      <c r="I8" s="3">
        <v>193663.5</v>
      </c>
      <c r="J8" s="3">
        <v>-20593.150000000001</v>
      </c>
      <c r="K8" s="5">
        <f t="shared" ref="K8:K13" si="4">((I8-J8)/I7) -1</f>
        <v>1.5420414504218827</v>
      </c>
      <c r="L8" s="5"/>
      <c r="M8" s="3">
        <v>53898.82</v>
      </c>
      <c r="N8" s="3">
        <v>-16893.400000000001</v>
      </c>
      <c r="O8" s="5">
        <f>M8/(M7+N8)-1</f>
        <v>-7.6588469644023105E-2</v>
      </c>
      <c r="P8" s="5"/>
      <c r="Q8" s="3">
        <v>398977.73</v>
      </c>
      <c r="R8" s="5">
        <f t="shared" si="2"/>
        <v>0.35369530248296499</v>
      </c>
      <c r="T8" s="3">
        <f t="shared" si="3"/>
        <v>656734.48</v>
      </c>
      <c r="U8" s="5">
        <f>(T8-N8-J8)/T7 -1</f>
        <v>0.49471877724597957</v>
      </c>
      <c r="V8" s="7">
        <f>T8/T3 -1</f>
        <v>2.2680034671761042</v>
      </c>
    </row>
    <row r="9" spans="1:22" s="2" customFormat="1">
      <c r="A9" s="4">
        <v>45658</v>
      </c>
      <c r="C9" s="3">
        <v>12345.33</v>
      </c>
      <c r="D9" s="3"/>
      <c r="E9" s="5">
        <f t="shared" si="0"/>
        <v>0.2109877648872962</v>
      </c>
      <c r="F9" s="3">
        <v>3195.98</v>
      </c>
      <c r="G9" s="5">
        <f t="shared" si="1"/>
        <v>0.25888169858561899</v>
      </c>
      <c r="I9" s="3">
        <v>95999.4</v>
      </c>
      <c r="J9" s="3">
        <v>-15760.72</v>
      </c>
      <c r="K9" s="108">
        <f t="shared" si="4"/>
        <v>-0.42291593408153838</v>
      </c>
      <c r="L9" s="5"/>
      <c r="M9" s="80">
        <v>26492.47</v>
      </c>
      <c r="N9" s="3">
        <v>-8680.85</v>
      </c>
      <c r="O9" s="5">
        <f>M9/(M8+N9)-1</f>
        <v>-0.41411633472267773</v>
      </c>
      <c r="P9" s="5"/>
      <c r="Q9" s="3">
        <v>470401.19</v>
      </c>
      <c r="R9" s="5">
        <f t="shared" si="2"/>
        <v>0.17901615711734098</v>
      </c>
      <c r="T9" s="3">
        <f t="shared" si="3"/>
        <v>605238.39</v>
      </c>
      <c r="U9" s="5">
        <f>(T9-N9-J9)/T8 -1</f>
        <v>-4.1195522427876829E-2</v>
      </c>
      <c r="V9" s="7">
        <f>T9/T3 -1</f>
        <v>2.0117516549277012</v>
      </c>
    </row>
    <row r="10" spans="1:22" s="2" customFormat="1">
      <c r="A10" s="4">
        <v>46023</v>
      </c>
      <c r="C10" s="131">
        <v>17303.61</v>
      </c>
      <c r="D10" s="3"/>
      <c r="E10" s="5">
        <f>( (C10-D10)/C9 -1)</f>
        <v>0.40163203413760518</v>
      </c>
      <c r="F10" s="3">
        <v>3881.18</v>
      </c>
      <c r="G10" s="5">
        <f>(F10/C10)</f>
        <v>0.22429886018004333</v>
      </c>
      <c r="I10" s="131">
        <v>238199.59</v>
      </c>
      <c r="J10" s="3">
        <v>-6518.17</v>
      </c>
      <c r="K10" s="102">
        <f t="shared" si="4"/>
        <v>1.5491592655787434</v>
      </c>
      <c r="L10" s="5"/>
      <c r="M10" s="93">
        <v>30788.1</v>
      </c>
      <c r="N10" s="3">
        <v>-2493.81</v>
      </c>
      <c r="O10" s="102">
        <f>M10/(M9+N10)-1</f>
        <v>0.282909129093041</v>
      </c>
      <c r="P10" s="5"/>
      <c r="Q10" s="131">
        <v>641653.56999999995</v>
      </c>
      <c r="R10" s="5">
        <f t="shared" ref="R10:R15" si="5">Q10/Q9 -1</f>
        <v>0.36405600929708526</v>
      </c>
      <c r="T10" s="83">
        <f t="shared" si="3"/>
        <v>927944.86999999988</v>
      </c>
      <c r="U10" s="102">
        <f>(T10-N10-J10)/T9 -1</f>
        <v>0.54807901395679792</v>
      </c>
      <c r="V10" s="104">
        <f>T10/T3 -1</f>
        <v>3.6175846477685756</v>
      </c>
    </row>
    <row r="11" spans="1:22">
      <c r="A11" s="6">
        <v>46054</v>
      </c>
      <c r="C11" s="1">
        <v>18163.55</v>
      </c>
      <c r="E11" s="7">
        <f t="shared" ref="E11:E16" si="6">( C11/C10 -1)</f>
        <v>4.9697144121949144E-2</v>
      </c>
      <c r="F11" s="1">
        <v>1057</v>
      </c>
      <c r="G11" s="7">
        <f>(F11/C10)</f>
        <v>6.108551914889436E-2</v>
      </c>
      <c r="I11" s="1">
        <v>299870.90999999997</v>
      </c>
      <c r="J11" s="1"/>
      <c r="K11" s="88">
        <f t="shared" si="4"/>
        <v>0.2589060711649418</v>
      </c>
      <c r="L11" s="7"/>
      <c r="M11" s="1">
        <v>30452.400000000001</v>
      </c>
      <c r="N11" s="1"/>
      <c r="O11" s="7">
        <f t="shared" ref="O11:O16" si="7">((M11-N11)/M10) -1</f>
        <v>-1.0903563389751181E-2</v>
      </c>
      <c r="P11" s="7"/>
      <c r="Q11" s="1">
        <v>678362.91</v>
      </c>
      <c r="R11" s="122">
        <f t="shared" si="5"/>
        <v>5.7210528728142362E-2</v>
      </c>
      <c r="T11" s="1">
        <f t="shared" si="3"/>
        <v>1026849.77</v>
      </c>
      <c r="U11" s="7">
        <f t="shared" ref="U11:U16" si="8">T11/T10 -1</f>
        <v>0.10658488795783749</v>
      </c>
      <c r="V11" s="7">
        <f>T11/T10 -1</f>
        <v>0.10658488795783749</v>
      </c>
    </row>
    <row r="12" spans="1:22">
      <c r="A12" s="6">
        <v>46082</v>
      </c>
      <c r="C12" s="1">
        <v>18435.150000000001</v>
      </c>
      <c r="E12" s="7">
        <f t="shared" si="6"/>
        <v>1.4953024050915253E-2</v>
      </c>
      <c r="F12" s="1">
        <v>57.44</v>
      </c>
      <c r="G12" s="109">
        <f>(F12/C10)</f>
        <v>3.3195385240420926E-3</v>
      </c>
      <c r="I12" s="1">
        <v>310786.53999999998</v>
      </c>
      <c r="J12" s="1"/>
      <c r="K12" s="7">
        <f t="shared" si="4"/>
        <v>3.6401096725254156E-2</v>
      </c>
      <c r="L12" s="7"/>
      <c r="M12" s="1">
        <v>31846.17</v>
      </c>
      <c r="N12" s="1"/>
      <c r="O12" s="7">
        <f t="shared" si="7"/>
        <v>4.5768806399495432E-2</v>
      </c>
      <c r="P12" s="7"/>
      <c r="Q12" s="1">
        <v>701403.88</v>
      </c>
      <c r="R12" s="122">
        <f t="shared" si="5"/>
        <v>3.396555097624665E-2</v>
      </c>
      <c r="T12" s="1">
        <f>C12 + I12 + M12 + Q12</f>
        <v>1062471.74</v>
      </c>
      <c r="U12" s="7">
        <f t="shared" si="8"/>
        <v>3.4690537058794879E-2</v>
      </c>
      <c r="V12" s="7">
        <f>T12/T10 -1</f>
        <v>0.14497291202224138</v>
      </c>
    </row>
    <row r="13" spans="1:22">
      <c r="A13" s="6">
        <v>46113</v>
      </c>
      <c r="C13" s="1">
        <v>17610.46</v>
      </c>
      <c r="E13" s="109">
        <f t="shared" si="6"/>
        <v>-4.4734650924999397E-2</v>
      </c>
      <c r="F13" s="1">
        <v>413.97</v>
      </c>
      <c r="G13" s="7">
        <f>(F13/C10)</f>
        <v>2.3923909519458657E-2</v>
      </c>
      <c r="I13" s="1">
        <v>310189.77</v>
      </c>
      <c r="J13" s="1"/>
      <c r="K13" s="109">
        <f t="shared" si="4"/>
        <v>-1.9201925540274223E-3</v>
      </c>
      <c r="L13" s="7"/>
      <c r="M13" s="81">
        <v>27884.29</v>
      </c>
      <c r="N13" s="1">
        <v>-1200</v>
      </c>
      <c r="O13" s="109">
        <f t="shared" si="7"/>
        <v>-8.6725656491816627E-2</v>
      </c>
      <c r="P13" s="7"/>
      <c r="Q13" s="1">
        <v>664290.56000000006</v>
      </c>
      <c r="R13" s="126">
        <f t="shared" si="5"/>
        <v>-5.2912909463802671E-2</v>
      </c>
      <c r="T13" s="1">
        <f>C13 + I13 + M13 + Q13</f>
        <v>1019975.0800000001</v>
      </c>
      <c r="U13" s="109">
        <f t="shared" si="8"/>
        <v>-3.99979203211559E-2</v>
      </c>
      <c r="V13" s="109">
        <f>T13/T10 -1</f>
        <v>9.9176376717293735E-2</v>
      </c>
    </row>
    <row r="14" spans="1:22">
      <c r="A14" s="6">
        <v>46143</v>
      </c>
      <c r="C14" s="1">
        <v>21003.63</v>
      </c>
      <c r="E14" s="88">
        <f t="shared" si="6"/>
        <v>0.19267923722605773</v>
      </c>
      <c r="F14" s="1">
        <v>2343.58</v>
      </c>
      <c r="G14" s="88">
        <f>(F14/C10)</f>
        <v>0.13543878994036504</v>
      </c>
      <c r="I14" s="1">
        <v>664099.92000000004</v>
      </c>
      <c r="J14" s="1"/>
      <c r="K14" s="88">
        <f t="shared" ref="K14" si="9">((I14-J14)/I13) -1</f>
        <v>1.1409472014502606</v>
      </c>
      <c r="L14" s="7"/>
      <c r="M14" s="1">
        <v>34323.78</v>
      </c>
      <c r="N14" s="1"/>
      <c r="O14" s="7">
        <f t="shared" si="7"/>
        <v>0.23093612926848772</v>
      </c>
      <c r="P14" s="7"/>
      <c r="Q14" s="1">
        <v>792307.05</v>
      </c>
      <c r="R14" s="125">
        <f t="shared" si="5"/>
        <v>0.19271158994040194</v>
      </c>
      <c r="T14" s="1">
        <f>C14 + I14 + M14 + Q14</f>
        <v>1511734.3800000001</v>
      </c>
      <c r="U14" s="88">
        <f t="shared" si="8"/>
        <v>0.48212873985117355</v>
      </c>
      <c r="V14" s="7">
        <f>T14/T10 -1</f>
        <v>0.6291208980981815</v>
      </c>
    </row>
    <row r="15" spans="1:22">
      <c r="A15" s="6">
        <v>46174</v>
      </c>
      <c r="C15" s="101">
        <v>24094.02</v>
      </c>
      <c r="E15" s="7">
        <f t="shared" si="6"/>
        <v>0.14713599506371033</v>
      </c>
      <c r="F15" s="1">
        <v>1442.6</v>
      </c>
      <c r="G15" s="7">
        <f>(F15/C11)</f>
        <v>7.9422800058358639E-2</v>
      </c>
      <c r="I15" s="101">
        <v>811934.4</v>
      </c>
      <c r="J15" s="1"/>
      <c r="K15" s="7">
        <f t="shared" ref="K15" si="10">((I15-J15)/I14) -1</f>
        <v>0.22260879055669802</v>
      </c>
      <c r="L15" s="7"/>
      <c r="M15" s="71">
        <v>43264.67</v>
      </c>
      <c r="N15" s="1">
        <v>-600</v>
      </c>
      <c r="O15" s="88">
        <f t="shared" si="7"/>
        <v>0.27796734508844878</v>
      </c>
      <c r="P15" s="7"/>
      <c r="Q15" s="101">
        <v>846936.42</v>
      </c>
      <c r="R15" s="122">
        <f t="shared" si="5"/>
        <v>6.8949746187415561E-2</v>
      </c>
      <c r="T15" s="101">
        <f>C15 + I15 + M15 + Q15</f>
        <v>1726229.5100000002</v>
      </c>
      <c r="U15" s="7">
        <f t="shared" si="8"/>
        <v>0.14188678437014857</v>
      </c>
      <c r="V15" s="88">
        <f>T15/T10 -1</f>
        <v>0.86027162367954091</v>
      </c>
    </row>
    <row r="16" spans="1:22">
      <c r="A16" s="6">
        <v>46204</v>
      </c>
      <c r="C16" s="1">
        <v>23954.51</v>
      </c>
      <c r="E16" s="7">
        <f t="shared" si="6"/>
        <v>-5.7902334272156297E-3</v>
      </c>
      <c r="F16" s="1">
        <v>1038.8399999999999</v>
      </c>
      <c r="G16" s="7">
        <f>(F16/C12)</f>
        <v>5.6351046777487562E-2</v>
      </c>
      <c r="I16" s="1">
        <v>828982.05</v>
      </c>
      <c r="J16" s="1"/>
      <c r="K16" s="7">
        <f t="shared" ref="K16" si="11">((I16-J16)/I15) -1</f>
        <v>2.0996339113110718E-2</v>
      </c>
      <c r="L16" s="7"/>
      <c r="M16" s="1">
        <v>40559.769999999997</v>
      </c>
      <c r="N16" s="1"/>
      <c r="O16" s="7">
        <f t="shared" si="7"/>
        <v>-6.2519834312847022E-2</v>
      </c>
      <c r="P16" s="7"/>
      <c r="Q16" s="1">
        <v>843348.82</v>
      </c>
      <c r="R16" s="122">
        <f t="shared" ref="R16" si="12">Q16/Q15 -1</f>
        <v>-4.2359732268923977E-3</v>
      </c>
      <c r="T16" s="1">
        <f>C16 + I16 + M16 + Q16</f>
        <v>1736845.15</v>
      </c>
      <c r="U16" s="7">
        <f t="shared" si="8"/>
        <v>6.1496110097201129E-3</v>
      </c>
      <c r="V16" s="7">
        <f>T16/T10 -1</f>
        <v>0.87171157053759041</v>
      </c>
    </row>
    <row r="17" spans="1:22">
      <c r="A17" s="6">
        <v>46235</v>
      </c>
      <c r="C17" s="1"/>
      <c r="E17" s="7"/>
      <c r="G17" s="7"/>
      <c r="I17" s="1"/>
      <c r="J17" s="1"/>
      <c r="K17" s="7"/>
      <c r="L17" s="7"/>
      <c r="M17" s="1"/>
      <c r="N17" s="1"/>
      <c r="O17" s="7"/>
      <c r="P17" s="7"/>
      <c r="R17" s="122"/>
      <c r="T17" s="1"/>
      <c r="U17" s="7"/>
      <c r="V17" s="7"/>
    </row>
    <row r="18" spans="1:22">
      <c r="A18" s="6">
        <v>46266</v>
      </c>
      <c r="C18" s="1"/>
      <c r="E18" s="7"/>
      <c r="G18" s="7"/>
      <c r="I18" s="1"/>
      <c r="J18" s="1"/>
      <c r="K18" s="7"/>
      <c r="L18" s="7"/>
      <c r="M18" s="1"/>
      <c r="N18" s="1"/>
      <c r="O18" s="7"/>
      <c r="P18" s="7"/>
      <c r="R18" s="122"/>
      <c r="T18" s="1"/>
      <c r="U18" s="7"/>
      <c r="V18" s="7"/>
    </row>
    <row r="19" spans="1:22">
      <c r="A19" s="6">
        <v>46296</v>
      </c>
      <c r="C19" s="1"/>
      <c r="E19" s="7"/>
      <c r="G19" s="7"/>
      <c r="I19" s="1"/>
      <c r="J19" s="1"/>
      <c r="K19" s="7"/>
      <c r="L19" s="7"/>
      <c r="M19" s="1"/>
      <c r="N19" s="1"/>
      <c r="O19" s="7" t="s">
        <v>950</v>
      </c>
      <c r="P19" s="7"/>
      <c r="R19" s="122"/>
      <c r="T19" s="1"/>
      <c r="U19" s="7"/>
      <c r="V19" s="7"/>
    </row>
    <row r="20" spans="1:22">
      <c r="A20" s="6">
        <v>46327</v>
      </c>
      <c r="C20" s="1"/>
      <c r="E20" s="7"/>
      <c r="G20" s="7"/>
      <c r="I20" s="1"/>
      <c r="J20" s="1"/>
      <c r="K20" s="7"/>
      <c r="L20" s="7"/>
      <c r="M20" s="1"/>
      <c r="N20" s="1" t="s">
        <v>947</v>
      </c>
      <c r="O20" s="7"/>
      <c r="P20" s="7"/>
      <c r="R20" s="122"/>
      <c r="T20" s="1"/>
      <c r="U20" s="7"/>
      <c r="V20" s="7"/>
    </row>
    <row r="21" spans="1:22">
      <c r="A21" s="6">
        <v>46357</v>
      </c>
      <c r="C21" s="1"/>
      <c r="E21" s="7"/>
      <c r="G21" s="7"/>
      <c r="I21" s="1"/>
      <c r="J21" s="1"/>
      <c r="K21" s="7"/>
      <c r="L21" s="7"/>
      <c r="M21" s="1"/>
      <c r="N21" s="1"/>
      <c r="O21" s="7"/>
      <c r="P21" s="7"/>
      <c r="R21" s="122"/>
      <c r="T21" s="1"/>
      <c r="U21" s="7"/>
      <c r="V21" s="7"/>
    </row>
    <row r="22" spans="1:22">
      <c r="A22" s="6">
        <v>46388</v>
      </c>
      <c r="C22" s="1"/>
      <c r="E22" s="7"/>
      <c r="G22" s="7"/>
      <c r="I22" s="1"/>
      <c r="J22" s="1"/>
      <c r="K22" s="7"/>
      <c r="L22" s="7"/>
      <c r="M22" s="1"/>
      <c r="N22" s="1"/>
      <c r="O22" s="7"/>
      <c r="P22" s="7"/>
      <c r="R22" s="122"/>
      <c r="T22" s="1"/>
      <c r="U22" s="7"/>
      <c r="V22" s="7"/>
    </row>
    <row r="23" spans="1:22">
      <c r="C23" s="1"/>
      <c r="E23" s="7"/>
      <c r="I23" s="1"/>
      <c r="J23" s="1"/>
      <c r="K23" s="7"/>
      <c r="L23" s="7"/>
      <c r="M23" s="1"/>
      <c r="N23" s="1"/>
      <c r="O23" s="7"/>
      <c r="P23" s="7"/>
    </row>
    <row r="24" spans="1:22">
      <c r="C24" s="1"/>
      <c r="E24" s="7"/>
      <c r="I24" s="1"/>
      <c r="J24" s="1"/>
      <c r="K24" s="7"/>
      <c r="L24" s="7"/>
      <c r="M24" s="1"/>
      <c r="N24" s="1"/>
      <c r="O24" s="7"/>
      <c r="P24" s="7"/>
    </row>
    <row r="25" spans="1:22">
      <c r="C25" s="1">
        <f>SUM(-C10,C16)</f>
        <v>6650.8999999999978</v>
      </c>
      <c r="D25" s="1">
        <f>SUM(D11:D23)</f>
        <v>0</v>
      </c>
      <c r="E25" s="7">
        <f>( (C16-D25)/C10 -1)</f>
        <v>0.38436488108550737</v>
      </c>
      <c r="F25" s="1">
        <f>SUM(F11:F23)</f>
        <v>6353.43</v>
      </c>
      <c r="G25" s="7">
        <f>F25/C25</f>
        <v>0.95527372235336605</v>
      </c>
      <c r="I25" s="1">
        <f>SUM(-I10,I16,-J25)</f>
        <v>590782.46000000008</v>
      </c>
      <c r="J25" s="1">
        <f>SUM(J11:J23)</f>
        <v>0</v>
      </c>
      <c r="K25" s="7">
        <f>((I16 - J25)/I10) -1</f>
        <v>2.4801993152045312</v>
      </c>
      <c r="L25" s="7"/>
      <c r="M25" s="1">
        <f>SUM(M16-N25,-M10)</f>
        <v>11571.669999999998</v>
      </c>
      <c r="N25" s="1">
        <f>SUM(N11:N23)</f>
        <v>-1800</v>
      </c>
      <c r="O25" s="7">
        <f>((M16-N25)/M10) -1</f>
        <v>0.37584878573214975</v>
      </c>
      <c r="P25" s="7"/>
      <c r="Q25" s="1">
        <f>(Q16- Q10)</f>
        <v>201695.25</v>
      </c>
      <c r="R25" s="7">
        <f>(Q16/Q10) -1</f>
        <v>0.31433667547427513</v>
      </c>
      <c r="T25" s="1">
        <f>(T16- T10 - N25 - J25)</f>
        <v>810700.28</v>
      </c>
      <c r="U25" s="7">
        <f>(T16-N25-J25)/T10 -1</f>
        <v>0.87365134094658026</v>
      </c>
    </row>
    <row r="26" spans="1:22">
      <c r="E26" s="7"/>
      <c r="I26" s="1"/>
      <c r="J26" s="1"/>
      <c r="K26" s="7"/>
      <c r="L26" s="7"/>
      <c r="M26" s="1"/>
      <c r="N26" s="1"/>
      <c r="O26" s="7"/>
      <c r="P26" s="7"/>
      <c r="T26" s="1"/>
      <c r="U26" s="7"/>
    </row>
    <row r="27" spans="1:22">
      <c r="C27" s="1">
        <f>SUM(-C3,C16)</f>
        <v>23045.609999999997</v>
      </c>
      <c r="D27" s="1">
        <f>SUM(D4:D24)</f>
        <v>11172.87</v>
      </c>
      <c r="E27" s="7">
        <f xml:space="preserve"> (C16-D27)/C3 -1</f>
        <v>13.062757179007589</v>
      </c>
      <c r="F27" s="1">
        <f>SUM(F4:F24)</f>
        <v>8221.9499999999989</v>
      </c>
      <c r="G27" s="7">
        <f>F27/(C16-C3)</f>
        <v>0.35676859931240701</v>
      </c>
      <c r="I27" s="1">
        <f>SUM(-I3,I16, -J27)</f>
        <v>838158.29</v>
      </c>
      <c r="J27" s="1">
        <f>SUM(J4:J24)</f>
        <v>-84681.56</v>
      </c>
      <c r="K27" s="7">
        <f>((I16-J27)/I3 -1)</f>
        <v>11.100652112990185</v>
      </c>
      <c r="L27" s="7"/>
      <c r="M27" s="1">
        <f>SUM(-M3-N27,M16)</f>
        <v>-50671.360000000008</v>
      </c>
      <c r="N27" s="1">
        <f>SUM(N4:N24)</f>
        <v>91231.13</v>
      </c>
      <c r="O27" s="7">
        <f>(M16/N27) -1</f>
        <v>-0.55541743262414922</v>
      </c>
      <c r="P27" s="7"/>
      <c r="Q27" s="1">
        <f>(Q16- Q3)</f>
        <v>718804.11</v>
      </c>
      <c r="R27" s="7">
        <f>Q16/Q3 -1</f>
        <v>5.7714543636578375</v>
      </c>
      <c r="T27" s="1">
        <f>(T16 - T3 - N27)</f>
        <v>1444655.0899999999</v>
      </c>
      <c r="U27" s="7">
        <f>(T16-N27-J27)/T3 -1</f>
        <v>7.6101950284070483</v>
      </c>
    </row>
    <row r="28" spans="1:22">
      <c r="E28" s="7">
        <f>(C16/C3 -1)</f>
        <v>25.355495654087356</v>
      </c>
      <c r="I28" s="1"/>
      <c r="J28" s="1"/>
      <c r="K28" s="7"/>
      <c r="L28" s="7"/>
      <c r="M28" s="1"/>
      <c r="N28" s="1"/>
      <c r="O28" s="7"/>
      <c r="P28" s="7"/>
    </row>
    <row r="29" spans="1:22">
      <c r="E29" s="7"/>
      <c r="I29" s="1"/>
      <c r="J29" s="1"/>
      <c r="K29" s="7"/>
      <c r="L29" s="7"/>
      <c r="M29" s="1"/>
      <c r="N29" s="1"/>
      <c r="O29" s="7"/>
      <c r="P29" s="7"/>
    </row>
    <row r="30" spans="1:22">
      <c r="E30" s="7">
        <f>AVERAGE(E11:E22)</f>
        <v>5.8990086018402908E-2</v>
      </c>
      <c r="G30" s="7">
        <f>AVERAGE(G11:G22)</f>
        <v>5.9923600661434394E-2</v>
      </c>
      <c r="I30" s="1"/>
      <c r="J30" s="1"/>
      <c r="K30" s="7">
        <f>AVERAGE(K11:K22)</f>
        <v>0.27965655107603965</v>
      </c>
      <c r="L30" s="7"/>
      <c r="M30" s="1"/>
      <c r="N30" s="1"/>
      <c r="O30" s="7">
        <f>AVERAGE(O11:O22)</f>
        <v>6.5753871093669522E-2</v>
      </c>
      <c r="P30" s="7"/>
      <c r="R30" s="7">
        <f>AVERAGE(R11:R22)</f>
        <v>4.928142219025191E-2</v>
      </c>
      <c r="U30" s="7">
        <f>AVERAGE(U11:U22)</f>
        <v>0.12190710665441978</v>
      </c>
    </row>
    <row r="31" spans="1:22">
      <c r="E31" s="7"/>
      <c r="I31" s="1"/>
      <c r="J31" s="1"/>
      <c r="K31" s="7"/>
      <c r="L31" s="7"/>
      <c r="M31" s="7"/>
      <c r="N31" s="7"/>
    </row>
    <row r="32" spans="1:22">
      <c r="E32" s="7"/>
      <c r="I32" s="1"/>
      <c r="J32" s="1"/>
      <c r="K32" s="7"/>
      <c r="L32" s="7"/>
      <c r="M32" s="7"/>
      <c r="N32" s="1">
        <v>5000</v>
      </c>
    </row>
    <row r="33" spans="3:20">
      <c r="E33" s="7"/>
      <c r="I33" s="1"/>
      <c r="J33" s="1"/>
      <c r="K33" s="7"/>
      <c r="L33" s="7"/>
      <c r="M33" s="7"/>
      <c r="N33" s="1"/>
    </row>
    <row r="34" spans="3:20">
      <c r="E34" s="7"/>
      <c r="I34" s="1"/>
      <c r="J34" s="1"/>
      <c r="K34" s="7"/>
      <c r="L34" s="7"/>
      <c r="M34" s="7"/>
      <c r="N34" s="7"/>
    </row>
    <row r="35" spans="3:20">
      <c r="C35" s="1"/>
      <c r="D35"/>
      <c r="E35" s="1"/>
      <c r="F35"/>
      <c r="N35" s="2"/>
      <c r="O35" s="1"/>
      <c r="Q35"/>
      <c r="R35"/>
    </row>
    <row r="36" spans="3:20">
      <c r="P36" s="1"/>
      <c r="Q36"/>
      <c r="R36"/>
    </row>
    <row r="37" spans="3:20">
      <c r="P37" s="1"/>
      <c r="Q37"/>
      <c r="R37"/>
    </row>
    <row r="38" spans="3:20">
      <c r="Q38"/>
      <c r="R38"/>
      <c r="S38" s="1"/>
      <c r="T38" s="1"/>
    </row>
    <row r="39" spans="3:20">
      <c r="P39" s="1"/>
      <c r="Q39"/>
      <c r="R39"/>
    </row>
    <row r="40" spans="3:20">
      <c r="P40" s="1"/>
      <c r="Q40"/>
      <c r="R40"/>
    </row>
    <row r="41" spans="3:20">
      <c r="P41" s="1"/>
      <c r="Q41"/>
      <c r="R41"/>
    </row>
    <row r="42" spans="3:20">
      <c r="P42" s="1"/>
      <c r="Q42"/>
      <c r="R42"/>
    </row>
    <row r="43" spans="3:20">
      <c r="P43" s="1"/>
      <c r="Q43"/>
      <c r="R43"/>
    </row>
    <row r="44" spans="3:20">
      <c r="P44" s="1"/>
      <c r="Q44"/>
      <c r="R44"/>
    </row>
    <row r="45" spans="3:20">
      <c r="P45" s="1"/>
      <c r="Q45"/>
      <c r="R45"/>
    </row>
    <row r="46" spans="3:20">
      <c r="P46" s="1"/>
      <c r="Q46"/>
      <c r="R46"/>
    </row>
    <row r="47" spans="3:20">
      <c r="P47" s="1"/>
      <c r="Q47"/>
      <c r="R47"/>
    </row>
    <row r="48" spans="3:20">
      <c r="P48" s="1"/>
      <c r="Q48"/>
      <c r="R48"/>
    </row>
    <row r="49" spans="15:18">
      <c r="P49" s="1"/>
      <c r="Q49"/>
      <c r="R49"/>
    </row>
    <row r="50" spans="15:18">
      <c r="P50" s="1"/>
      <c r="Q50"/>
      <c r="R50"/>
    </row>
    <row r="51" spans="15:18">
      <c r="P51" s="1"/>
      <c r="Q51"/>
      <c r="R51"/>
    </row>
    <row r="52" spans="15:18">
      <c r="P52" s="1"/>
      <c r="Q52"/>
      <c r="R52"/>
    </row>
    <row r="53" spans="15:18">
      <c r="P53" s="1"/>
      <c r="Q53"/>
      <c r="R53"/>
    </row>
    <row r="54" spans="15:18">
      <c r="P54" s="1"/>
      <c r="Q54"/>
      <c r="R54"/>
    </row>
    <row r="55" spans="15:18">
      <c r="P55" s="1"/>
      <c r="Q55"/>
      <c r="R55"/>
    </row>
    <row r="56" spans="15:18">
      <c r="P56" s="1"/>
      <c r="Q56"/>
      <c r="R56"/>
    </row>
    <row r="57" spans="15:18">
      <c r="P57" s="1"/>
      <c r="Q57"/>
      <c r="R57"/>
    </row>
    <row r="58" spans="15:18">
      <c r="P58" s="1"/>
      <c r="Q58"/>
      <c r="R58"/>
    </row>
    <row r="59" spans="15:18">
      <c r="P59" s="1"/>
      <c r="Q59"/>
      <c r="R59"/>
    </row>
    <row r="60" spans="15:18">
      <c r="P60" s="1"/>
      <c r="Q60"/>
      <c r="R60"/>
    </row>
    <row r="61" spans="15:18">
      <c r="P61" s="1"/>
      <c r="Q61"/>
      <c r="R61"/>
    </row>
    <row r="62" spans="15:18">
      <c r="O62" s="1"/>
      <c r="P62" s="1"/>
      <c r="Q62"/>
      <c r="R62"/>
    </row>
    <row r="63" spans="15:18">
      <c r="O63" s="1"/>
      <c r="P63" s="1"/>
      <c r="Q63"/>
      <c r="R63"/>
    </row>
    <row r="64" spans="15:18">
      <c r="O64" s="1"/>
      <c r="P64" s="1"/>
      <c r="Q64"/>
      <c r="R64"/>
    </row>
    <row r="65" spans="15:18">
      <c r="O65" s="1"/>
      <c r="P65" s="1"/>
      <c r="Q65"/>
      <c r="R65"/>
    </row>
    <row r="66" spans="15:18">
      <c r="O66" s="1"/>
      <c r="P66" s="1"/>
      <c r="Q66"/>
      <c r="R66"/>
    </row>
    <row r="67" spans="15:18">
      <c r="O67" s="1"/>
      <c r="P67" s="1"/>
      <c r="Q67"/>
      <c r="R67"/>
    </row>
    <row r="68" spans="15:18">
      <c r="O68" s="1"/>
      <c r="P68" s="1"/>
      <c r="Q68"/>
      <c r="R68"/>
    </row>
    <row r="69" spans="15:18">
      <c r="O69" s="1"/>
      <c r="P69" s="1"/>
      <c r="Q69"/>
      <c r="R69"/>
    </row>
    <row r="70" spans="15:18">
      <c r="O70" s="1"/>
      <c r="P70" s="1"/>
      <c r="Q70"/>
      <c r="R70"/>
    </row>
    <row r="71" spans="15:18">
      <c r="O71" s="1"/>
      <c r="P71" s="1"/>
      <c r="Q71"/>
      <c r="R71"/>
    </row>
    <row r="72" spans="15:18">
      <c r="O72" s="1"/>
      <c r="P72" s="1"/>
      <c r="Q72"/>
      <c r="R72"/>
    </row>
    <row r="73" spans="15:18">
      <c r="O73" s="1"/>
      <c r="P73" s="1"/>
      <c r="Q73"/>
      <c r="R73"/>
    </row>
    <row r="74" spans="15:18">
      <c r="O74" s="1"/>
      <c r="P74" s="1"/>
      <c r="Q74"/>
      <c r="R74"/>
    </row>
    <row r="75" spans="15:18">
      <c r="O75" s="1"/>
      <c r="P75" s="1"/>
      <c r="Q75"/>
      <c r="R75"/>
    </row>
    <row r="76" spans="15:18">
      <c r="O76" s="1"/>
      <c r="P76" s="1"/>
      <c r="Q76"/>
      <c r="R76"/>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A1B56-D9F8-4D8C-B49C-02C8513255BB}">
  <dimension ref="A2:AB116"/>
  <sheetViews>
    <sheetView zoomScale="85" zoomScaleNormal="85" workbookViewId="0">
      <selection activeCell="Q33" sqref="Q33"/>
    </sheetView>
  </sheetViews>
  <sheetFormatPr defaultRowHeight="15"/>
  <cols>
    <col min="1" max="1" width="4.28515625" customWidth="1"/>
    <col min="3" max="3" width="5" style="9" bestFit="1" customWidth="1"/>
    <col min="6" max="6" width="9.140625" style="29"/>
    <col min="7" max="7" width="9.140625" style="50"/>
    <col min="8" max="8" width="10.140625" bestFit="1" customWidth="1"/>
    <col min="9" max="9" width="8.85546875" bestFit="1" customWidth="1"/>
    <col min="10" max="10" width="9.140625" style="50" bestFit="1" customWidth="1"/>
    <col min="11" max="11" width="7.28515625" style="40" bestFit="1" customWidth="1"/>
    <col min="12" max="12" width="26" customWidth="1"/>
    <col min="13" max="13" width="6.42578125" customWidth="1"/>
    <col min="14" max="14" width="4.42578125" style="17" customWidth="1"/>
    <col min="15" max="16" width="4.5703125" customWidth="1"/>
    <col min="17" max="17" width="9.140625" bestFit="1" customWidth="1"/>
    <col min="18" max="18" width="6.7109375" customWidth="1"/>
    <col min="19" max="20" width="7.85546875" customWidth="1"/>
    <col min="21" max="21" width="5.5703125" style="21" bestFit="1" customWidth="1"/>
    <col min="22" max="22" width="43.7109375" bestFit="1" customWidth="1"/>
    <col min="23" max="24" width="6.5703125" style="21" bestFit="1" customWidth="1"/>
    <col min="25" max="25" width="7.85546875" style="21" customWidth="1"/>
    <col min="26" max="27" width="9.140625" style="21"/>
  </cols>
  <sheetData>
    <row r="2" spans="1:18">
      <c r="B2" s="3" t="s">
        <v>6</v>
      </c>
      <c r="C2" s="48" t="s">
        <v>340</v>
      </c>
      <c r="D2" s="2" t="s">
        <v>7</v>
      </c>
      <c r="E2" s="2" t="s">
        <v>8</v>
      </c>
      <c r="F2" s="46" t="s">
        <v>78</v>
      </c>
      <c r="G2" s="49" t="s">
        <v>77</v>
      </c>
      <c r="H2" s="3" t="s">
        <v>446</v>
      </c>
      <c r="I2" s="3" t="s">
        <v>223</v>
      </c>
      <c r="J2" s="49"/>
      <c r="K2" s="39"/>
      <c r="L2" s="7"/>
      <c r="M2" s="1"/>
      <c r="N2" s="54" t="s">
        <v>34</v>
      </c>
      <c r="O2" s="13" t="s">
        <v>35</v>
      </c>
      <c r="P2" s="13"/>
      <c r="Q2" s="13"/>
      <c r="R2" s="13"/>
    </row>
    <row r="3" spans="1:18">
      <c r="A3">
        <v>1</v>
      </c>
      <c r="B3" s="13" t="s">
        <v>745</v>
      </c>
      <c r="C3" s="9">
        <v>56</v>
      </c>
      <c r="D3">
        <v>18.7</v>
      </c>
      <c r="E3">
        <v>25.67</v>
      </c>
      <c r="F3" s="29">
        <v>30</v>
      </c>
      <c r="G3" s="56">
        <v>25</v>
      </c>
      <c r="H3" s="45">
        <f t="shared" ref="H3:H5" si="0">E3*0.92</f>
        <v>23.616400000000002</v>
      </c>
      <c r="I3" s="18">
        <f t="shared" ref="I3:I5" si="1">F3/E3 -1</f>
        <v>0.16867939228671602</v>
      </c>
      <c r="J3" s="50">
        <f t="shared" ref="J3:J5" si="2">C3*D3</f>
        <v>1047.2</v>
      </c>
      <c r="K3" s="40">
        <v>45337</v>
      </c>
      <c r="L3" t="s">
        <v>230</v>
      </c>
      <c r="M3" s="120" t="s">
        <v>846</v>
      </c>
      <c r="N3">
        <v>1</v>
      </c>
      <c r="P3">
        <v>0</v>
      </c>
    </row>
    <row r="4" spans="1:18">
      <c r="A4">
        <v>2</v>
      </c>
      <c r="B4" s="13" t="s">
        <v>132</v>
      </c>
      <c r="C4" s="9">
        <v>170</v>
      </c>
      <c r="D4">
        <v>5.88</v>
      </c>
      <c r="E4">
        <v>8.8000000000000007</v>
      </c>
      <c r="F4" s="29">
        <v>15</v>
      </c>
      <c r="G4" s="56">
        <v>8</v>
      </c>
      <c r="H4" s="45">
        <f t="shared" si="0"/>
        <v>8.0960000000000019</v>
      </c>
      <c r="I4" s="18">
        <f t="shared" si="1"/>
        <v>0.70454545454545436</v>
      </c>
      <c r="J4" s="50">
        <f t="shared" si="2"/>
        <v>999.6</v>
      </c>
      <c r="K4" s="40">
        <v>45679</v>
      </c>
      <c r="L4" t="s">
        <v>397</v>
      </c>
      <c r="M4" t="s">
        <v>786</v>
      </c>
      <c r="N4"/>
      <c r="O4">
        <v>1</v>
      </c>
      <c r="P4">
        <v>0</v>
      </c>
    </row>
    <row r="5" spans="1:18">
      <c r="A5">
        <v>3</v>
      </c>
      <c r="B5" s="13" t="s">
        <v>886</v>
      </c>
      <c r="C5" s="9">
        <v>39</v>
      </c>
      <c r="D5">
        <v>28.78</v>
      </c>
      <c r="E5">
        <v>29.72</v>
      </c>
      <c r="F5" s="29">
        <v>40</v>
      </c>
      <c r="G5" s="50">
        <v>25</v>
      </c>
      <c r="H5" s="45">
        <f t="shared" si="0"/>
        <v>27.342400000000001</v>
      </c>
      <c r="I5" s="18">
        <f t="shared" si="1"/>
        <v>0.34589502018842544</v>
      </c>
      <c r="J5" s="50">
        <f t="shared" si="2"/>
        <v>1122.42</v>
      </c>
      <c r="K5" s="40">
        <v>45975</v>
      </c>
      <c r="L5" t="s">
        <v>638</v>
      </c>
      <c r="M5" t="s">
        <v>846</v>
      </c>
      <c r="N5">
        <v>1</v>
      </c>
      <c r="P5">
        <v>0</v>
      </c>
    </row>
    <row r="6" spans="1:18">
      <c r="A6">
        <v>4</v>
      </c>
      <c r="B6" s="13" t="s">
        <v>24</v>
      </c>
      <c r="C6" s="9">
        <v>3</v>
      </c>
      <c r="D6">
        <v>359.7</v>
      </c>
      <c r="E6">
        <v>366.25</v>
      </c>
      <c r="F6" s="29">
        <v>400</v>
      </c>
      <c r="G6" s="50">
        <v>330</v>
      </c>
      <c r="H6" s="45">
        <f>E6*0.92</f>
        <v>336.95</v>
      </c>
      <c r="I6" s="18">
        <f>F6/E6 -1</f>
        <v>9.2150170648464202E-2</v>
      </c>
      <c r="J6" s="50">
        <f>C6*D6</f>
        <v>1079.0999999999999</v>
      </c>
      <c r="K6" s="40">
        <v>46000</v>
      </c>
      <c r="L6" t="s">
        <v>379</v>
      </c>
      <c r="M6" s="16" t="s">
        <v>918</v>
      </c>
      <c r="N6"/>
      <c r="O6">
        <v>1</v>
      </c>
      <c r="P6">
        <v>0</v>
      </c>
    </row>
    <row r="7" spans="1:18">
      <c r="A7">
        <v>5</v>
      </c>
      <c r="B7" t="s">
        <v>75</v>
      </c>
      <c r="C7" s="9">
        <v>52</v>
      </c>
      <c r="D7">
        <v>18.899999999999999</v>
      </c>
      <c r="E7">
        <v>20.86</v>
      </c>
      <c r="F7" s="29">
        <v>25</v>
      </c>
      <c r="G7" s="50">
        <v>17</v>
      </c>
      <c r="H7" s="45">
        <f>E7*0.92</f>
        <v>19.191200000000002</v>
      </c>
      <c r="I7" s="18">
        <f>F7/E7 -1</f>
        <v>0.19846596356663482</v>
      </c>
      <c r="J7" s="50">
        <f>C7*D7</f>
        <v>982.8</v>
      </c>
      <c r="K7" s="40">
        <v>46008</v>
      </c>
      <c r="L7" t="s">
        <v>388</v>
      </c>
      <c r="M7" t="s">
        <v>526</v>
      </c>
      <c r="N7" s="66">
        <v>4</v>
      </c>
      <c r="P7">
        <v>0</v>
      </c>
    </row>
    <row r="8" spans="1:18">
      <c r="A8">
        <v>6</v>
      </c>
      <c r="B8" t="s">
        <v>921</v>
      </c>
      <c r="C8" s="9">
        <v>21</v>
      </c>
      <c r="D8">
        <v>57.33</v>
      </c>
      <c r="E8">
        <v>58.01</v>
      </c>
      <c r="F8" s="29">
        <v>70</v>
      </c>
      <c r="G8" s="50">
        <v>53</v>
      </c>
      <c r="H8" s="45">
        <f t="shared" ref="H8:H9" si="3">E8*0.92</f>
        <v>53.369199999999999</v>
      </c>
      <c r="I8" s="18">
        <f t="shared" ref="I8:I9" si="4">F8/E8 -1</f>
        <v>0.20668850198241695</v>
      </c>
      <c r="J8" s="50">
        <f t="shared" ref="J8:J9" si="5">C8*D8</f>
        <v>1203.93</v>
      </c>
      <c r="K8" s="40">
        <v>46073</v>
      </c>
      <c r="L8" t="s">
        <v>378</v>
      </c>
      <c r="M8" s="16" t="s">
        <v>743</v>
      </c>
      <c r="N8">
        <v>2</v>
      </c>
      <c r="P8">
        <v>0</v>
      </c>
    </row>
    <row r="9" spans="1:18">
      <c r="A9">
        <v>7</v>
      </c>
      <c r="B9" s="136" t="s">
        <v>697</v>
      </c>
      <c r="C9" s="9">
        <v>51</v>
      </c>
      <c r="D9">
        <v>26.5</v>
      </c>
      <c r="E9">
        <v>28.79</v>
      </c>
      <c r="F9" s="29">
        <v>35</v>
      </c>
      <c r="G9" s="50">
        <v>20</v>
      </c>
      <c r="H9" s="45">
        <f t="shared" si="3"/>
        <v>26.486799999999999</v>
      </c>
      <c r="I9" s="18">
        <f t="shared" si="4"/>
        <v>0.21569989579715187</v>
      </c>
      <c r="J9" s="50">
        <f t="shared" si="5"/>
        <v>1351.5</v>
      </c>
      <c r="K9" s="40">
        <v>46085</v>
      </c>
      <c r="L9" t="s">
        <v>230</v>
      </c>
      <c r="M9" s="16" t="s">
        <v>793</v>
      </c>
      <c r="N9">
        <v>2</v>
      </c>
      <c r="P9">
        <v>1</v>
      </c>
    </row>
    <row r="10" spans="1:18">
      <c r="A10">
        <v>8</v>
      </c>
      <c r="B10" t="s">
        <v>562</v>
      </c>
      <c r="C10" s="9">
        <v>7</v>
      </c>
      <c r="D10">
        <v>180.25</v>
      </c>
      <c r="E10">
        <v>182.41</v>
      </c>
      <c r="F10" s="29">
        <v>250</v>
      </c>
      <c r="G10" s="50">
        <v>170</v>
      </c>
      <c r="H10" s="45">
        <f>E10*0.92</f>
        <v>167.81720000000001</v>
      </c>
      <c r="I10" s="18">
        <f>F10/E10 -1</f>
        <v>0.37053889589386557</v>
      </c>
      <c r="J10" s="50">
        <f>C10*D10</f>
        <v>1261.75</v>
      </c>
      <c r="K10" s="40">
        <v>46127</v>
      </c>
      <c r="L10" t="s">
        <v>394</v>
      </c>
      <c r="M10" t="s">
        <v>846</v>
      </c>
      <c r="N10"/>
      <c r="O10">
        <v>1</v>
      </c>
      <c r="P10">
        <v>0</v>
      </c>
    </row>
    <row r="11" spans="1:18">
      <c r="A11">
        <v>9</v>
      </c>
      <c r="B11" t="s">
        <v>948</v>
      </c>
      <c r="C11" s="9">
        <v>17</v>
      </c>
      <c r="D11">
        <v>62.1</v>
      </c>
      <c r="E11">
        <v>65.19</v>
      </c>
      <c r="F11" s="29">
        <v>125</v>
      </c>
      <c r="G11" s="50">
        <v>59</v>
      </c>
      <c r="H11" s="45">
        <f t="shared" ref="H11:H12" si="6">E11*0.92</f>
        <v>59.974800000000002</v>
      </c>
      <c r="I11" s="18">
        <f t="shared" ref="I11:I12" si="7">F11/E11 -1</f>
        <v>0.91747200490872838</v>
      </c>
      <c r="J11" s="50">
        <f t="shared" ref="J11:J12" si="8">C11*D11</f>
        <v>1055.7</v>
      </c>
      <c r="K11" s="40">
        <v>46143</v>
      </c>
      <c r="L11" t="s">
        <v>949</v>
      </c>
      <c r="N11" s="66">
        <v>4</v>
      </c>
      <c r="P11">
        <v>0</v>
      </c>
    </row>
    <row r="12" spans="1:18">
      <c r="A12">
        <v>10</v>
      </c>
      <c r="B12" t="s">
        <v>605</v>
      </c>
      <c r="C12" s="9">
        <v>49</v>
      </c>
      <c r="D12">
        <v>44.8</v>
      </c>
      <c r="E12">
        <v>46.46</v>
      </c>
      <c r="F12" s="29">
        <v>50</v>
      </c>
      <c r="G12" s="50">
        <v>43</v>
      </c>
      <c r="H12" s="45">
        <f t="shared" si="6"/>
        <v>42.743200000000002</v>
      </c>
      <c r="I12" s="18">
        <f t="shared" si="7"/>
        <v>7.6194575979336987E-2</v>
      </c>
      <c r="J12" s="50">
        <f t="shared" si="8"/>
        <v>2195.1999999999998</v>
      </c>
      <c r="K12" s="40">
        <v>46143</v>
      </c>
      <c r="L12" t="s">
        <v>415</v>
      </c>
      <c r="M12" s="16" t="s">
        <v>838</v>
      </c>
      <c r="N12"/>
      <c r="O12">
        <v>2</v>
      </c>
      <c r="P12">
        <v>1</v>
      </c>
    </row>
    <row r="13" spans="1:18">
      <c r="A13">
        <v>11</v>
      </c>
      <c r="B13" t="s">
        <v>953</v>
      </c>
      <c r="C13" s="9">
        <v>88</v>
      </c>
      <c r="D13">
        <v>20</v>
      </c>
      <c r="E13">
        <v>21.11</v>
      </c>
      <c r="F13" s="29">
        <v>25</v>
      </c>
      <c r="G13" s="50">
        <v>19</v>
      </c>
      <c r="H13" s="45">
        <f>E13*0.92</f>
        <v>19.421199999999999</v>
      </c>
      <c r="I13" s="18">
        <f>F13/E13 -1</f>
        <v>0.18427285646612979</v>
      </c>
      <c r="J13" s="50">
        <f>C13*D13</f>
        <v>1760</v>
      </c>
      <c r="K13" s="40">
        <v>46155</v>
      </c>
      <c r="N13"/>
      <c r="O13">
        <v>2</v>
      </c>
      <c r="P13">
        <v>1</v>
      </c>
    </row>
    <row r="14" spans="1:18">
      <c r="A14">
        <v>12</v>
      </c>
      <c r="B14" t="s">
        <v>926</v>
      </c>
      <c r="C14" s="9">
        <v>186</v>
      </c>
      <c r="D14">
        <v>8.35</v>
      </c>
      <c r="E14">
        <v>8.35</v>
      </c>
      <c r="F14" s="29">
        <v>11</v>
      </c>
      <c r="G14" s="50">
        <v>7</v>
      </c>
      <c r="H14" s="45">
        <f t="shared" ref="H14:H16" si="9">E14*0.92</f>
        <v>7.6820000000000004</v>
      </c>
      <c r="I14" s="18">
        <f t="shared" ref="I14:I16" si="10">F14/E14 -1</f>
        <v>0.31736526946107779</v>
      </c>
      <c r="J14" s="50">
        <f t="shared" ref="J14:J16" si="11">C14*D14</f>
        <v>1553.1</v>
      </c>
      <c r="K14" s="40">
        <v>46156</v>
      </c>
      <c r="L14" t="s">
        <v>390</v>
      </c>
      <c r="M14" t="s">
        <v>526</v>
      </c>
      <c r="N14">
        <v>1</v>
      </c>
      <c r="P14">
        <v>0</v>
      </c>
    </row>
    <row r="15" spans="1:18">
      <c r="A15">
        <v>13</v>
      </c>
      <c r="B15" t="s">
        <v>585</v>
      </c>
      <c r="C15" s="9">
        <v>10</v>
      </c>
      <c r="D15">
        <v>134.5</v>
      </c>
      <c r="E15">
        <v>148.58000000000001</v>
      </c>
      <c r="F15" s="29">
        <v>200</v>
      </c>
      <c r="G15" s="50">
        <v>110</v>
      </c>
      <c r="H15" s="45">
        <f t="shared" si="9"/>
        <v>136.6936</v>
      </c>
      <c r="I15" s="18">
        <f t="shared" si="10"/>
        <v>0.34607618791223582</v>
      </c>
      <c r="J15" s="50">
        <f t="shared" si="11"/>
        <v>1345</v>
      </c>
      <c r="K15" s="40">
        <v>46156</v>
      </c>
      <c r="L15" t="s">
        <v>403</v>
      </c>
      <c r="M15" s="16" t="s">
        <v>954</v>
      </c>
      <c r="N15" s="17">
        <v>2</v>
      </c>
      <c r="P15">
        <v>1</v>
      </c>
    </row>
    <row r="16" spans="1:18">
      <c r="A16">
        <v>14</v>
      </c>
      <c r="B16" t="s">
        <v>876</v>
      </c>
      <c r="C16" s="9">
        <v>270</v>
      </c>
      <c r="D16">
        <v>7.05</v>
      </c>
      <c r="E16">
        <v>8.74</v>
      </c>
      <c r="F16" s="29">
        <v>8</v>
      </c>
      <c r="G16" s="50">
        <v>7</v>
      </c>
      <c r="H16" s="45">
        <f t="shared" si="9"/>
        <v>8.0408000000000008</v>
      </c>
      <c r="I16" s="79">
        <f t="shared" si="10"/>
        <v>-8.4668192219679694E-2</v>
      </c>
      <c r="J16" s="50">
        <f t="shared" si="11"/>
        <v>1903.5</v>
      </c>
      <c r="K16" s="40">
        <v>46169</v>
      </c>
      <c r="L16" t="s">
        <v>230</v>
      </c>
      <c r="M16" s="16" t="s">
        <v>743</v>
      </c>
      <c r="N16" s="17">
        <v>2</v>
      </c>
      <c r="P16">
        <v>1</v>
      </c>
    </row>
    <row r="17" spans="1:20">
      <c r="A17">
        <v>15</v>
      </c>
      <c r="B17" t="s">
        <v>472</v>
      </c>
      <c r="C17" s="9">
        <v>9</v>
      </c>
      <c r="D17">
        <v>112</v>
      </c>
      <c r="E17">
        <v>115.06</v>
      </c>
      <c r="F17" s="29">
        <v>120</v>
      </c>
      <c r="G17" s="50">
        <v>88</v>
      </c>
      <c r="H17" s="45">
        <f>E17*0.92</f>
        <v>105.85520000000001</v>
      </c>
      <c r="I17" s="79">
        <f>F17/E17 -1</f>
        <v>4.2934121328002783E-2</v>
      </c>
      <c r="J17" s="50">
        <f>C17*D17</f>
        <v>1008</v>
      </c>
      <c r="K17" s="40">
        <v>46169</v>
      </c>
      <c r="L17" t="s">
        <v>583</v>
      </c>
      <c r="M17" t="s">
        <v>786</v>
      </c>
      <c r="N17" s="66">
        <v>4</v>
      </c>
      <c r="P17">
        <v>0</v>
      </c>
    </row>
    <row r="18" spans="1:20">
      <c r="A18">
        <v>16</v>
      </c>
      <c r="B18" t="s">
        <v>324</v>
      </c>
      <c r="C18" s="9">
        <v>11</v>
      </c>
      <c r="D18">
        <v>171.27</v>
      </c>
      <c r="E18">
        <v>175.33</v>
      </c>
      <c r="F18" s="29">
        <v>180</v>
      </c>
      <c r="G18" s="50">
        <v>130</v>
      </c>
      <c r="H18" s="45">
        <f>E18*0.92</f>
        <v>161.30360000000002</v>
      </c>
      <c r="I18" s="79">
        <f>F18/E18 -1</f>
        <v>2.6635487366679866E-2</v>
      </c>
      <c r="J18" s="50">
        <f>C18*D18</f>
        <v>1883.97</v>
      </c>
      <c r="K18" s="40">
        <v>46174</v>
      </c>
      <c r="L18" t="s">
        <v>406</v>
      </c>
      <c r="M18" t="s">
        <v>846</v>
      </c>
      <c r="N18" s="17">
        <v>1</v>
      </c>
      <c r="P18">
        <v>1</v>
      </c>
    </row>
    <row r="19" spans="1:20">
      <c r="A19">
        <v>17</v>
      </c>
      <c r="B19" t="s">
        <v>639</v>
      </c>
      <c r="C19" s="9">
        <v>63</v>
      </c>
      <c r="D19">
        <v>47.84</v>
      </c>
      <c r="E19">
        <v>50.17</v>
      </c>
      <c r="F19" s="29">
        <v>50</v>
      </c>
      <c r="G19" s="50">
        <v>19</v>
      </c>
      <c r="H19" s="45">
        <f>E19*0.92</f>
        <v>46.156400000000005</v>
      </c>
      <c r="I19" s="79">
        <f>F19/E19 -1</f>
        <v>-3.3884791708193029E-3</v>
      </c>
      <c r="J19" s="50">
        <f>C19*D19</f>
        <v>3013.92</v>
      </c>
      <c r="K19" s="40">
        <v>46174</v>
      </c>
      <c r="L19" t="s">
        <v>409</v>
      </c>
      <c r="M19" t="s">
        <v>786</v>
      </c>
      <c r="N19" s="17">
        <v>1</v>
      </c>
      <c r="P19">
        <v>0</v>
      </c>
    </row>
    <row r="20" spans="1:20">
      <c r="A20">
        <v>18</v>
      </c>
      <c r="B20" t="s">
        <v>48</v>
      </c>
      <c r="C20" s="9">
        <v>11</v>
      </c>
      <c r="D20">
        <v>114</v>
      </c>
      <c r="E20">
        <v>116.6</v>
      </c>
      <c r="F20" s="29">
        <v>140</v>
      </c>
      <c r="G20" s="50">
        <v>110</v>
      </c>
      <c r="H20" s="45">
        <f>E20*0.92</f>
        <v>107.27200000000001</v>
      </c>
      <c r="I20" s="18">
        <f>F20/E20 -1</f>
        <v>0.20068610634648376</v>
      </c>
      <c r="J20" s="50">
        <f>C20*D20</f>
        <v>1254</v>
      </c>
      <c r="K20" s="40">
        <v>46174</v>
      </c>
      <c r="L20" t="s">
        <v>220</v>
      </c>
      <c r="M20" t="s">
        <v>526</v>
      </c>
      <c r="O20">
        <v>3</v>
      </c>
      <c r="P20">
        <v>1</v>
      </c>
    </row>
    <row r="24" spans="1:20">
      <c r="T24" s="16"/>
    </row>
    <row r="25" spans="1:20">
      <c r="R25" s="66">
        <v>3</v>
      </c>
      <c r="T25" s="16"/>
    </row>
    <row r="27" spans="1:20">
      <c r="A27">
        <v>1</v>
      </c>
      <c r="B27" s="113" t="s">
        <v>447</v>
      </c>
      <c r="C27" s="9">
        <v>123</v>
      </c>
      <c r="D27">
        <v>228.51</v>
      </c>
      <c r="E27" s="16">
        <v>135.44999999999999</v>
      </c>
      <c r="F27" s="29">
        <v>250</v>
      </c>
      <c r="G27" s="56">
        <v>200</v>
      </c>
      <c r="H27" s="45">
        <f t="shared" ref="H27:H29" si="12">E27*0.92</f>
        <v>124.61399999999999</v>
      </c>
      <c r="I27" s="18">
        <f t="shared" ref="I27:I29" si="13">F27/E27 -1</f>
        <v>0.84569952011812499</v>
      </c>
      <c r="J27" s="50">
        <f t="shared" ref="J27:J29" si="14">C27*D27</f>
        <v>28106.73</v>
      </c>
      <c r="K27" s="40">
        <v>44965</v>
      </c>
      <c r="L27" t="s">
        <v>135</v>
      </c>
      <c r="M27" s="16" t="s">
        <v>838</v>
      </c>
      <c r="N27">
        <v>1</v>
      </c>
      <c r="P27">
        <v>0</v>
      </c>
    </row>
    <row r="28" spans="1:20">
      <c r="A28">
        <v>2</v>
      </c>
      <c r="B28" s="136" t="s">
        <v>533</v>
      </c>
      <c r="C28" s="9">
        <v>79</v>
      </c>
      <c r="D28">
        <v>93.57</v>
      </c>
      <c r="E28">
        <v>85.06</v>
      </c>
      <c r="F28" s="29">
        <v>100</v>
      </c>
      <c r="G28" s="56">
        <v>85</v>
      </c>
      <c r="H28" s="45">
        <f t="shared" si="12"/>
        <v>78.255200000000002</v>
      </c>
      <c r="I28" s="18">
        <f t="shared" si="13"/>
        <v>0.17564072419468602</v>
      </c>
      <c r="J28" s="50">
        <f t="shared" si="14"/>
        <v>7392.03</v>
      </c>
      <c r="K28" s="40">
        <v>45162</v>
      </c>
      <c r="L28" t="s">
        <v>135</v>
      </c>
      <c r="M28" s="16" t="s">
        <v>838</v>
      </c>
      <c r="N28">
        <v>1</v>
      </c>
      <c r="P28">
        <v>0</v>
      </c>
      <c r="Q28">
        <v>78</v>
      </c>
      <c r="R28" t="s">
        <v>738</v>
      </c>
    </row>
    <row r="29" spans="1:20">
      <c r="A29">
        <v>3</v>
      </c>
      <c r="B29" s="136" t="s">
        <v>364</v>
      </c>
      <c r="C29" s="9">
        <v>1370</v>
      </c>
      <c r="D29">
        <v>3.79</v>
      </c>
      <c r="E29">
        <v>3.93</v>
      </c>
      <c r="F29" s="29">
        <v>5</v>
      </c>
      <c r="G29" s="56">
        <v>3.8</v>
      </c>
      <c r="H29" s="45">
        <f t="shared" si="12"/>
        <v>3.6156000000000001</v>
      </c>
      <c r="I29" s="18">
        <f t="shared" si="13"/>
        <v>0.27226463104325704</v>
      </c>
      <c r="J29" s="50">
        <f t="shared" si="14"/>
        <v>5192.3</v>
      </c>
      <c r="K29" s="40">
        <v>45216</v>
      </c>
      <c r="L29" t="s">
        <v>407</v>
      </c>
      <c r="M29" s="120" t="s">
        <v>854</v>
      </c>
      <c r="N29">
        <v>1</v>
      </c>
      <c r="P29">
        <v>0</v>
      </c>
    </row>
    <row r="30" spans="1:20">
      <c r="A30">
        <v>4</v>
      </c>
      <c r="B30" s="136" t="s">
        <v>719</v>
      </c>
      <c r="C30" s="9">
        <v>184</v>
      </c>
      <c r="D30">
        <v>22.56</v>
      </c>
      <c r="E30">
        <v>32.479999999999997</v>
      </c>
      <c r="F30" s="29">
        <v>35</v>
      </c>
      <c r="G30" s="56">
        <v>19</v>
      </c>
      <c r="H30" s="45">
        <f t="shared" ref="H30" si="15">E30*0.92</f>
        <v>29.881599999999999</v>
      </c>
      <c r="I30" s="18">
        <f t="shared" ref="I30" si="16">F30/E30 -1</f>
        <v>7.7586206896551824E-2</v>
      </c>
      <c r="J30" s="50">
        <f t="shared" ref="J30" si="17">C30*D30</f>
        <v>4151.04</v>
      </c>
      <c r="K30" s="40">
        <v>45376</v>
      </c>
      <c r="L30" t="s">
        <v>459</v>
      </c>
      <c r="N30" s="66">
        <v>3</v>
      </c>
      <c r="P30">
        <v>0</v>
      </c>
    </row>
    <row r="31" spans="1:20">
      <c r="A31">
        <v>5</v>
      </c>
      <c r="B31" s="136" t="s">
        <v>427</v>
      </c>
      <c r="C31" s="9">
        <v>29</v>
      </c>
      <c r="D31">
        <v>249.2</v>
      </c>
      <c r="E31">
        <v>421.16</v>
      </c>
      <c r="F31" s="29">
        <v>450</v>
      </c>
      <c r="G31" s="56">
        <v>400</v>
      </c>
      <c r="H31" s="45">
        <f t="shared" ref="H31:H34" si="18">E31*0.92</f>
        <v>387.46720000000005</v>
      </c>
      <c r="I31" s="18">
        <f t="shared" ref="I31:I34" si="19">F31/E31 -1</f>
        <v>6.8477538227751822E-2</v>
      </c>
      <c r="J31" s="50">
        <f t="shared" ref="J31:J34" si="20">C31*D31</f>
        <v>7226.7999999999993</v>
      </c>
      <c r="K31" s="40">
        <v>45635</v>
      </c>
      <c r="L31" t="s">
        <v>411</v>
      </c>
      <c r="M31" s="121" t="s">
        <v>743</v>
      </c>
      <c r="N31">
        <v>2</v>
      </c>
      <c r="P31">
        <v>0</v>
      </c>
    </row>
    <row r="32" spans="1:20">
      <c r="A32">
        <v>6</v>
      </c>
      <c r="B32" s="136" t="s">
        <v>594</v>
      </c>
      <c r="C32" s="9">
        <v>55</v>
      </c>
      <c r="D32">
        <v>106.66</v>
      </c>
      <c r="E32">
        <v>177.2</v>
      </c>
      <c r="F32" s="29">
        <v>200</v>
      </c>
      <c r="G32" s="56">
        <v>174</v>
      </c>
      <c r="H32" s="45">
        <f t="shared" si="18"/>
        <v>163.024</v>
      </c>
      <c r="I32" s="18">
        <f t="shared" si="19"/>
        <v>0.12866817155756216</v>
      </c>
      <c r="J32" s="50">
        <f t="shared" si="20"/>
        <v>5866.3</v>
      </c>
      <c r="K32" s="40">
        <v>45635</v>
      </c>
      <c r="L32" t="s">
        <v>421</v>
      </c>
      <c r="M32" t="s">
        <v>786</v>
      </c>
      <c r="N32" s="66">
        <v>5</v>
      </c>
      <c r="P32">
        <v>0</v>
      </c>
    </row>
    <row r="33" spans="1:28">
      <c r="A33">
        <v>7</v>
      </c>
      <c r="B33" s="136" t="s">
        <v>227</v>
      </c>
      <c r="C33" s="9">
        <v>22</v>
      </c>
      <c r="D33">
        <v>372.98</v>
      </c>
      <c r="E33">
        <v>466</v>
      </c>
      <c r="F33" s="29">
        <v>550</v>
      </c>
      <c r="G33" s="56">
        <v>450</v>
      </c>
      <c r="H33" s="45">
        <f t="shared" si="18"/>
        <v>428.72</v>
      </c>
      <c r="I33" s="18">
        <f t="shared" si="19"/>
        <v>0.18025751072961382</v>
      </c>
      <c r="J33" s="50">
        <f t="shared" si="20"/>
        <v>8205.5600000000013</v>
      </c>
      <c r="K33" s="40">
        <v>45642</v>
      </c>
      <c r="L33" t="s">
        <v>230</v>
      </c>
      <c r="M33" t="s">
        <v>854</v>
      </c>
      <c r="N33">
        <v>2</v>
      </c>
      <c r="P33">
        <v>0</v>
      </c>
    </row>
    <row r="34" spans="1:28">
      <c r="A34">
        <v>8</v>
      </c>
      <c r="B34" s="136" t="s">
        <v>231</v>
      </c>
      <c r="C34" s="9">
        <v>71</v>
      </c>
      <c r="D34">
        <v>76.13</v>
      </c>
      <c r="E34">
        <v>78.5</v>
      </c>
      <c r="F34" s="29">
        <v>90</v>
      </c>
      <c r="G34" s="50">
        <v>75</v>
      </c>
      <c r="H34" s="45">
        <f t="shared" si="18"/>
        <v>72.22</v>
      </c>
      <c r="I34" s="18">
        <f t="shared" si="19"/>
        <v>0.14649681528662417</v>
      </c>
      <c r="J34" s="50">
        <f t="shared" si="20"/>
        <v>5405.23</v>
      </c>
      <c r="K34" s="40">
        <v>45863</v>
      </c>
      <c r="L34" t="s">
        <v>580</v>
      </c>
      <c r="M34" s="16" t="s">
        <v>838</v>
      </c>
      <c r="N34">
        <v>2</v>
      </c>
      <c r="P34">
        <v>0</v>
      </c>
    </row>
    <row r="35" spans="1:28">
      <c r="A35">
        <v>9</v>
      </c>
      <c r="B35" s="136" t="s">
        <v>899</v>
      </c>
      <c r="C35" s="9">
        <v>435</v>
      </c>
      <c r="D35">
        <v>5.14</v>
      </c>
      <c r="E35">
        <v>5.65</v>
      </c>
      <c r="F35" s="29">
        <v>7.5</v>
      </c>
      <c r="G35" s="50">
        <v>4.3499999999999996</v>
      </c>
      <c r="H35" s="45">
        <f t="shared" ref="H35:H38" si="21">E35*0.92</f>
        <v>5.1980000000000004</v>
      </c>
      <c r="I35" s="18">
        <f t="shared" ref="I35:I38" si="22">F35/E35 -1</f>
        <v>0.32743362831858391</v>
      </c>
      <c r="J35" s="50">
        <f t="shared" ref="J35:J38" si="23">C35*D35</f>
        <v>2235.8999999999996</v>
      </c>
      <c r="K35" s="40">
        <v>45936</v>
      </c>
      <c r="L35" t="s">
        <v>422</v>
      </c>
      <c r="M35" t="s">
        <v>786</v>
      </c>
      <c r="N35">
        <v>2</v>
      </c>
      <c r="P35">
        <v>0</v>
      </c>
    </row>
    <row r="36" spans="1:28">
      <c r="A36">
        <v>10</v>
      </c>
      <c r="B36" s="136" t="s">
        <v>316</v>
      </c>
      <c r="C36" s="9">
        <v>71</v>
      </c>
      <c r="D36">
        <v>104.44</v>
      </c>
      <c r="E36">
        <v>109.35</v>
      </c>
      <c r="F36" s="29">
        <v>130</v>
      </c>
      <c r="G36" s="50">
        <v>100</v>
      </c>
      <c r="H36" s="45">
        <f t="shared" si="21"/>
        <v>100.602</v>
      </c>
      <c r="I36" s="18">
        <f t="shared" si="22"/>
        <v>0.18884316415180624</v>
      </c>
      <c r="J36" s="50">
        <f t="shared" si="23"/>
        <v>7415.24</v>
      </c>
      <c r="K36" s="40">
        <v>45982</v>
      </c>
      <c r="L36" t="s">
        <v>317</v>
      </c>
      <c r="M36" t="s">
        <v>786</v>
      </c>
      <c r="N36" s="66">
        <v>8</v>
      </c>
      <c r="P36">
        <v>0</v>
      </c>
    </row>
    <row r="37" spans="1:28">
      <c r="A37">
        <v>11</v>
      </c>
      <c r="B37" s="137" t="s">
        <v>346</v>
      </c>
      <c r="C37" s="9">
        <v>48</v>
      </c>
      <c r="D37">
        <v>105.15</v>
      </c>
      <c r="E37">
        <v>105.9</v>
      </c>
      <c r="F37" s="29">
        <v>130</v>
      </c>
      <c r="G37" s="50">
        <v>100</v>
      </c>
      <c r="H37" s="45">
        <f t="shared" si="21"/>
        <v>97.428000000000011</v>
      </c>
      <c r="I37" s="18">
        <f t="shared" si="22"/>
        <v>0.22757318224740319</v>
      </c>
      <c r="J37" s="50">
        <f t="shared" si="23"/>
        <v>5047.2000000000007</v>
      </c>
      <c r="K37" s="40">
        <v>45987</v>
      </c>
      <c r="L37" t="s">
        <v>391</v>
      </c>
      <c r="M37" t="s">
        <v>381</v>
      </c>
      <c r="N37"/>
      <c r="O37">
        <v>1</v>
      </c>
      <c r="P37">
        <v>0</v>
      </c>
    </row>
    <row r="38" spans="1:28">
      <c r="A38">
        <v>12</v>
      </c>
      <c r="B38" s="136" t="s">
        <v>426</v>
      </c>
      <c r="C38" s="9">
        <v>9</v>
      </c>
      <c r="D38">
        <v>487</v>
      </c>
      <c r="E38">
        <v>487.48</v>
      </c>
      <c r="F38" s="29">
        <v>550</v>
      </c>
      <c r="G38" s="50">
        <v>470</v>
      </c>
      <c r="H38" s="45">
        <f t="shared" si="21"/>
        <v>448.48160000000001</v>
      </c>
      <c r="I38" s="18">
        <f t="shared" si="22"/>
        <v>0.12825141544268481</v>
      </c>
      <c r="J38" s="50">
        <f t="shared" si="23"/>
        <v>4383</v>
      </c>
      <c r="K38" s="40">
        <v>46014</v>
      </c>
      <c r="L38" t="s">
        <v>230</v>
      </c>
      <c r="M38" t="s">
        <v>786</v>
      </c>
      <c r="N38">
        <v>2</v>
      </c>
      <c r="P38">
        <v>0</v>
      </c>
      <c r="AB38" s="21"/>
    </row>
    <row r="39" spans="1:28">
      <c r="A39">
        <v>13</v>
      </c>
      <c r="B39" s="136" t="s">
        <v>637</v>
      </c>
      <c r="C39" s="9">
        <v>244</v>
      </c>
      <c r="D39">
        <v>199.25</v>
      </c>
      <c r="E39">
        <v>208.47</v>
      </c>
      <c r="F39" s="29">
        <v>250</v>
      </c>
      <c r="G39" s="50">
        <v>200</v>
      </c>
      <c r="H39" s="45">
        <f>E39*0.92</f>
        <v>191.79240000000001</v>
      </c>
      <c r="I39" s="18">
        <f>F39/E39 -1</f>
        <v>0.19921331606466164</v>
      </c>
      <c r="J39" s="50">
        <f>C39*D39</f>
        <v>48617</v>
      </c>
      <c r="K39" s="40">
        <v>46072</v>
      </c>
      <c r="L39" t="s">
        <v>638</v>
      </c>
      <c r="M39" t="s">
        <v>786</v>
      </c>
      <c r="N39" s="66">
        <v>3</v>
      </c>
      <c r="P39">
        <v>0</v>
      </c>
    </row>
    <row r="40" spans="1:28">
      <c r="A40">
        <v>14</v>
      </c>
      <c r="B40" s="136" t="s">
        <v>18</v>
      </c>
      <c r="C40" s="9">
        <v>154</v>
      </c>
      <c r="D40">
        <v>27.59</v>
      </c>
      <c r="E40">
        <v>28.83</v>
      </c>
      <c r="F40" s="29">
        <v>35</v>
      </c>
      <c r="G40" s="50">
        <v>25</v>
      </c>
      <c r="H40" s="45">
        <f>E40*0.92</f>
        <v>26.523599999999998</v>
      </c>
      <c r="I40" s="18">
        <f>F40/E40 -1</f>
        <v>0.21401318071453357</v>
      </c>
      <c r="J40" s="50">
        <f>C40*D40</f>
        <v>4248.8599999999997</v>
      </c>
      <c r="K40" s="40">
        <v>46097</v>
      </c>
      <c r="L40" t="s">
        <v>220</v>
      </c>
      <c r="M40" t="s">
        <v>302</v>
      </c>
      <c r="N40" s="66">
        <v>3</v>
      </c>
      <c r="P40">
        <v>0</v>
      </c>
    </row>
    <row r="41" spans="1:28">
      <c r="A41">
        <v>15</v>
      </c>
      <c r="B41" s="13" t="s">
        <v>240</v>
      </c>
      <c r="C41" s="9">
        <v>21</v>
      </c>
      <c r="D41">
        <v>156.44999999999999</v>
      </c>
      <c r="E41">
        <v>156.94999999999999</v>
      </c>
      <c r="F41" s="29">
        <v>175</v>
      </c>
      <c r="G41" s="50">
        <v>150</v>
      </c>
      <c r="H41" s="45">
        <f t="shared" ref="H41:H43" si="24">E41*0.92</f>
        <v>144.39400000000001</v>
      </c>
      <c r="I41" s="18">
        <f t="shared" ref="I41:I43" si="25">F41/E41 -1</f>
        <v>0.11500477859190839</v>
      </c>
      <c r="J41" s="50">
        <f t="shared" ref="J41:J43" si="26">C41*D41</f>
        <v>3285.45</v>
      </c>
      <c r="K41" s="40">
        <v>46133</v>
      </c>
      <c r="L41" t="s">
        <v>396</v>
      </c>
      <c r="M41" s="16" t="s">
        <v>918</v>
      </c>
      <c r="N41">
        <v>1</v>
      </c>
      <c r="P41">
        <v>0</v>
      </c>
    </row>
    <row r="42" spans="1:28">
      <c r="A42">
        <v>16</v>
      </c>
      <c r="B42" t="s">
        <v>508</v>
      </c>
      <c r="C42" s="9">
        <v>6</v>
      </c>
      <c r="D42">
        <v>610.95000000000005</v>
      </c>
      <c r="E42">
        <v>635.29</v>
      </c>
      <c r="F42" s="29">
        <v>800</v>
      </c>
      <c r="G42" s="50">
        <v>600</v>
      </c>
      <c r="H42" s="45">
        <f t="shared" si="24"/>
        <v>584.46680000000003</v>
      </c>
      <c r="I42" s="18">
        <f t="shared" si="25"/>
        <v>0.25926742117772994</v>
      </c>
      <c r="J42" s="50">
        <f t="shared" si="26"/>
        <v>3665.7000000000003</v>
      </c>
      <c r="K42" s="40">
        <v>46146</v>
      </c>
      <c r="L42" t="s">
        <v>513</v>
      </c>
      <c r="M42" t="s">
        <v>854</v>
      </c>
      <c r="N42"/>
      <c r="O42">
        <v>1</v>
      </c>
      <c r="P42">
        <v>1</v>
      </c>
    </row>
    <row r="43" spans="1:28">
      <c r="A43">
        <v>17</v>
      </c>
      <c r="B43" t="s">
        <v>314</v>
      </c>
      <c r="C43" s="9">
        <v>18</v>
      </c>
      <c r="D43">
        <v>273.75</v>
      </c>
      <c r="E43">
        <v>274.99</v>
      </c>
      <c r="F43" s="29">
        <v>300</v>
      </c>
      <c r="G43" s="50">
        <v>250</v>
      </c>
      <c r="H43" s="45">
        <f t="shared" si="24"/>
        <v>252.99080000000001</v>
      </c>
      <c r="I43" s="18">
        <f t="shared" si="25"/>
        <v>9.0948761773155251E-2</v>
      </c>
      <c r="J43" s="50">
        <f t="shared" si="26"/>
        <v>4927.5</v>
      </c>
      <c r="K43" s="40">
        <v>46147</v>
      </c>
      <c r="L43" t="s">
        <v>581</v>
      </c>
      <c r="M43" t="s">
        <v>302</v>
      </c>
      <c r="N43" s="66">
        <v>3</v>
      </c>
      <c r="P43">
        <v>0</v>
      </c>
    </row>
    <row r="44" spans="1:28">
      <c r="A44">
        <v>18</v>
      </c>
      <c r="B44" t="s">
        <v>286</v>
      </c>
      <c r="C44" s="9">
        <v>413</v>
      </c>
      <c r="D44">
        <v>10.54</v>
      </c>
      <c r="E44">
        <v>10.79</v>
      </c>
      <c r="F44" s="29">
        <v>13</v>
      </c>
      <c r="G44" s="50">
        <v>9</v>
      </c>
      <c r="H44" s="45">
        <f>E44*0.92</f>
        <v>9.9268000000000001</v>
      </c>
      <c r="I44" s="18">
        <f>F44/E44 -1</f>
        <v>0.20481927710843384</v>
      </c>
      <c r="J44" s="50">
        <f>C44*D44</f>
        <v>4353.0199999999995</v>
      </c>
      <c r="K44" s="40">
        <v>46155</v>
      </c>
      <c r="L44" t="s">
        <v>578</v>
      </c>
      <c r="M44" t="s">
        <v>302</v>
      </c>
      <c r="N44">
        <v>1</v>
      </c>
      <c r="P44">
        <v>1</v>
      </c>
    </row>
    <row r="45" spans="1:28">
      <c r="A45">
        <v>19</v>
      </c>
      <c r="B45" t="s">
        <v>528</v>
      </c>
      <c r="C45" s="9">
        <v>18</v>
      </c>
      <c r="D45">
        <v>325.57</v>
      </c>
      <c r="E45">
        <v>235.74</v>
      </c>
      <c r="F45" s="29">
        <v>250</v>
      </c>
      <c r="G45" s="50">
        <v>210</v>
      </c>
      <c r="H45" s="45">
        <f t="shared" ref="H45" si="27">E45*0.92</f>
        <v>216.88080000000002</v>
      </c>
      <c r="I45" s="18">
        <f t="shared" ref="I45" si="28">F45/E45 -1</f>
        <v>6.0490370747433575E-2</v>
      </c>
      <c r="J45" s="50">
        <f t="shared" ref="J45" si="29">C45*D45</f>
        <v>5860.26</v>
      </c>
      <c r="K45" s="40">
        <v>46156</v>
      </c>
      <c r="L45" t="s">
        <v>135</v>
      </c>
      <c r="M45" t="s">
        <v>526</v>
      </c>
      <c r="N45">
        <v>2</v>
      </c>
      <c r="P45">
        <v>0</v>
      </c>
    </row>
    <row r="46" spans="1:28">
      <c r="A46">
        <v>20</v>
      </c>
      <c r="B46" t="s">
        <v>559</v>
      </c>
      <c r="C46" s="9">
        <v>17</v>
      </c>
      <c r="D46">
        <v>241</v>
      </c>
      <c r="E46">
        <v>248.16</v>
      </c>
      <c r="F46" s="29">
        <v>300</v>
      </c>
      <c r="G46" s="50">
        <v>225</v>
      </c>
      <c r="H46" s="45">
        <f>E46*0.92</f>
        <v>228.30719999999999</v>
      </c>
      <c r="I46" s="18">
        <f>F46/E46 -1</f>
        <v>0.20889748549323017</v>
      </c>
      <c r="J46" s="50">
        <f>C46*D46</f>
        <v>4097</v>
      </c>
      <c r="K46" s="40">
        <v>46163</v>
      </c>
      <c r="L46" t="s">
        <v>230</v>
      </c>
      <c r="M46" s="16" t="s">
        <v>743</v>
      </c>
      <c r="N46">
        <v>2</v>
      </c>
      <c r="P46">
        <v>0</v>
      </c>
    </row>
    <row r="47" spans="1:28">
      <c r="A47">
        <v>21</v>
      </c>
      <c r="B47" t="s">
        <v>353</v>
      </c>
      <c r="C47" s="9">
        <v>187</v>
      </c>
      <c r="D47">
        <v>19.420000000000002</v>
      </c>
      <c r="E47">
        <v>19.55</v>
      </c>
      <c r="F47" s="29">
        <v>21</v>
      </c>
      <c r="G47" s="50">
        <v>19</v>
      </c>
      <c r="H47" s="45">
        <f>E47*0.92</f>
        <v>17.986000000000001</v>
      </c>
      <c r="I47" s="18">
        <f>F47/E47 -1</f>
        <v>7.4168797953964249E-2</v>
      </c>
      <c r="J47" s="50">
        <f>C47*D47</f>
        <v>3631.5400000000004</v>
      </c>
      <c r="K47" s="40">
        <v>46170</v>
      </c>
      <c r="L47" t="s">
        <v>388</v>
      </c>
      <c r="M47" t="s">
        <v>526</v>
      </c>
      <c r="O47">
        <v>3</v>
      </c>
      <c r="P47">
        <v>1</v>
      </c>
    </row>
    <row r="48" spans="1:28">
      <c r="A48">
        <v>22</v>
      </c>
      <c r="B48" t="s">
        <v>857</v>
      </c>
      <c r="C48" s="9">
        <v>50</v>
      </c>
      <c r="D48">
        <v>92.51</v>
      </c>
      <c r="E48">
        <v>94.3</v>
      </c>
      <c r="F48" s="29">
        <v>125</v>
      </c>
      <c r="G48" s="50">
        <v>70</v>
      </c>
      <c r="H48" s="45">
        <f t="shared" ref="H48:H49" si="30">E48*0.92</f>
        <v>86.756</v>
      </c>
      <c r="I48" s="18">
        <f t="shared" ref="I48:I49" si="31">F48/E48 -1</f>
        <v>0.32555673382820793</v>
      </c>
      <c r="J48" s="50">
        <f t="shared" ref="J48:J49" si="32">C48*D48</f>
        <v>4625.5</v>
      </c>
      <c r="K48" s="40">
        <v>46171</v>
      </c>
      <c r="L48" t="s">
        <v>416</v>
      </c>
      <c r="M48" s="16" t="s">
        <v>743</v>
      </c>
      <c r="N48" s="66">
        <v>3</v>
      </c>
      <c r="P48">
        <v>0</v>
      </c>
    </row>
    <row r="49" spans="1:17">
      <c r="A49">
        <v>23</v>
      </c>
      <c r="B49" t="s">
        <v>23</v>
      </c>
      <c r="C49" s="9">
        <v>59</v>
      </c>
      <c r="D49">
        <v>82.5</v>
      </c>
      <c r="E49">
        <v>84.11</v>
      </c>
      <c r="F49" s="29">
        <v>85</v>
      </c>
      <c r="G49" s="50">
        <v>77</v>
      </c>
      <c r="H49" s="45">
        <f t="shared" si="30"/>
        <v>77.381200000000007</v>
      </c>
      <c r="I49" s="79">
        <f t="shared" si="31"/>
        <v>1.0581381524194411E-2</v>
      </c>
      <c r="J49" s="50">
        <f t="shared" si="32"/>
        <v>4867.5</v>
      </c>
      <c r="K49" s="40">
        <v>46174</v>
      </c>
      <c r="L49" t="s">
        <v>392</v>
      </c>
      <c r="M49" s="16" t="s">
        <v>954</v>
      </c>
      <c r="O49">
        <v>1</v>
      </c>
      <c r="P49">
        <v>1</v>
      </c>
    </row>
    <row r="50" spans="1:17">
      <c r="A50">
        <v>24</v>
      </c>
      <c r="B50" t="s">
        <v>467</v>
      </c>
      <c r="C50" s="9">
        <v>21</v>
      </c>
      <c r="D50">
        <v>210.41</v>
      </c>
      <c r="E50">
        <v>210.41</v>
      </c>
      <c r="F50" s="29">
        <v>250</v>
      </c>
      <c r="G50" s="50">
        <v>160</v>
      </c>
      <c r="H50" s="45">
        <f t="shared" ref="H50" si="33">E50*0.92</f>
        <v>193.5772</v>
      </c>
      <c r="I50" s="18">
        <f t="shared" ref="I50" si="34">F50/E50 -1</f>
        <v>0.18815645644218426</v>
      </c>
      <c r="J50" s="50">
        <f t="shared" ref="J50" si="35">C50*D50</f>
        <v>4418.6099999999997</v>
      </c>
      <c r="K50" s="40">
        <v>46174</v>
      </c>
      <c r="L50" t="s">
        <v>230</v>
      </c>
      <c r="M50" t="s">
        <v>786</v>
      </c>
      <c r="N50" s="17">
        <v>2</v>
      </c>
      <c r="P50">
        <v>0</v>
      </c>
    </row>
    <row r="51" spans="1:17">
      <c r="A51">
        <v>25</v>
      </c>
      <c r="B51" t="s">
        <v>708</v>
      </c>
      <c r="C51" s="9">
        <v>26</v>
      </c>
      <c r="D51">
        <v>157.72999999999999</v>
      </c>
      <c r="E51">
        <v>157.72999999999999</v>
      </c>
      <c r="F51" s="29">
        <v>250</v>
      </c>
      <c r="G51" s="50">
        <v>115</v>
      </c>
      <c r="H51" s="45">
        <f>E51*0.92</f>
        <v>145.11160000000001</v>
      </c>
      <c r="I51" s="18">
        <f>F51/E51 -1</f>
        <v>0.5849870031065747</v>
      </c>
      <c r="J51" s="50">
        <f>C51*D51</f>
        <v>4100.9799999999996</v>
      </c>
      <c r="K51" s="40">
        <v>46174</v>
      </c>
      <c r="L51" t="s">
        <v>230</v>
      </c>
      <c r="M51" s="16" t="s">
        <v>743</v>
      </c>
      <c r="N51" s="17">
        <v>2</v>
      </c>
      <c r="P51">
        <v>0</v>
      </c>
    </row>
    <row r="58" spans="1:17">
      <c r="B58" s="132"/>
    </row>
    <row r="59" spans="1:17" ht="15.75" customHeight="1">
      <c r="B59" s="130"/>
      <c r="Q59" s="50"/>
    </row>
    <row r="60" spans="1:17" ht="15.75" customHeight="1">
      <c r="B60" s="17"/>
      <c r="C60" s="52"/>
      <c r="D60" s="17"/>
      <c r="E60" s="17"/>
      <c r="F60" s="17"/>
      <c r="H60" s="1"/>
      <c r="I60" s="79"/>
      <c r="Q60" s="50"/>
    </row>
    <row r="61" spans="1:17" ht="15.75" customHeight="1">
      <c r="B61" s="129"/>
      <c r="C61" s="52"/>
      <c r="D61" s="17"/>
      <c r="E61" s="17"/>
      <c r="F61" s="17"/>
      <c r="G61" s="75"/>
      <c r="H61" s="1"/>
      <c r="I61" s="18"/>
      <c r="Q61" s="50"/>
    </row>
    <row r="62" spans="1:17" ht="15.75" customHeight="1">
      <c r="B62" s="124"/>
      <c r="Q62" s="50"/>
    </row>
    <row r="63" spans="1:17" ht="15.75" customHeight="1">
      <c r="Q63" s="50"/>
    </row>
    <row r="64" spans="1:17" ht="15.75" customHeight="1">
      <c r="Q64" s="50"/>
    </row>
    <row r="65" spans="2:17" ht="15.75" customHeight="1">
      <c r="Q65" s="50"/>
    </row>
    <row r="66" spans="2:17" ht="15.75" customHeight="1">
      <c r="Q66" s="50"/>
    </row>
    <row r="67" spans="2:17" ht="15.75" customHeight="1">
      <c r="Q67" s="50"/>
    </row>
    <row r="68" spans="2:17" ht="15.75" customHeight="1">
      <c r="Q68" s="50"/>
    </row>
    <row r="69" spans="2:17" ht="15.75" customHeight="1">
      <c r="Q69" s="50"/>
    </row>
    <row r="70" spans="2:17" ht="15.75" customHeight="1">
      <c r="Q70" s="50"/>
    </row>
    <row r="72" spans="2:17" ht="15.75">
      <c r="B72" s="97"/>
      <c r="C72" s="98"/>
      <c r="D72" s="99"/>
      <c r="E72" s="99"/>
      <c r="F72" s="100"/>
    </row>
    <row r="73" spans="2:17" ht="15.75">
      <c r="B73" s="97"/>
      <c r="C73" s="98"/>
      <c r="D73" s="99"/>
      <c r="E73" s="99"/>
      <c r="F73" s="100"/>
    </row>
    <row r="74" spans="2:17" ht="15.75">
      <c r="B74" s="65" t="s">
        <v>524</v>
      </c>
    </row>
    <row r="75" spans="2:17">
      <c r="B75" t="s">
        <v>567</v>
      </c>
    </row>
    <row r="78" spans="2:17" ht="15.75">
      <c r="B78" s="65" t="s">
        <v>649</v>
      </c>
    </row>
    <row r="79" spans="2:17" ht="15.75">
      <c r="B79" s="65" t="s">
        <v>650</v>
      </c>
    </row>
    <row r="80" spans="2:17">
      <c r="B80" t="s">
        <v>651</v>
      </c>
    </row>
    <row r="83" spans="2:11" ht="16.5">
      <c r="B83" s="90" t="s">
        <v>693</v>
      </c>
      <c r="K83" s="40" t="s">
        <v>694</v>
      </c>
    </row>
    <row r="88" spans="2:11">
      <c r="B88" t="s">
        <v>700</v>
      </c>
      <c r="G88" s="50" t="s">
        <v>714</v>
      </c>
    </row>
    <row r="89" spans="2:11">
      <c r="B89" t="s">
        <v>701</v>
      </c>
    </row>
    <row r="90" spans="2:11">
      <c r="B90" t="s">
        <v>702</v>
      </c>
    </row>
    <row r="91" spans="2:11">
      <c r="B91" t="s">
        <v>703</v>
      </c>
    </row>
    <row r="93" spans="2:11" ht="16.5">
      <c r="B93" s="110" t="s">
        <v>775</v>
      </c>
    </row>
    <row r="96" spans="2:11" ht="15.75">
      <c r="B96" s="95" t="s">
        <v>711</v>
      </c>
    </row>
    <row r="101" spans="2:13">
      <c r="B101" s="117" t="s">
        <v>791</v>
      </c>
    </row>
    <row r="106" spans="2:13">
      <c r="L106" t="s">
        <v>794</v>
      </c>
      <c r="M106" s="9" t="s">
        <v>795</v>
      </c>
    </row>
    <row r="107" spans="2:13">
      <c r="L107" t="s">
        <v>796</v>
      </c>
      <c r="M107" t="s">
        <v>797</v>
      </c>
    </row>
    <row r="108" spans="2:13">
      <c r="L108" t="s">
        <v>798</v>
      </c>
      <c r="M108" t="s">
        <v>799</v>
      </c>
    </row>
    <row r="110" spans="2:13">
      <c r="L110" t="s">
        <v>800</v>
      </c>
      <c r="M110" t="s">
        <v>801</v>
      </c>
    </row>
    <row r="111" spans="2:13">
      <c r="L111" t="s">
        <v>802</v>
      </c>
      <c r="M111" t="s">
        <v>803</v>
      </c>
    </row>
    <row r="112" spans="2:13">
      <c r="L112" t="s">
        <v>804</v>
      </c>
      <c r="M112" t="s">
        <v>805</v>
      </c>
    </row>
    <row r="115" spans="2:3" ht="82.5">
      <c r="B115" s="118" t="s">
        <v>807</v>
      </c>
      <c r="C115" s="9" t="s">
        <v>806</v>
      </c>
    </row>
    <row r="116" spans="2:3" ht="16.5">
      <c r="B116" s="118"/>
    </row>
  </sheetData>
  <sortState xmlns:xlrd2="http://schemas.microsoft.com/office/spreadsheetml/2017/richdata2" ref="B3:Q15">
    <sortCondition ref="M3:M15"/>
  </sortState>
  <hyperlinks>
    <hyperlink ref="B101" r:id="rId1" display="https://j.thetradingpub.com/go/6/5SFFKLVA-5SD8IHU5-5SD8IHT9-BKNZB6.html?email=bilyky%40gmail.com&amp;opt_domain=j.TheTradingPub.com&amp;banner=SAM_453571086029&amp;SCID=YmlseWt5QGdtYWlsLmNvbQ%3D%3D&amp;opt_mandator=354988191864&amp;opt_affiliate=LI_DED_MKB_NON_EXT_LMIC22__28_INDICT&amp;bmMailId=5SFFKLVA-5SD8IHU5-113SK9R" xr:uid="{9D2CF3A1-CCC5-4D19-9A39-D3EF70EAB119}"/>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8E48F-1681-45B1-A765-1046C8046C8D}">
  <dimension ref="A1:T491"/>
  <sheetViews>
    <sheetView tabSelected="1" zoomScaleNormal="100" workbookViewId="0">
      <selection activeCell="I25" sqref="I25"/>
    </sheetView>
  </sheetViews>
  <sheetFormatPr defaultRowHeight="15"/>
  <cols>
    <col min="1" max="1" width="3.5703125" customWidth="1"/>
    <col min="2" max="3" width="4" bestFit="1" customWidth="1"/>
    <col min="4" max="4" width="7.85546875" bestFit="1" customWidth="1"/>
    <col min="5" max="5" width="27.140625" customWidth="1"/>
    <col min="6" max="7" width="7" style="21" bestFit="1" customWidth="1"/>
    <col min="8" max="8" width="6.7109375" style="21" bestFit="1" customWidth="1"/>
    <col min="9" max="9" width="6" bestFit="1" customWidth="1"/>
    <col min="10" max="10" width="7.5703125" bestFit="1" customWidth="1"/>
    <col min="11" max="11" width="7.5703125" style="21" bestFit="1" customWidth="1"/>
    <col min="15" max="16" width="7.85546875" customWidth="1"/>
    <col min="17" max="17" width="27.140625" bestFit="1" customWidth="1"/>
    <col min="18" max="18" width="15.28515625" bestFit="1" customWidth="1"/>
    <col min="19" max="19" width="12" bestFit="1" customWidth="1"/>
    <col min="20" max="20" width="12.42578125" bestFit="1" customWidth="1"/>
  </cols>
  <sheetData>
    <row r="1" spans="2:20">
      <c r="B1" s="33">
        <v>99</v>
      </c>
      <c r="C1" s="33"/>
      <c r="D1" s="33"/>
      <c r="E1" s="33"/>
      <c r="F1"/>
      <c r="G1"/>
      <c r="H1"/>
      <c r="J1" s="21"/>
      <c r="K1"/>
      <c r="L1" s="21"/>
      <c r="M1" s="21"/>
      <c r="N1" s="21"/>
      <c r="O1" s="21"/>
      <c r="P1" s="21"/>
      <c r="Q1" s="33"/>
      <c r="R1" t="s">
        <v>781</v>
      </c>
      <c r="S1" s="112" t="s">
        <v>782</v>
      </c>
      <c r="T1" t="s">
        <v>780</v>
      </c>
    </row>
    <row r="2" spans="2:20">
      <c r="B2" s="33">
        <v>14</v>
      </c>
      <c r="C2" s="32">
        <v>14</v>
      </c>
      <c r="D2" t="s">
        <v>607</v>
      </c>
      <c r="E2" t="s">
        <v>230</v>
      </c>
      <c r="F2">
        <v>0</v>
      </c>
      <c r="G2" t="s">
        <v>387</v>
      </c>
      <c r="H2" t="s">
        <v>449</v>
      </c>
      <c r="J2" s="21"/>
      <c r="K2">
        <v>151.57</v>
      </c>
      <c r="L2" s="21"/>
      <c r="M2" s="21"/>
      <c r="N2" s="21"/>
      <c r="O2" s="7">
        <v>3.9899999999999998E-2</v>
      </c>
      <c r="P2" s="7">
        <v>3.9899999999999998E-2</v>
      </c>
      <c r="Q2" s="34"/>
      <c r="R2" t="s">
        <v>449</v>
      </c>
      <c r="S2" t="s">
        <v>449</v>
      </c>
      <c r="T2" t="s">
        <v>600</v>
      </c>
    </row>
    <row r="3" spans="2:20">
      <c r="B3" s="33">
        <v>14</v>
      </c>
      <c r="C3" s="32">
        <v>14</v>
      </c>
      <c r="D3" t="s">
        <v>602</v>
      </c>
      <c r="E3" t="s">
        <v>395</v>
      </c>
      <c r="F3">
        <v>0</v>
      </c>
      <c r="G3" t="s">
        <v>381</v>
      </c>
      <c r="H3" t="s">
        <v>448</v>
      </c>
      <c r="J3" s="21">
        <v>68</v>
      </c>
      <c r="K3">
        <v>36.54</v>
      </c>
      <c r="L3" s="21">
        <v>100</v>
      </c>
      <c r="M3" s="21">
        <f xml:space="preserve"> (L3 - K3)/(K3-J3)</f>
        <v>-2.0171646535282899</v>
      </c>
      <c r="N3" s="21">
        <f>K3/L3</f>
        <v>0.3654</v>
      </c>
      <c r="O3" s="7">
        <v>1.3100000000000001E-2</v>
      </c>
      <c r="P3" s="7">
        <v>1.3100000000000001E-2</v>
      </c>
      <c r="Q3" s="33"/>
      <c r="R3" t="s">
        <v>450</v>
      </c>
      <c r="S3" t="s">
        <v>449</v>
      </c>
      <c r="T3" t="s">
        <v>600</v>
      </c>
    </row>
    <row r="4" spans="2:20">
      <c r="B4" s="33">
        <v>14</v>
      </c>
      <c r="C4" s="32">
        <v>14</v>
      </c>
      <c r="D4" t="s">
        <v>787</v>
      </c>
      <c r="E4" t="s">
        <v>424</v>
      </c>
      <c r="F4">
        <v>0</v>
      </c>
      <c r="G4" t="s">
        <v>385</v>
      </c>
      <c r="H4" t="s">
        <v>448</v>
      </c>
      <c r="J4" s="21">
        <v>56</v>
      </c>
      <c r="K4">
        <v>63.94</v>
      </c>
      <c r="L4" s="21">
        <v>60</v>
      </c>
      <c r="M4" s="21">
        <f xml:space="preserve"> (L4 - K4)/(K4-J4)</f>
        <v>-0.49622166246851374</v>
      </c>
      <c r="N4" s="21">
        <f>K4/L4</f>
        <v>1.0656666666666665</v>
      </c>
      <c r="O4" s="7">
        <v>2.6599999999999999E-2</v>
      </c>
      <c r="P4" s="7">
        <v>2.6599999999999999E-2</v>
      </c>
      <c r="Q4" s="33"/>
      <c r="R4" t="s">
        <v>449</v>
      </c>
      <c r="S4" t="s">
        <v>449</v>
      </c>
      <c r="T4" t="s">
        <v>450</v>
      </c>
    </row>
    <row r="5" spans="2:20">
      <c r="B5" s="33">
        <v>14</v>
      </c>
      <c r="C5" s="32">
        <v>14</v>
      </c>
      <c r="D5" t="s">
        <v>883</v>
      </c>
      <c r="F5">
        <v>0</v>
      </c>
      <c r="G5" t="s">
        <v>381</v>
      </c>
      <c r="H5" t="s">
        <v>448</v>
      </c>
      <c r="J5" s="21">
        <v>17</v>
      </c>
      <c r="K5">
        <v>23.98</v>
      </c>
      <c r="L5" s="21">
        <v>20</v>
      </c>
      <c r="M5" s="21">
        <f xml:space="preserve"> (L5 - K5)/(K5-J5)</f>
        <v>-0.57020057306590266</v>
      </c>
      <c r="N5" s="21">
        <f>K5/L5</f>
        <v>1.1990000000000001</v>
      </c>
      <c r="O5" s="7">
        <v>6.4999999999999997E-3</v>
      </c>
      <c r="P5" s="7">
        <v>6.4999999999999997E-3</v>
      </c>
      <c r="Q5" s="33"/>
      <c r="R5" t="s">
        <v>448</v>
      </c>
      <c r="S5" t="s">
        <v>448</v>
      </c>
      <c r="T5" t="s">
        <v>450</v>
      </c>
    </row>
    <row r="6" spans="2:20">
      <c r="B6" s="33">
        <v>14</v>
      </c>
      <c r="C6" s="32">
        <v>14</v>
      </c>
      <c r="D6" t="s">
        <v>859</v>
      </c>
      <c r="E6" t="s">
        <v>412</v>
      </c>
      <c r="F6">
        <v>0</v>
      </c>
      <c r="G6" t="s">
        <v>381</v>
      </c>
      <c r="H6" t="s">
        <v>449</v>
      </c>
      <c r="J6" s="21">
        <v>80</v>
      </c>
      <c r="K6">
        <v>86.27</v>
      </c>
      <c r="L6" s="21">
        <v>100</v>
      </c>
      <c r="M6" s="21">
        <f xml:space="preserve"> (L6 - K6)/(K6-J6)</f>
        <v>2.1897926634768758</v>
      </c>
      <c r="N6" s="21">
        <f>K6/L6</f>
        <v>0.86269999999999991</v>
      </c>
      <c r="O6" s="53">
        <v>0.01</v>
      </c>
      <c r="P6" s="53">
        <v>0.01</v>
      </c>
      <c r="Q6" s="34"/>
      <c r="R6" t="s">
        <v>448</v>
      </c>
      <c r="S6" t="s">
        <v>449</v>
      </c>
      <c r="T6" t="s">
        <v>600</v>
      </c>
    </row>
    <row r="7" spans="2:20">
      <c r="B7" s="33">
        <v>14</v>
      </c>
      <c r="C7" s="32">
        <v>14</v>
      </c>
      <c r="D7" t="s">
        <v>527</v>
      </c>
      <c r="E7" t="s">
        <v>580</v>
      </c>
      <c r="F7">
        <v>0</v>
      </c>
      <c r="G7" t="s">
        <v>380</v>
      </c>
      <c r="H7" t="s">
        <v>448</v>
      </c>
      <c r="J7" s="21">
        <v>51</v>
      </c>
      <c r="K7">
        <v>57.19</v>
      </c>
      <c r="L7" s="21">
        <v>57</v>
      </c>
      <c r="M7" s="21">
        <f xml:space="preserve"> (L7 - K7)/(K7-J7)</f>
        <v>-3.0694668820678159E-2</v>
      </c>
      <c r="N7" s="21">
        <f>K7/L7</f>
        <v>1.0033333333333332</v>
      </c>
      <c r="O7" s="7">
        <v>-6.4299999999999996E-2</v>
      </c>
      <c r="P7" s="7">
        <v>-6.4299999999999996E-2</v>
      </c>
      <c r="Q7" s="34" t="s">
        <v>778</v>
      </c>
      <c r="R7" t="s">
        <v>450</v>
      </c>
      <c r="S7" t="s">
        <v>450</v>
      </c>
      <c r="T7" t="s">
        <v>450</v>
      </c>
    </row>
    <row r="8" spans="2:20">
      <c r="B8" s="33">
        <v>14</v>
      </c>
      <c r="C8" s="32">
        <v>14</v>
      </c>
      <c r="D8" t="s">
        <v>206</v>
      </c>
      <c r="E8" t="s">
        <v>389</v>
      </c>
      <c r="F8">
        <v>0</v>
      </c>
      <c r="G8" t="s">
        <v>381</v>
      </c>
      <c r="H8" t="s">
        <v>448</v>
      </c>
      <c r="J8" s="21">
        <v>34</v>
      </c>
      <c r="K8">
        <v>43.08</v>
      </c>
      <c r="L8" s="21">
        <v>36</v>
      </c>
      <c r="M8" s="21">
        <f xml:space="preserve"> (L8 - K8)/(K8-J8)</f>
        <v>-0.77973568281938321</v>
      </c>
      <c r="N8" s="21">
        <f>K8/L8</f>
        <v>1.1966666666666665</v>
      </c>
      <c r="O8" s="7">
        <v>1.2800000000000001E-2</v>
      </c>
      <c r="P8" s="7">
        <v>1.2800000000000001E-2</v>
      </c>
      <c r="Q8" s="33" t="s">
        <v>207</v>
      </c>
      <c r="R8" t="s">
        <v>448</v>
      </c>
      <c r="S8" t="s">
        <v>450</v>
      </c>
      <c r="T8" t="s">
        <v>452</v>
      </c>
    </row>
    <row r="9" spans="2:20">
      <c r="B9" s="33">
        <v>14</v>
      </c>
      <c r="C9" s="32">
        <v>14</v>
      </c>
      <c r="D9" t="s">
        <v>934</v>
      </c>
      <c r="F9">
        <v>0</v>
      </c>
      <c r="G9" t="s">
        <v>383</v>
      </c>
      <c r="H9" t="s">
        <v>448</v>
      </c>
      <c r="J9" s="21"/>
      <c r="K9">
        <v>160.82</v>
      </c>
      <c r="L9" s="21"/>
      <c r="M9" s="21"/>
      <c r="N9" s="21"/>
      <c r="O9" s="7">
        <v>2.3E-3</v>
      </c>
      <c r="P9" s="7">
        <v>2.3E-3</v>
      </c>
      <c r="Q9" s="33"/>
      <c r="R9" t="s">
        <v>448</v>
      </c>
      <c r="S9" t="s">
        <v>448</v>
      </c>
      <c r="T9" t="s">
        <v>450</v>
      </c>
    </row>
    <row r="10" spans="2:20">
      <c r="B10" s="33">
        <v>14</v>
      </c>
      <c r="C10" s="32">
        <v>14</v>
      </c>
      <c r="D10" t="s">
        <v>644</v>
      </c>
      <c r="E10" t="s">
        <v>424</v>
      </c>
      <c r="F10">
        <v>0</v>
      </c>
      <c r="G10" t="s">
        <v>385</v>
      </c>
      <c r="H10" t="s">
        <v>448</v>
      </c>
      <c r="J10" s="21">
        <v>50</v>
      </c>
      <c r="K10">
        <v>69.099999999999994</v>
      </c>
      <c r="L10" s="21">
        <v>55</v>
      </c>
      <c r="M10" s="21">
        <f xml:space="preserve"> (L10 - K10)/(K10-J10)</f>
        <v>-0.73821989528795806</v>
      </c>
      <c r="N10" s="21">
        <f>K10/L10</f>
        <v>1.2563636363636363</v>
      </c>
      <c r="O10" s="7">
        <v>2.63E-2</v>
      </c>
      <c r="P10" s="7">
        <v>2.63E-2</v>
      </c>
      <c r="Q10" s="34"/>
      <c r="R10" t="s">
        <v>449</v>
      </c>
      <c r="S10" t="s">
        <v>449</v>
      </c>
      <c r="T10" t="s">
        <v>450</v>
      </c>
    </row>
    <row r="11" spans="2:20">
      <c r="B11" s="33">
        <v>14</v>
      </c>
      <c r="C11" s="32">
        <v>14</v>
      </c>
      <c r="D11" t="s">
        <v>322</v>
      </c>
      <c r="E11" t="s">
        <v>323</v>
      </c>
      <c r="F11" t="s">
        <v>384</v>
      </c>
      <c r="G11" t="s">
        <v>384</v>
      </c>
      <c r="H11" t="s">
        <v>448</v>
      </c>
      <c r="J11" s="21">
        <v>82</v>
      </c>
      <c r="K11">
        <v>108.68</v>
      </c>
      <c r="L11" s="21">
        <v>94</v>
      </c>
      <c r="M11" s="21">
        <f xml:space="preserve"> (L11 - K11)/(K11-J11)</f>
        <v>-0.55022488755622201</v>
      </c>
      <c r="N11" s="21">
        <f>K11/L11</f>
        <v>1.1561702127659574</v>
      </c>
      <c r="O11" s="7">
        <v>1.84E-2</v>
      </c>
      <c r="P11" s="7">
        <v>1.84E-2</v>
      </c>
      <c r="Q11" s="33" t="s">
        <v>323</v>
      </c>
      <c r="R11" t="s">
        <v>448</v>
      </c>
      <c r="S11" t="s">
        <v>448</v>
      </c>
      <c r="T11" t="s">
        <v>452</v>
      </c>
    </row>
    <row r="12" spans="2:20">
      <c r="B12" s="33">
        <v>14</v>
      </c>
      <c r="C12" s="32">
        <v>14</v>
      </c>
      <c r="D12" t="s">
        <v>726</v>
      </c>
      <c r="E12" t="s">
        <v>721</v>
      </c>
      <c r="F12" t="s">
        <v>381</v>
      </c>
      <c r="G12" t="s">
        <v>381</v>
      </c>
      <c r="H12" t="s">
        <v>448</v>
      </c>
      <c r="J12" s="21">
        <v>44</v>
      </c>
      <c r="K12">
        <v>57.85</v>
      </c>
      <c r="L12" s="21">
        <v>50</v>
      </c>
      <c r="M12" s="21">
        <f xml:space="preserve"> (L12 - K12)/(K12-J12)</f>
        <v>-0.56678700361010836</v>
      </c>
      <c r="N12" s="21">
        <f>K12/L12</f>
        <v>1.157</v>
      </c>
      <c r="O12" s="7">
        <v>5.8999999999999999E-3</v>
      </c>
      <c r="P12" s="7">
        <v>5.8999999999999999E-3</v>
      </c>
      <c r="Q12" s="33"/>
      <c r="R12" t="s">
        <v>448</v>
      </c>
      <c r="S12" t="s">
        <v>449</v>
      </c>
      <c r="T12" t="s">
        <v>450</v>
      </c>
    </row>
    <row r="13" spans="2:20">
      <c r="B13" s="33">
        <v>14</v>
      </c>
      <c r="C13" s="32">
        <v>14</v>
      </c>
      <c r="D13" t="s">
        <v>373</v>
      </c>
      <c r="E13" t="s">
        <v>579</v>
      </c>
      <c r="F13" t="s">
        <v>383</v>
      </c>
      <c r="G13" t="s">
        <v>383</v>
      </c>
      <c r="H13" t="s">
        <v>448</v>
      </c>
      <c r="J13" s="21">
        <v>37.5</v>
      </c>
      <c r="K13">
        <v>38.799999999999997</v>
      </c>
      <c r="L13" s="21">
        <v>47.5</v>
      </c>
      <c r="M13" s="21">
        <f xml:space="preserve"> (L13 - K13)/(K13-J13)</f>
        <v>6.6923076923077094</v>
      </c>
      <c r="N13" s="21">
        <f>K13/L13</f>
        <v>0.81684210526315781</v>
      </c>
      <c r="O13" s="7">
        <v>-2.4199999999999999E-2</v>
      </c>
      <c r="P13" s="7">
        <v>-2.4199999999999999E-2</v>
      </c>
      <c r="Q13" s="33"/>
      <c r="R13" t="s">
        <v>448</v>
      </c>
      <c r="S13" t="s">
        <v>448</v>
      </c>
      <c r="T13" t="s">
        <v>450</v>
      </c>
    </row>
    <row r="14" spans="2:20">
      <c r="B14" s="33">
        <v>14</v>
      </c>
      <c r="C14" s="32">
        <v>14</v>
      </c>
      <c r="D14" t="s">
        <v>881</v>
      </c>
      <c r="F14" t="s">
        <v>381</v>
      </c>
      <c r="G14" t="s">
        <v>381</v>
      </c>
      <c r="H14" t="s">
        <v>448</v>
      </c>
      <c r="J14" s="21">
        <v>36</v>
      </c>
      <c r="K14">
        <v>47.36</v>
      </c>
      <c r="L14" s="21">
        <v>45</v>
      </c>
      <c r="M14" s="21">
        <f xml:space="preserve"> (L14 - K14)/(K14-J14)</f>
        <v>-0.20774647887323941</v>
      </c>
      <c r="N14" s="21">
        <f>K14/L14</f>
        <v>1.0524444444444445</v>
      </c>
      <c r="O14" s="7">
        <v>4.8999999999999998E-3</v>
      </c>
      <c r="P14" s="7">
        <v>4.8999999999999998E-3</v>
      </c>
      <c r="Q14" s="33"/>
      <c r="R14" t="s">
        <v>450</v>
      </c>
      <c r="S14" t="s">
        <v>449</v>
      </c>
      <c r="T14" t="s">
        <v>600</v>
      </c>
    </row>
    <row r="15" spans="2:20">
      <c r="B15" s="33">
        <v>14</v>
      </c>
      <c r="C15" s="32">
        <v>14</v>
      </c>
      <c r="D15" t="s">
        <v>735</v>
      </c>
      <c r="E15" t="s">
        <v>459</v>
      </c>
      <c r="F15"/>
      <c r="G15"/>
      <c r="H15" t="s">
        <v>449</v>
      </c>
      <c r="J15" s="21">
        <v>99</v>
      </c>
      <c r="K15">
        <v>106.66</v>
      </c>
      <c r="L15" s="21">
        <v>104</v>
      </c>
      <c r="M15" s="21">
        <f xml:space="preserve"> (L15 - K15)/(K15-J15)</f>
        <v>-0.34725848563968642</v>
      </c>
      <c r="N15" s="21">
        <f>K15/L15</f>
        <v>1.0255769230769229</v>
      </c>
      <c r="O15" s="7">
        <v>5.9999999999999995E-4</v>
      </c>
      <c r="P15" s="7">
        <v>5.9999999999999995E-4</v>
      </c>
      <c r="Q15" s="34" t="s">
        <v>736</v>
      </c>
      <c r="R15" t="s">
        <v>448</v>
      </c>
      <c r="S15" t="s">
        <v>450</v>
      </c>
      <c r="T15" t="s">
        <v>600</v>
      </c>
    </row>
    <row r="16" spans="2:20">
      <c r="B16" s="33">
        <v>14</v>
      </c>
      <c r="C16" s="32">
        <v>14</v>
      </c>
      <c r="D16" t="s">
        <v>955</v>
      </c>
      <c r="F16"/>
      <c r="G16"/>
      <c r="H16"/>
      <c r="J16" s="21"/>
      <c r="K16"/>
      <c r="L16" s="21"/>
      <c r="M16" s="21"/>
      <c r="N16" s="21"/>
      <c r="O16" s="7"/>
      <c r="P16" s="7"/>
      <c r="Q16" s="34"/>
    </row>
    <row r="17" spans="2:20">
      <c r="B17" s="33">
        <v>14</v>
      </c>
      <c r="C17" s="32">
        <v>14</v>
      </c>
      <c r="D17" t="s">
        <v>882</v>
      </c>
      <c r="F17" t="s">
        <v>382</v>
      </c>
      <c r="G17" t="s">
        <v>382</v>
      </c>
      <c r="H17" t="s">
        <v>448</v>
      </c>
      <c r="J17" s="21">
        <v>25</v>
      </c>
      <c r="K17">
        <v>33.479999999999997</v>
      </c>
      <c r="L17" s="21">
        <v>35</v>
      </c>
      <c r="M17" s="21">
        <f xml:space="preserve"> (L17 - K17)/(K17-J17)</f>
        <v>0.17924528301886836</v>
      </c>
      <c r="N17" s="21">
        <f>K17/L17</f>
        <v>0.95657142857142852</v>
      </c>
      <c r="O17" s="7">
        <v>7.1999999999999998E-3</v>
      </c>
      <c r="P17" s="7">
        <v>7.1999999999999998E-3</v>
      </c>
      <c r="Q17" s="33"/>
      <c r="R17" t="s">
        <v>449</v>
      </c>
      <c r="S17" t="s">
        <v>450</v>
      </c>
      <c r="T17" t="s">
        <v>450</v>
      </c>
    </row>
    <row r="18" spans="2:20">
      <c r="B18" s="33">
        <v>14</v>
      </c>
      <c r="C18" s="32">
        <v>14</v>
      </c>
      <c r="D18" t="s">
        <v>40</v>
      </c>
      <c r="E18" t="s">
        <v>388</v>
      </c>
      <c r="F18" t="s">
        <v>384</v>
      </c>
      <c r="G18" t="s">
        <v>384</v>
      </c>
      <c r="H18" t="s">
        <v>448</v>
      </c>
      <c r="J18" s="21">
        <v>120</v>
      </c>
      <c r="K18">
        <v>175.47</v>
      </c>
      <c r="L18" s="21">
        <v>150</v>
      </c>
      <c r="M18" s="21">
        <f xml:space="preserve"> (L18 - K18)/(K18-J18)</f>
        <v>-0.45916711736073551</v>
      </c>
      <c r="N18" s="21">
        <f>K18/L18</f>
        <v>1.1698</v>
      </c>
      <c r="O18" s="7">
        <v>2.2499999999999999E-2</v>
      </c>
      <c r="P18" s="7">
        <v>2.2499999999999999E-2</v>
      </c>
      <c r="Q18" s="33" t="s">
        <v>97</v>
      </c>
      <c r="R18" t="s">
        <v>448</v>
      </c>
      <c r="S18" t="s">
        <v>450</v>
      </c>
      <c r="T18" t="s">
        <v>452</v>
      </c>
    </row>
    <row r="19" spans="2:20">
      <c r="B19" s="33">
        <v>14</v>
      </c>
      <c r="C19" s="32">
        <v>14</v>
      </c>
      <c r="D19" t="s">
        <v>879</v>
      </c>
      <c r="E19" t="s">
        <v>135</v>
      </c>
      <c r="F19" t="s">
        <v>381</v>
      </c>
      <c r="G19" t="s">
        <v>381</v>
      </c>
      <c r="H19" t="s">
        <v>448</v>
      </c>
      <c r="J19" s="21"/>
      <c r="K19">
        <v>103.4</v>
      </c>
      <c r="L19" s="21"/>
      <c r="M19" s="21"/>
      <c r="N19" s="21"/>
      <c r="O19" s="7">
        <v>-2.8E-3</v>
      </c>
      <c r="P19" s="7">
        <v>-2.8E-3</v>
      </c>
      <c r="Q19" s="33"/>
      <c r="R19" t="s">
        <v>449</v>
      </c>
      <c r="S19" t="s">
        <v>449</v>
      </c>
      <c r="T19" t="s">
        <v>450</v>
      </c>
    </row>
    <row r="20" spans="2:20">
      <c r="B20" s="33">
        <v>8</v>
      </c>
      <c r="C20" s="87">
        <v>8</v>
      </c>
      <c r="D20" t="s">
        <v>675</v>
      </c>
      <c r="E20" t="s">
        <v>166</v>
      </c>
      <c r="F20" t="s">
        <v>384</v>
      </c>
      <c r="G20" t="s">
        <v>384</v>
      </c>
      <c r="H20" t="s">
        <v>448</v>
      </c>
      <c r="I20" s="17"/>
      <c r="J20" s="24">
        <v>18</v>
      </c>
      <c r="K20">
        <v>23.45</v>
      </c>
      <c r="L20" s="21">
        <v>24</v>
      </c>
      <c r="M20" s="21">
        <f xml:space="preserve"> (L20 - K20)/(K20-J20)</f>
        <v>0.10091743119266069</v>
      </c>
      <c r="N20" s="21">
        <f>K20/L20</f>
        <v>0.9770833333333333</v>
      </c>
      <c r="O20" s="7">
        <v>9.1999999999999998E-3</v>
      </c>
      <c r="P20" s="7">
        <v>9.1999999999999998E-3</v>
      </c>
      <c r="Q20" s="33"/>
      <c r="R20" t="s">
        <v>449</v>
      </c>
      <c r="S20" t="s">
        <v>449</v>
      </c>
      <c r="T20" t="s">
        <v>451</v>
      </c>
    </row>
    <row r="21" spans="2:20">
      <c r="B21" s="33">
        <v>7</v>
      </c>
      <c r="C21" s="42">
        <v>7</v>
      </c>
      <c r="D21" t="s">
        <v>113</v>
      </c>
      <c r="E21" t="s">
        <v>199</v>
      </c>
      <c r="F21" t="s">
        <v>380</v>
      </c>
      <c r="G21" t="s">
        <v>385</v>
      </c>
      <c r="H21" t="s">
        <v>449</v>
      </c>
      <c r="J21" s="21">
        <v>320</v>
      </c>
      <c r="K21">
        <v>454.09</v>
      </c>
      <c r="L21" s="21">
        <v>360</v>
      </c>
      <c r="M21" s="21">
        <f xml:space="preserve"> (L21 - K21)/(K21-J21)</f>
        <v>-0.70169289283317171</v>
      </c>
      <c r="N21" s="21">
        <f>K21/L21</f>
        <v>1.2613611111111109</v>
      </c>
      <c r="O21" s="7">
        <v>5.6899999999999999E-2</v>
      </c>
      <c r="P21" s="7">
        <v>5.6899999999999999E-2</v>
      </c>
      <c r="Q21" s="33" t="s">
        <v>261</v>
      </c>
      <c r="R21" t="s">
        <v>448</v>
      </c>
      <c r="S21" t="s">
        <v>448</v>
      </c>
      <c r="T21" t="s">
        <v>451</v>
      </c>
    </row>
    <row r="22" spans="2:20">
      <c r="B22" s="33">
        <v>7</v>
      </c>
      <c r="C22" s="42">
        <v>7</v>
      </c>
      <c r="D22" t="s">
        <v>242</v>
      </c>
      <c r="E22" t="s">
        <v>317</v>
      </c>
      <c r="F22" t="s">
        <v>387</v>
      </c>
      <c r="G22" t="s">
        <v>387</v>
      </c>
      <c r="H22" t="s">
        <v>449</v>
      </c>
      <c r="J22" s="21">
        <v>110</v>
      </c>
      <c r="K22">
        <v>200.55</v>
      </c>
      <c r="L22" s="21">
        <v>130</v>
      </c>
      <c r="M22" s="21">
        <f xml:space="preserve"> (L22 - K22)/(K22-J22)</f>
        <v>-0.77912755383765875</v>
      </c>
      <c r="N22" s="21">
        <f>K22/L22</f>
        <v>1.5426923076923078</v>
      </c>
      <c r="O22" s="7">
        <v>8.0000000000000004E-4</v>
      </c>
      <c r="P22" s="7">
        <v>8.0000000000000004E-4</v>
      </c>
      <c r="Q22" s="33" t="s">
        <v>146</v>
      </c>
      <c r="R22" t="s">
        <v>450</v>
      </c>
      <c r="S22" t="s">
        <v>449</v>
      </c>
      <c r="T22" t="s">
        <v>450</v>
      </c>
    </row>
    <row r="23" spans="2:20">
      <c r="B23" s="33">
        <v>7</v>
      </c>
      <c r="C23" s="42">
        <v>7</v>
      </c>
      <c r="D23" t="s">
        <v>516</v>
      </c>
      <c r="E23" t="s">
        <v>407</v>
      </c>
      <c r="F23" t="s">
        <v>385</v>
      </c>
      <c r="G23" t="s">
        <v>385</v>
      </c>
      <c r="H23" t="s">
        <v>449</v>
      </c>
      <c r="I23" s="16"/>
      <c r="J23" s="24">
        <v>58</v>
      </c>
      <c r="K23">
        <v>72.349999999999994</v>
      </c>
      <c r="L23" s="21">
        <v>70</v>
      </c>
      <c r="M23" s="21">
        <f xml:space="preserve"> (L23 - K23)/(K23-J23)</f>
        <v>-0.16376306620209027</v>
      </c>
      <c r="N23" s="21">
        <f>K23/L23</f>
        <v>1.0335714285714286</v>
      </c>
      <c r="O23" s="7">
        <v>-1.6000000000000001E-3</v>
      </c>
      <c r="P23" s="7">
        <v>-1.6000000000000001E-3</v>
      </c>
      <c r="Q23" s="34"/>
      <c r="R23" t="s">
        <v>449</v>
      </c>
      <c r="S23" t="s">
        <v>449</v>
      </c>
      <c r="T23" t="s">
        <v>451</v>
      </c>
    </row>
    <row r="24" spans="2:20">
      <c r="B24" s="33">
        <v>6</v>
      </c>
      <c r="C24" s="60">
        <v>6</v>
      </c>
      <c r="D24" t="s">
        <v>522</v>
      </c>
      <c r="E24" t="s">
        <v>416</v>
      </c>
      <c r="F24" t="s">
        <v>384</v>
      </c>
      <c r="G24" t="s">
        <v>384</v>
      </c>
      <c r="H24" t="s">
        <v>448</v>
      </c>
      <c r="J24" s="21"/>
      <c r="K24">
        <v>438.62</v>
      </c>
      <c r="L24" s="21"/>
      <c r="M24" s="21"/>
      <c r="N24" s="21"/>
      <c r="O24" s="7">
        <v>1.3599999999999999E-2</v>
      </c>
      <c r="P24" s="7">
        <v>1.3599999999999999E-2</v>
      </c>
      <c r="Q24" s="34"/>
      <c r="R24" t="s">
        <v>449</v>
      </c>
      <c r="S24" t="s">
        <v>449</v>
      </c>
      <c r="T24" t="s">
        <v>450</v>
      </c>
    </row>
    <row r="25" spans="2:20">
      <c r="B25" s="33">
        <v>6</v>
      </c>
      <c r="C25" s="60">
        <v>6</v>
      </c>
      <c r="D25" t="s">
        <v>500</v>
      </c>
      <c r="E25" t="s">
        <v>392</v>
      </c>
      <c r="F25" t="s">
        <v>381</v>
      </c>
      <c r="G25" t="s">
        <v>380</v>
      </c>
      <c r="H25" t="s">
        <v>449</v>
      </c>
      <c r="J25" s="21">
        <v>50</v>
      </c>
      <c r="K25">
        <v>58.18</v>
      </c>
      <c r="L25" s="21">
        <v>60</v>
      </c>
      <c r="M25" s="21">
        <f xml:space="preserve"> (L25 - K25)/(K25-J25)</f>
        <v>0.2224938875305624</v>
      </c>
      <c r="N25" s="21">
        <f>K25/L25</f>
        <v>0.96966666666666668</v>
      </c>
      <c r="O25" s="53">
        <v>0.01</v>
      </c>
      <c r="P25" s="53">
        <v>0.01</v>
      </c>
      <c r="Q25" s="34"/>
      <c r="R25" t="s">
        <v>448</v>
      </c>
      <c r="S25" t="s">
        <v>448</v>
      </c>
      <c r="T25" t="s">
        <v>451</v>
      </c>
    </row>
    <row r="26" spans="2:20">
      <c r="B26" s="33">
        <v>6</v>
      </c>
      <c r="C26" s="60">
        <v>6</v>
      </c>
      <c r="D26" t="s">
        <v>213</v>
      </c>
      <c r="E26" t="s">
        <v>396</v>
      </c>
      <c r="F26" t="s">
        <v>383</v>
      </c>
      <c r="G26" t="s">
        <v>383</v>
      </c>
      <c r="H26" t="s">
        <v>448</v>
      </c>
      <c r="J26" s="21">
        <v>90</v>
      </c>
      <c r="K26">
        <v>94.43</v>
      </c>
      <c r="L26" s="21">
        <v>110</v>
      </c>
      <c r="M26" s="21">
        <f xml:space="preserve"> (L26 - K26)/(K26-J26)</f>
        <v>3.5146726862302415</v>
      </c>
      <c r="N26" s="21"/>
      <c r="O26" s="7">
        <v>-1.34E-2</v>
      </c>
      <c r="P26" s="7">
        <v>-1.34E-2</v>
      </c>
      <c r="Q26" s="33" t="s">
        <v>214</v>
      </c>
      <c r="R26" t="s">
        <v>448</v>
      </c>
      <c r="S26" t="s">
        <v>448</v>
      </c>
      <c r="T26" t="s">
        <v>450</v>
      </c>
    </row>
    <row r="27" spans="2:20">
      <c r="B27" s="33">
        <v>6</v>
      </c>
      <c r="C27" s="60">
        <v>6</v>
      </c>
      <c r="D27" t="s">
        <v>369</v>
      </c>
      <c r="E27" t="s">
        <v>579</v>
      </c>
      <c r="F27" t="s">
        <v>384</v>
      </c>
      <c r="G27" t="s">
        <v>380</v>
      </c>
      <c r="H27" t="s">
        <v>448</v>
      </c>
      <c r="J27" s="21">
        <v>55</v>
      </c>
      <c r="K27">
        <v>73.260000000000005</v>
      </c>
      <c r="L27" s="21">
        <v>58</v>
      </c>
      <c r="M27" s="21">
        <f xml:space="preserve"> (L27 - K27)/(K27-J27)</f>
        <v>-0.83570646221248635</v>
      </c>
      <c r="N27" s="21">
        <f>K27/L27</f>
        <v>1.2631034482758621</v>
      </c>
      <c r="O27" s="7">
        <v>2.0899999999999998E-2</v>
      </c>
      <c r="P27" s="7">
        <v>2.0899999999999998E-2</v>
      </c>
      <c r="Q27" s="33"/>
      <c r="R27" t="s">
        <v>448</v>
      </c>
      <c r="S27" t="s">
        <v>448</v>
      </c>
      <c r="T27" t="s">
        <v>450</v>
      </c>
    </row>
    <row r="28" spans="2:20">
      <c r="B28" s="33">
        <v>6</v>
      </c>
      <c r="C28" s="60">
        <v>6</v>
      </c>
      <c r="D28" t="s">
        <v>237</v>
      </c>
      <c r="E28" t="s">
        <v>504</v>
      </c>
      <c r="F28" t="s">
        <v>385</v>
      </c>
      <c r="G28" t="s">
        <v>385</v>
      </c>
      <c r="H28" t="s">
        <v>449</v>
      </c>
      <c r="J28">
        <v>62.42</v>
      </c>
      <c r="K28">
        <v>64.489999999999995</v>
      </c>
      <c r="L28">
        <v>66.650000000000006</v>
      </c>
      <c r="M28" s="21">
        <f xml:space="preserve"> (L28 - K28)/(K28-J28)</f>
        <v>1.0434782608695738</v>
      </c>
      <c r="N28" s="21">
        <f>K28/L28</f>
        <v>0.96759189797449341</v>
      </c>
      <c r="O28" s="7">
        <v>3.5999999999999999E-3</v>
      </c>
      <c r="P28" s="7">
        <v>3.5999999999999999E-3</v>
      </c>
      <c r="Q28" s="34"/>
      <c r="R28" t="s">
        <v>448</v>
      </c>
      <c r="S28" t="s">
        <v>448</v>
      </c>
      <c r="T28" t="s">
        <v>452</v>
      </c>
    </row>
    <row r="29" spans="2:20">
      <c r="B29" s="33">
        <v>6</v>
      </c>
      <c r="C29" s="60">
        <v>6</v>
      </c>
      <c r="D29" t="s">
        <v>498</v>
      </c>
      <c r="E29" t="s">
        <v>395</v>
      </c>
      <c r="F29" t="s">
        <v>384</v>
      </c>
      <c r="G29" t="s">
        <v>384</v>
      </c>
      <c r="H29" t="s">
        <v>448</v>
      </c>
      <c r="I29" s="16"/>
      <c r="J29" s="21">
        <v>150</v>
      </c>
      <c r="K29">
        <v>235.61</v>
      </c>
      <c r="L29" s="21">
        <v>180</v>
      </c>
      <c r="M29" s="21">
        <f xml:space="preserve"> (L29 - K29)/(K29-J29)</f>
        <v>-0.64957364793832506</v>
      </c>
      <c r="N29" s="21">
        <f>K29/L29</f>
        <v>1.3089444444444445</v>
      </c>
      <c r="O29" s="7">
        <v>-4.4999999999999997E-3</v>
      </c>
      <c r="P29" s="7">
        <v>-4.4999999999999997E-3</v>
      </c>
      <c r="Q29" s="33"/>
      <c r="R29" t="s">
        <v>448</v>
      </c>
      <c r="S29" t="s">
        <v>448</v>
      </c>
      <c r="T29" t="s">
        <v>450</v>
      </c>
    </row>
    <row r="30" spans="2:20">
      <c r="B30" s="33">
        <v>5</v>
      </c>
      <c r="C30" s="44">
        <v>5</v>
      </c>
      <c r="D30" s="17" t="s">
        <v>924</v>
      </c>
      <c r="E30" t="s">
        <v>414</v>
      </c>
      <c r="F30" t="s">
        <v>380</v>
      </c>
      <c r="G30" t="s">
        <v>380</v>
      </c>
      <c r="H30" t="s">
        <v>448</v>
      </c>
      <c r="J30" s="21"/>
      <c r="K30">
        <v>13.96</v>
      </c>
      <c r="L30" s="21"/>
      <c r="M30" s="21"/>
      <c r="N30" s="21"/>
      <c r="O30" s="7">
        <v>-1.29E-2</v>
      </c>
      <c r="P30" s="7">
        <v>-1.29E-2</v>
      </c>
      <c r="Q30" s="34"/>
      <c r="R30" t="s">
        <v>450</v>
      </c>
      <c r="S30" t="s">
        <v>448</v>
      </c>
      <c r="T30" t="s">
        <v>451</v>
      </c>
    </row>
    <row r="31" spans="2:20">
      <c r="B31" s="33">
        <v>5</v>
      </c>
      <c r="C31" s="44">
        <v>5</v>
      </c>
      <c r="D31" s="17" t="s">
        <v>932</v>
      </c>
      <c r="E31" t="s">
        <v>466</v>
      </c>
      <c r="F31" t="s">
        <v>386</v>
      </c>
      <c r="G31" t="s">
        <v>386</v>
      </c>
      <c r="H31" t="s">
        <v>449</v>
      </c>
      <c r="J31" s="21"/>
      <c r="K31">
        <v>124.34</v>
      </c>
      <c r="L31" s="21"/>
      <c r="M31" s="21"/>
      <c r="N31" s="21"/>
      <c r="O31" s="7">
        <v>2.07E-2</v>
      </c>
      <c r="P31" s="7">
        <v>2.07E-2</v>
      </c>
      <c r="Q31" s="34"/>
      <c r="R31" t="s">
        <v>449</v>
      </c>
      <c r="S31" t="s">
        <v>450</v>
      </c>
      <c r="T31" t="s">
        <v>451</v>
      </c>
    </row>
    <row r="32" spans="2:20">
      <c r="B32" s="33">
        <v>5</v>
      </c>
      <c r="C32" s="44">
        <v>5</v>
      </c>
      <c r="D32" t="s">
        <v>474</v>
      </c>
      <c r="E32" t="s">
        <v>416</v>
      </c>
      <c r="F32" t="s">
        <v>383</v>
      </c>
      <c r="G32" t="s">
        <v>383</v>
      </c>
      <c r="H32" t="s">
        <v>448</v>
      </c>
      <c r="J32" s="21">
        <v>70</v>
      </c>
      <c r="K32">
        <v>114.95</v>
      </c>
      <c r="L32" s="21">
        <v>90</v>
      </c>
      <c r="M32" s="21">
        <f xml:space="preserve"> (L32 - K32)/(K32-J32)</f>
        <v>-0.55506117908787544</v>
      </c>
      <c r="N32" s="21">
        <f>K32/L32</f>
        <v>1.2772222222222223</v>
      </c>
      <c r="O32" s="7">
        <v>2.46E-2</v>
      </c>
      <c r="P32" s="7">
        <v>2.46E-2</v>
      </c>
      <c r="Q32" s="33"/>
      <c r="R32" t="s">
        <v>450</v>
      </c>
      <c r="S32" t="s">
        <v>450</v>
      </c>
      <c r="T32" t="s">
        <v>450</v>
      </c>
    </row>
    <row r="33" spans="2:20">
      <c r="B33" s="33">
        <v>5</v>
      </c>
      <c r="C33" s="44">
        <v>5</v>
      </c>
      <c r="D33" t="s">
        <v>671</v>
      </c>
      <c r="E33" t="s">
        <v>378</v>
      </c>
      <c r="F33" t="s">
        <v>384</v>
      </c>
      <c r="G33" t="s">
        <v>384</v>
      </c>
      <c r="H33" t="s">
        <v>448</v>
      </c>
      <c r="I33" s="17"/>
      <c r="J33" s="24">
        <v>16</v>
      </c>
      <c r="K33">
        <v>24.14</v>
      </c>
      <c r="L33" s="21">
        <v>20</v>
      </c>
      <c r="M33" s="21">
        <f xml:space="preserve"> (L33 - K33)/(K33-J33)</f>
        <v>-0.50859950859950864</v>
      </c>
      <c r="N33" s="21">
        <f>K33/L33</f>
        <v>1.2070000000000001</v>
      </c>
      <c r="O33" s="7">
        <v>-2.1000000000000001E-2</v>
      </c>
      <c r="P33" s="7">
        <v>-2.1000000000000001E-2</v>
      </c>
      <c r="Q33" s="34"/>
      <c r="R33" t="s">
        <v>448</v>
      </c>
      <c r="S33" t="s">
        <v>449</v>
      </c>
      <c r="T33" t="s">
        <v>452</v>
      </c>
    </row>
    <row r="34" spans="2:20">
      <c r="B34" s="33">
        <v>5</v>
      </c>
      <c r="C34" s="44">
        <v>5</v>
      </c>
      <c r="D34" s="17" t="s">
        <v>699</v>
      </c>
      <c r="E34" t="s">
        <v>230</v>
      </c>
      <c r="F34" t="s">
        <v>381</v>
      </c>
      <c r="G34" t="s">
        <v>381</v>
      </c>
      <c r="H34" t="s">
        <v>449</v>
      </c>
      <c r="J34" s="21">
        <v>60</v>
      </c>
      <c r="K34">
        <v>76.63</v>
      </c>
      <c r="L34" s="21">
        <v>90</v>
      </c>
      <c r="M34" s="21">
        <f xml:space="preserve"> (L34 - K34)/(K34-J34)</f>
        <v>0.80396873120865953</v>
      </c>
      <c r="N34" s="21">
        <f>K34/L34</f>
        <v>0.85144444444444445</v>
      </c>
      <c r="O34" s="7">
        <v>3.8999999999999998E-3</v>
      </c>
      <c r="P34" s="7">
        <v>3.8999999999999998E-3</v>
      </c>
      <c r="Q34" s="34"/>
      <c r="R34" t="s">
        <v>448</v>
      </c>
      <c r="S34" t="s">
        <v>448</v>
      </c>
      <c r="T34" t="s">
        <v>450</v>
      </c>
    </row>
    <row r="35" spans="2:20">
      <c r="B35" s="33">
        <v>5</v>
      </c>
      <c r="C35" s="44">
        <v>5</v>
      </c>
      <c r="D35" s="17" t="s">
        <v>945</v>
      </c>
      <c r="F35" t="s">
        <v>381</v>
      </c>
      <c r="G35" t="s">
        <v>381</v>
      </c>
      <c r="H35" t="s">
        <v>448</v>
      </c>
      <c r="J35" s="21"/>
      <c r="K35"/>
      <c r="L35" s="21"/>
      <c r="M35" s="21"/>
      <c r="N35" s="21"/>
      <c r="O35" s="7"/>
      <c r="P35" s="7"/>
      <c r="Q35" s="34"/>
    </row>
    <row r="36" spans="2:20">
      <c r="B36" s="33">
        <v>5</v>
      </c>
      <c r="C36" s="44">
        <v>5</v>
      </c>
      <c r="D36" t="s">
        <v>874</v>
      </c>
      <c r="E36" t="s">
        <v>390</v>
      </c>
      <c r="F36" t="s">
        <v>383</v>
      </c>
      <c r="G36" t="s">
        <v>383</v>
      </c>
      <c r="H36" t="s">
        <v>448</v>
      </c>
      <c r="I36" s="17"/>
      <c r="J36" s="24">
        <v>9</v>
      </c>
      <c r="K36">
        <v>14.05</v>
      </c>
      <c r="L36" s="24">
        <v>12</v>
      </c>
      <c r="M36" s="21">
        <f xml:space="preserve"> (L36 - K36)/(K36-J36)</f>
        <v>-0.40594059405940602</v>
      </c>
      <c r="N36" s="21">
        <f>K36/L36</f>
        <v>1.1708333333333334</v>
      </c>
      <c r="O36" s="7">
        <v>-2.29E-2</v>
      </c>
      <c r="P36" s="7">
        <v>-2.29E-2</v>
      </c>
      <c r="Q36" s="34"/>
      <c r="R36" t="s">
        <v>448</v>
      </c>
      <c r="S36" t="s">
        <v>448</v>
      </c>
      <c r="T36" t="s">
        <v>450</v>
      </c>
    </row>
    <row r="37" spans="2:20">
      <c r="B37" s="33">
        <v>5</v>
      </c>
      <c r="C37" s="44">
        <v>5</v>
      </c>
      <c r="D37" t="s">
        <v>587</v>
      </c>
      <c r="E37" t="s">
        <v>390</v>
      </c>
      <c r="F37" t="s">
        <v>383</v>
      </c>
      <c r="G37" t="s">
        <v>383</v>
      </c>
      <c r="H37" t="s">
        <v>448</v>
      </c>
      <c r="I37" s="17"/>
      <c r="J37" s="24">
        <v>35</v>
      </c>
      <c r="K37">
        <v>52.1</v>
      </c>
      <c r="L37" s="21">
        <v>43</v>
      </c>
      <c r="M37" s="21">
        <f xml:space="preserve"> (L37 - K37)/(K37-J37)</f>
        <v>-0.53216374269005851</v>
      </c>
      <c r="N37" s="21">
        <f>K37/L37</f>
        <v>1.2116279069767442</v>
      </c>
      <c r="O37" s="7">
        <v>1.29E-2</v>
      </c>
      <c r="P37" s="7">
        <v>1.29E-2</v>
      </c>
      <c r="Q37" s="62" t="s">
        <v>588</v>
      </c>
      <c r="R37" t="s">
        <v>448</v>
      </c>
      <c r="S37" t="s">
        <v>448</v>
      </c>
      <c r="T37" t="s">
        <v>600</v>
      </c>
    </row>
    <row r="38" spans="2:20">
      <c r="B38" s="33">
        <v>5</v>
      </c>
      <c r="C38" s="44">
        <v>5</v>
      </c>
      <c r="D38" t="s">
        <v>521</v>
      </c>
      <c r="E38" t="s">
        <v>513</v>
      </c>
      <c r="F38" t="s">
        <v>381</v>
      </c>
      <c r="G38" t="s">
        <v>381</v>
      </c>
      <c r="H38" t="s">
        <v>448</v>
      </c>
      <c r="I38" s="17"/>
      <c r="J38" s="24">
        <v>185</v>
      </c>
      <c r="K38">
        <v>300.98</v>
      </c>
      <c r="L38" s="21">
        <v>200</v>
      </c>
      <c r="M38" s="21">
        <f xml:space="preserve"> (L38 - K38)/(K38-J38)</f>
        <v>-0.87066735644076565</v>
      </c>
      <c r="N38" s="21">
        <f>K38/L38</f>
        <v>1.5049000000000001</v>
      </c>
      <c r="O38" s="7">
        <v>-1.06E-2</v>
      </c>
      <c r="P38" s="7">
        <v>-1.06E-2</v>
      </c>
      <c r="Q38" s="33"/>
      <c r="R38" t="s">
        <v>450</v>
      </c>
      <c r="S38" t="s">
        <v>449</v>
      </c>
      <c r="T38" t="s">
        <v>451</v>
      </c>
    </row>
    <row r="39" spans="2:20">
      <c r="B39" s="33">
        <v>4</v>
      </c>
      <c r="C39" s="33"/>
      <c r="D39" t="s">
        <v>830</v>
      </c>
      <c r="E39" t="s">
        <v>166</v>
      </c>
      <c r="F39" t="s">
        <v>381</v>
      </c>
      <c r="G39" t="s">
        <v>381</v>
      </c>
      <c r="H39" t="s">
        <v>448</v>
      </c>
      <c r="J39" s="21">
        <v>230</v>
      </c>
      <c r="K39">
        <v>203.67</v>
      </c>
      <c r="L39" s="21">
        <v>440</v>
      </c>
      <c r="M39" s="21">
        <f xml:space="preserve"> (L39 - K39)/(K39-J39)</f>
        <v>-8.9756931257121124</v>
      </c>
      <c r="N39" s="21">
        <f>K39/L39</f>
        <v>0.4628863636363636</v>
      </c>
      <c r="O39" s="7">
        <v>-3.4799999999999998E-2</v>
      </c>
      <c r="P39" s="7">
        <v>-3.4799999999999998E-2</v>
      </c>
      <c r="Q39" s="33"/>
      <c r="R39" t="s">
        <v>450</v>
      </c>
      <c r="S39" t="s">
        <v>449</v>
      </c>
      <c r="T39" t="s">
        <v>452</v>
      </c>
    </row>
    <row r="40" spans="2:20">
      <c r="B40" s="33">
        <v>4</v>
      </c>
      <c r="C40" s="33"/>
      <c r="D40" s="17" t="s">
        <v>929</v>
      </c>
      <c r="E40" t="s">
        <v>578</v>
      </c>
      <c r="F40" t="s">
        <v>383</v>
      </c>
      <c r="G40" t="s">
        <v>383</v>
      </c>
      <c r="H40" t="s">
        <v>448</v>
      </c>
      <c r="J40" s="21"/>
      <c r="K40">
        <v>52.19</v>
      </c>
      <c r="L40" s="21"/>
      <c r="M40" s="21"/>
      <c r="N40" s="21"/>
      <c r="O40" s="7">
        <v>0.18870000000000001</v>
      </c>
      <c r="P40" s="7">
        <v>0.18870000000000001</v>
      </c>
      <c r="Q40" s="33"/>
      <c r="R40" t="s">
        <v>448</v>
      </c>
      <c r="S40" t="s">
        <v>450</v>
      </c>
      <c r="T40" t="s">
        <v>452</v>
      </c>
    </row>
    <row r="41" spans="2:20">
      <c r="B41" s="33">
        <v>4</v>
      </c>
      <c r="C41" s="33"/>
      <c r="D41" s="17" t="s">
        <v>923</v>
      </c>
      <c r="E41" t="s">
        <v>416</v>
      </c>
      <c r="F41" t="s">
        <v>384</v>
      </c>
      <c r="G41" t="s">
        <v>384</v>
      </c>
      <c r="H41" t="s">
        <v>448</v>
      </c>
      <c r="J41" s="21"/>
      <c r="K41">
        <v>77.81</v>
      </c>
      <c r="L41" s="21"/>
      <c r="M41" s="21"/>
      <c r="N41" s="21"/>
      <c r="O41" s="7">
        <v>1.6799999999999999E-2</v>
      </c>
      <c r="P41" s="7">
        <v>1.6799999999999999E-2</v>
      </c>
      <c r="Q41" s="34"/>
      <c r="R41" t="s">
        <v>449</v>
      </c>
      <c r="S41" t="s">
        <v>449</v>
      </c>
      <c r="T41" t="s">
        <v>451</v>
      </c>
    </row>
    <row r="42" spans="2:20">
      <c r="B42" s="33">
        <v>4</v>
      </c>
      <c r="C42" s="33"/>
      <c r="D42" t="s">
        <v>677</v>
      </c>
      <c r="E42" t="s">
        <v>724</v>
      </c>
      <c r="F42"/>
      <c r="G42"/>
      <c r="H42" t="s">
        <v>448</v>
      </c>
      <c r="J42" s="21">
        <v>30</v>
      </c>
      <c r="K42">
        <v>18.149999999999999</v>
      </c>
      <c r="L42" s="21">
        <v>100</v>
      </c>
      <c r="M42" s="21">
        <f xml:space="preserve"> (L42 - K42)/(K42-J42)</f>
        <v>-6.9071729957805896</v>
      </c>
      <c r="N42" s="21">
        <f>K42/L42</f>
        <v>0.18149999999999999</v>
      </c>
      <c r="O42" s="7">
        <v>-2.0999999999999999E-3</v>
      </c>
      <c r="P42" s="7">
        <v>-2.0999999999999999E-3</v>
      </c>
      <c r="Q42" s="33" t="s">
        <v>678</v>
      </c>
      <c r="R42" t="s">
        <v>450</v>
      </c>
      <c r="S42" t="s">
        <v>448</v>
      </c>
      <c r="T42" t="s">
        <v>600</v>
      </c>
    </row>
    <row r="43" spans="2:20">
      <c r="B43" s="33">
        <v>4</v>
      </c>
      <c r="C43" s="33"/>
      <c r="D43" t="s">
        <v>931</v>
      </c>
      <c r="E43" t="s">
        <v>407</v>
      </c>
      <c r="F43" t="s">
        <v>386</v>
      </c>
      <c r="G43" t="s">
        <v>386</v>
      </c>
      <c r="H43" t="s">
        <v>449</v>
      </c>
      <c r="J43" s="21"/>
      <c r="K43">
        <v>190.1</v>
      </c>
      <c r="L43" s="21"/>
      <c r="M43" s="21"/>
      <c r="N43" s="21"/>
      <c r="O43" s="7">
        <v>9.7000000000000003E-3</v>
      </c>
      <c r="P43" s="7">
        <v>9.7000000000000003E-3</v>
      </c>
      <c r="Q43" s="33"/>
      <c r="R43" t="s">
        <v>449</v>
      </c>
      <c r="S43" t="s">
        <v>449</v>
      </c>
      <c r="T43" t="s">
        <v>450</v>
      </c>
    </row>
    <row r="44" spans="2:20">
      <c r="B44" s="33">
        <v>4</v>
      </c>
      <c r="C44" s="33"/>
      <c r="D44" t="s">
        <v>935</v>
      </c>
      <c r="E44" t="s">
        <v>412</v>
      </c>
      <c r="F44" t="s">
        <v>387</v>
      </c>
      <c r="G44" t="s">
        <v>387</v>
      </c>
      <c r="H44" t="s">
        <v>449</v>
      </c>
      <c r="J44" s="21"/>
      <c r="K44">
        <v>69.5</v>
      </c>
      <c r="L44" s="21"/>
      <c r="M44" s="21"/>
      <c r="N44" s="21"/>
      <c r="O44" s="7">
        <v>8.2000000000000007E-3</v>
      </c>
      <c r="P44" s="7">
        <v>8.2000000000000007E-3</v>
      </c>
      <c r="Q44" s="33"/>
      <c r="R44" t="s">
        <v>449</v>
      </c>
      <c r="S44" t="s">
        <v>449</v>
      </c>
      <c r="T44" t="s">
        <v>451</v>
      </c>
    </row>
    <row r="45" spans="2:20">
      <c r="B45" s="33">
        <v>4</v>
      </c>
      <c r="C45" s="33"/>
      <c r="D45" t="s">
        <v>620</v>
      </c>
      <c r="E45" t="s">
        <v>412</v>
      </c>
      <c r="F45" t="s">
        <v>381</v>
      </c>
      <c r="G45" t="s">
        <v>381</v>
      </c>
      <c r="H45" t="s">
        <v>449</v>
      </c>
      <c r="J45" s="21">
        <v>220</v>
      </c>
      <c r="K45">
        <v>173.08</v>
      </c>
      <c r="L45" s="21">
        <v>240</v>
      </c>
      <c r="M45" s="21">
        <f xml:space="preserve"> (L45 - K45)/(K45-J45)</f>
        <v>-1.4262574595055415</v>
      </c>
      <c r="N45" s="21">
        <f>K45/L45</f>
        <v>0.72116666666666673</v>
      </c>
      <c r="O45" s="7">
        <v>1.5800000000000002E-2</v>
      </c>
      <c r="P45" s="7">
        <v>1.5800000000000002E-2</v>
      </c>
      <c r="Q45" s="33"/>
      <c r="R45" t="s">
        <v>448</v>
      </c>
      <c r="S45" t="s">
        <v>450</v>
      </c>
      <c r="T45" t="s">
        <v>452</v>
      </c>
    </row>
    <row r="46" spans="2:20">
      <c r="B46" s="33">
        <v>4</v>
      </c>
      <c r="C46" s="33"/>
      <c r="D46" t="s">
        <v>441</v>
      </c>
      <c r="E46" t="s">
        <v>156</v>
      </c>
      <c r="F46" t="s">
        <v>384</v>
      </c>
      <c r="G46" t="s">
        <v>384</v>
      </c>
      <c r="H46" t="s">
        <v>449</v>
      </c>
      <c r="J46" s="21">
        <v>330</v>
      </c>
      <c r="K46">
        <v>199.86</v>
      </c>
      <c r="L46" s="21">
        <v>380</v>
      </c>
      <c r="M46" s="21">
        <f xml:space="preserve"> (L46 - K46)/(K46-J46)</f>
        <v>-1.3842016290149071</v>
      </c>
      <c r="N46" s="21">
        <f>K46/L46</f>
        <v>0.52594736842105272</v>
      </c>
      <c r="O46" s="7">
        <v>9.7999999999999997E-3</v>
      </c>
      <c r="P46" s="7">
        <v>9.7999999999999997E-3</v>
      </c>
      <c r="Q46" s="33"/>
      <c r="R46" t="s">
        <v>449</v>
      </c>
      <c r="S46" t="s">
        <v>449</v>
      </c>
      <c r="T46" t="s">
        <v>600</v>
      </c>
    </row>
    <row r="47" spans="2:20">
      <c r="B47" s="33">
        <v>4</v>
      </c>
      <c r="C47" s="33"/>
      <c r="D47" t="s">
        <v>871</v>
      </c>
      <c r="E47" t="s">
        <v>379</v>
      </c>
      <c r="F47" t="s">
        <v>381</v>
      </c>
      <c r="G47" t="s">
        <v>381</v>
      </c>
      <c r="H47" t="s">
        <v>449</v>
      </c>
      <c r="J47" s="21">
        <v>15</v>
      </c>
      <c r="K47">
        <v>17.32</v>
      </c>
      <c r="L47" s="21">
        <v>20</v>
      </c>
      <c r="M47" s="21">
        <f xml:space="preserve"> (L47 - K47)/(K47-J47)</f>
        <v>1.1551724137931032</v>
      </c>
      <c r="N47" s="21">
        <f>K47/L47</f>
        <v>0.86599999999999999</v>
      </c>
      <c r="O47" s="7">
        <v>3.4200000000000001E-2</v>
      </c>
      <c r="P47" s="7">
        <v>3.4200000000000001E-2</v>
      </c>
      <c r="Q47" s="34" t="s">
        <v>872</v>
      </c>
      <c r="R47" t="s">
        <v>448</v>
      </c>
      <c r="S47" t="s">
        <v>450</v>
      </c>
      <c r="T47" t="s">
        <v>452</v>
      </c>
    </row>
    <row r="48" spans="2:20">
      <c r="B48" s="33">
        <v>4</v>
      </c>
      <c r="C48" s="33"/>
      <c r="D48" t="s">
        <v>611</v>
      </c>
      <c r="E48" t="s">
        <v>378</v>
      </c>
      <c r="F48" t="s">
        <v>381</v>
      </c>
      <c r="G48" t="s">
        <v>380</v>
      </c>
      <c r="H48" t="s">
        <v>448</v>
      </c>
      <c r="I48" s="17"/>
      <c r="J48" s="24">
        <v>100</v>
      </c>
      <c r="K48">
        <v>128.49</v>
      </c>
      <c r="L48" s="21">
        <v>170</v>
      </c>
      <c r="M48" s="21">
        <f xml:space="preserve"> (L48 - K48)/(K48-J48)</f>
        <v>1.4570024570024562</v>
      </c>
      <c r="N48" s="21">
        <f>K48/L48</f>
        <v>0.75582352941176478</v>
      </c>
      <c r="O48" s="7">
        <v>4.65E-2</v>
      </c>
      <c r="P48" s="7">
        <v>4.65E-2</v>
      </c>
      <c r="Q48" s="33"/>
      <c r="R48" t="s">
        <v>449</v>
      </c>
      <c r="S48" t="s">
        <v>449</v>
      </c>
      <c r="T48" t="s">
        <v>600</v>
      </c>
    </row>
    <row r="49" spans="2:20">
      <c r="B49" s="33">
        <v>4</v>
      </c>
      <c r="C49" s="33"/>
      <c r="D49" t="s">
        <v>597</v>
      </c>
      <c r="E49" t="s">
        <v>135</v>
      </c>
      <c r="F49" t="s">
        <v>383</v>
      </c>
      <c r="G49" t="s">
        <v>383</v>
      </c>
      <c r="H49" t="s">
        <v>448</v>
      </c>
      <c r="J49" s="21">
        <v>160</v>
      </c>
      <c r="K49">
        <v>357.31</v>
      </c>
      <c r="L49" s="21">
        <v>220</v>
      </c>
      <c r="M49" s="21">
        <f xml:space="preserve"> (L49 - K49)/(K49-J49)</f>
        <v>-0.69590998935684967</v>
      </c>
      <c r="N49" s="21">
        <f>K49/L49</f>
        <v>1.6241363636363637</v>
      </c>
      <c r="O49" s="7">
        <v>8.0799999999999997E-2</v>
      </c>
      <c r="P49" s="7">
        <v>8.0799999999999997E-2</v>
      </c>
      <c r="Q49" s="34"/>
      <c r="R49" t="s">
        <v>448</v>
      </c>
      <c r="S49" t="s">
        <v>450</v>
      </c>
      <c r="T49" t="s">
        <v>450</v>
      </c>
    </row>
    <row r="50" spans="2:20">
      <c r="B50" s="33">
        <v>4</v>
      </c>
      <c r="C50" s="33"/>
      <c r="D50" t="s">
        <v>488</v>
      </c>
      <c r="E50" t="s">
        <v>399</v>
      </c>
      <c r="F50" t="s">
        <v>384</v>
      </c>
      <c r="G50" t="s">
        <v>384</v>
      </c>
      <c r="H50" t="s">
        <v>448</v>
      </c>
      <c r="J50" s="21">
        <v>400</v>
      </c>
      <c r="K50">
        <v>627.65</v>
      </c>
      <c r="L50" s="21">
        <v>600</v>
      </c>
      <c r="M50" s="21">
        <f xml:space="preserve"> (L50 - K50)/(K50-J50)</f>
        <v>-0.12145837909070933</v>
      </c>
      <c r="N50" s="21">
        <f>K50/L50</f>
        <v>1.0460833333333333</v>
      </c>
      <c r="O50" s="7">
        <v>2.3800000000000002E-2</v>
      </c>
      <c r="P50" s="7">
        <v>2.3800000000000002E-2</v>
      </c>
      <c r="Q50" s="33"/>
      <c r="R50" t="s">
        <v>448</v>
      </c>
      <c r="S50" t="s">
        <v>448</v>
      </c>
      <c r="T50" t="s">
        <v>450</v>
      </c>
    </row>
    <row r="51" spans="2:20">
      <c r="B51" s="33">
        <v>4</v>
      </c>
      <c r="C51" s="33"/>
      <c r="D51" t="s">
        <v>844</v>
      </c>
      <c r="E51" t="s">
        <v>230</v>
      </c>
      <c r="F51" t="s">
        <v>380</v>
      </c>
      <c r="G51" t="s">
        <v>380</v>
      </c>
      <c r="H51" t="s">
        <v>449</v>
      </c>
      <c r="J51" s="21">
        <v>150</v>
      </c>
      <c r="K51">
        <v>150.75</v>
      </c>
      <c r="L51" s="21">
        <v>200</v>
      </c>
      <c r="M51" s="21">
        <f xml:space="preserve"> (L51 - K51)/(K51-J51)</f>
        <v>65.666666666666671</v>
      </c>
      <c r="N51" s="21">
        <f>K51/L51</f>
        <v>0.75375000000000003</v>
      </c>
      <c r="O51" s="7">
        <v>1.77E-2</v>
      </c>
      <c r="P51" s="7">
        <v>1.77E-2</v>
      </c>
      <c r="Q51" s="33"/>
      <c r="R51" t="s">
        <v>449</v>
      </c>
      <c r="S51" t="s">
        <v>449</v>
      </c>
      <c r="T51" t="s">
        <v>450</v>
      </c>
    </row>
    <row r="52" spans="2:20">
      <c r="B52" s="33">
        <v>4</v>
      </c>
      <c r="C52" s="33"/>
      <c r="D52" t="s">
        <v>788</v>
      </c>
      <c r="E52" t="s">
        <v>455</v>
      </c>
      <c r="F52" t="s">
        <v>387</v>
      </c>
      <c r="G52" t="s">
        <v>387</v>
      </c>
      <c r="H52" t="s">
        <v>449</v>
      </c>
      <c r="J52" s="21">
        <v>118</v>
      </c>
      <c r="K52">
        <v>90.55</v>
      </c>
      <c r="L52" s="21">
        <v>180</v>
      </c>
      <c r="M52" s="21">
        <f xml:space="preserve"> (L52 - K52)/(K52-J52)</f>
        <v>-3.258652094717668</v>
      </c>
      <c r="N52" s="21">
        <f>K52/L52</f>
        <v>0.50305555555555559</v>
      </c>
      <c r="O52" s="7">
        <v>1.2E-2</v>
      </c>
      <c r="P52" s="7">
        <v>1.2E-2</v>
      </c>
      <c r="Q52" s="33"/>
      <c r="R52" t="s">
        <v>448</v>
      </c>
      <c r="S52" t="s">
        <v>449</v>
      </c>
      <c r="T52" t="s">
        <v>452</v>
      </c>
    </row>
    <row r="53" spans="2:20">
      <c r="B53" s="33">
        <v>4</v>
      </c>
      <c r="C53" s="33"/>
      <c r="D53" t="s">
        <v>710</v>
      </c>
      <c r="E53" t="s">
        <v>135</v>
      </c>
      <c r="F53" t="s">
        <v>383</v>
      </c>
      <c r="G53" t="s">
        <v>383</v>
      </c>
      <c r="H53" t="s">
        <v>448</v>
      </c>
      <c r="J53" s="21">
        <v>670</v>
      </c>
      <c r="K53">
        <v>1317.24</v>
      </c>
      <c r="L53" s="21">
        <v>1000</v>
      </c>
      <c r="M53" s="21">
        <f xml:space="preserve"> (L53 - K53)/(K53-J53)</f>
        <v>-0.49014276002719237</v>
      </c>
      <c r="N53" s="21">
        <f>K53/L53</f>
        <v>1.31724</v>
      </c>
      <c r="O53" s="7">
        <v>-2.0000000000000001E-4</v>
      </c>
      <c r="P53" s="7">
        <v>-2.0000000000000001E-4</v>
      </c>
      <c r="Q53" s="33"/>
      <c r="R53" t="s">
        <v>448</v>
      </c>
      <c r="S53" t="s">
        <v>450</v>
      </c>
      <c r="T53" t="s">
        <v>450</v>
      </c>
    </row>
    <row r="54" spans="2:20">
      <c r="B54" s="33">
        <v>4</v>
      </c>
      <c r="C54" s="33"/>
      <c r="D54" t="s">
        <v>894</v>
      </c>
      <c r="E54" t="s">
        <v>135</v>
      </c>
      <c r="F54" t="s">
        <v>380</v>
      </c>
      <c r="G54" t="s">
        <v>380</v>
      </c>
      <c r="H54" t="s">
        <v>448</v>
      </c>
      <c r="J54" s="21">
        <v>62</v>
      </c>
      <c r="K54">
        <v>165.92</v>
      </c>
      <c r="L54" s="21">
        <v>100</v>
      </c>
      <c r="M54" s="21">
        <f xml:space="preserve"> (L54 - K54)/(K54-J54)</f>
        <v>-0.63433410315627403</v>
      </c>
      <c r="N54" s="21">
        <f>K54/L54</f>
        <v>1.6591999999999998</v>
      </c>
      <c r="O54" s="7">
        <v>4.2599999999999999E-2</v>
      </c>
      <c r="P54" s="7">
        <v>4.2599999999999999E-2</v>
      </c>
      <c r="Q54" s="33"/>
      <c r="R54" t="s">
        <v>448</v>
      </c>
      <c r="S54" t="s">
        <v>449</v>
      </c>
      <c r="T54" t="s">
        <v>450</v>
      </c>
    </row>
    <row r="55" spans="2:20">
      <c r="B55" s="33">
        <v>4</v>
      </c>
      <c r="C55" s="33"/>
      <c r="D55" t="s">
        <v>92</v>
      </c>
      <c r="E55" t="s">
        <v>135</v>
      </c>
      <c r="F55" t="s">
        <v>383</v>
      </c>
      <c r="G55" t="s">
        <v>383</v>
      </c>
      <c r="H55" t="s">
        <v>448</v>
      </c>
      <c r="J55" s="21">
        <v>120</v>
      </c>
      <c r="K55">
        <v>423</v>
      </c>
      <c r="L55" s="21">
        <v>160</v>
      </c>
      <c r="M55" s="21">
        <f xml:space="preserve"> (L55 - K55)/(K55-J55)</f>
        <v>-0.86798679867986794</v>
      </c>
      <c r="N55" s="21">
        <f>K55/L55</f>
        <v>2.6437499999999998</v>
      </c>
      <c r="O55" s="7">
        <v>-5.5999999999999999E-3</v>
      </c>
      <c r="P55" s="7">
        <v>-5.5999999999999999E-3</v>
      </c>
      <c r="Q55" s="34"/>
      <c r="R55" t="s">
        <v>448</v>
      </c>
      <c r="S55" t="s">
        <v>448</v>
      </c>
      <c r="T55" t="s">
        <v>600</v>
      </c>
    </row>
    <row r="56" spans="2:20">
      <c r="B56" s="33">
        <v>4</v>
      </c>
      <c r="C56" s="33"/>
      <c r="D56" t="s">
        <v>43</v>
      </c>
      <c r="E56" t="s">
        <v>388</v>
      </c>
      <c r="F56" t="s">
        <v>383</v>
      </c>
      <c r="G56" t="s">
        <v>383</v>
      </c>
      <c r="H56" t="s">
        <v>448</v>
      </c>
      <c r="J56" s="21">
        <v>24.32</v>
      </c>
      <c r="K56">
        <v>33.97</v>
      </c>
      <c r="L56" s="21">
        <v>28.28</v>
      </c>
      <c r="M56" s="21">
        <f xml:space="preserve"> (L56 - K56)/(K56-J56)</f>
        <v>-0.5896373056994817</v>
      </c>
      <c r="N56" s="21">
        <f>K56/L56</f>
        <v>1.2012022630834511</v>
      </c>
      <c r="O56" s="7">
        <v>1.9199999999999998E-2</v>
      </c>
      <c r="P56" s="7">
        <v>1.9199999999999998E-2</v>
      </c>
      <c r="Q56" s="33" t="s">
        <v>97</v>
      </c>
      <c r="R56" t="s">
        <v>448</v>
      </c>
      <c r="S56" t="s">
        <v>450</v>
      </c>
      <c r="T56" t="s">
        <v>452</v>
      </c>
    </row>
    <row r="57" spans="2:20">
      <c r="B57" s="33">
        <v>4</v>
      </c>
      <c r="C57" s="33"/>
      <c r="D57" t="s">
        <v>850</v>
      </c>
      <c r="E57" t="s">
        <v>388</v>
      </c>
      <c r="F57" t="s">
        <v>383</v>
      </c>
      <c r="G57" t="s">
        <v>383</v>
      </c>
      <c r="H57" t="s">
        <v>448</v>
      </c>
      <c r="I57" s="17"/>
      <c r="J57" s="24">
        <v>26</v>
      </c>
      <c r="K57">
        <v>44.79</v>
      </c>
      <c r="L57" s="21">
        <v>40</v>
      </c>
      <c r="M57" s="21">
        <f xml:space="preserve"> (L57 - K57)/(K57-J57)</f>
        <v>-0.25492283129324106</v>
      </c>
      <c r="N57" s="21">
        <f>K57/L57</f>
        <v>1.11975</v>
      </c>
      <c r="O57" s="7">
        <v>1.26E-2</v>
      </c>
      <c r="P57" s="7">
        <v>1.26E-2</v>
      </c>
      <c r="Q57" s="34" t="s">
        <v>851</v>
      </c>
      <c r="R57" t="s">
        <v>448</v>
      </c>
      <c r="S57" t="s">
        <v>448</v>
      </c>
      <c r="T57" t="s">
        <v>450</v>
      </c>
    </row>
    <row r="58" spans="2:20">
      <c r="B58" s="33">
        <v>4</v>
      </c>
      <c r="C58" s="33"/>
      <c r="D58" s="13" t="s">
        <v>184</v>
      </c>
      <c r="E58" t="s">
        <v>828</v>
      </c>
      <c r="F58" t="s">
        <v>381</v>
      </c>
      <c r="G58" t="s">
        <v>381</v>
      </c>
      <c r="H58" t="s">
        <v>448</v>
      </c>
      <c r="J58" s="21">
        <v>10</v>
      </c>
      <c r="K58">
        <v>14.09</v>
      </c>
      <c r="L58" s="21">
        <v>15</v>
      </c>
      <c r="M58" s="21">
        <f xml:space="preserve"> (L58 - K58)/(K58-J58)</f>
        <v>0.2224938875305624</v>
      </c>
      <c r="N58" s="21">
        <f>K58/L58</f>
        <v>0.93933333333333335</v>
      </c>
      <c r="O58" s="7">
        <v>4.8999999999999998E-3</v>
      </c>
      <c r="P58" s="7">
        <v>4.8999999999999998E-3</v>
      </c>
      <c r="Q58" s="34"/>
      <c r="R58" t="s">
        <v>448</v>
      </c>
      <c r="S58" t="s">
        <v>450</v>
      </c>
      <c r="T58" t="s">
        <v>452</v>
      </c>
    </row>
    <row r="59" spans="2:20">
      <c r="B59" s="33">
        <v>4</v>
      </c>
      <c r="C59" s="33"/>
      <c r="D59" t="s">
        <v>306</v>
      </c>
      <c r="E59" t="s">
        <v>388</v>
      </c>
      <c r="F59" t="s">
        <v>381</v>
      </c>
      <c r="G59" t="s">
        <v>384</v>
      </c>
      <c r="H59" t="s">
        <v>448</v>
      </c>
      <c r="J59" s="24">
        <v>155</v>
      </c>
      <c r="K59">
        <v>201.76</v>
      </c>
      <c r="L59" s="21">
        <v>180</v>
      </c>
      <c r="M59" s="21">
        <f xml:space="preserve"> (L59 - K59)/(K59-J59)</f>
        <v>-0.46535500427715987</v>
      </c>
      <c r="N59" s="21">
        <f>K59/L59</f>
        <v>1.1208888888888888</v>
      </c>
      <c r="O59" s="7">
        <v>7.3000000000000001E-3</v>
      </c>
      <c r="P59" s="7">
        <v>7.3000000000000001E-3</v>
      </c>
      <c r="Q59" s="33" t="s">
        <v>307</v>
      </c>
      <c r="R59" t="s">
        <v>448</v>
      </c>
      <c r="S59" t="s">
        <v>450</v>
      </c>
      <c r="T59" t="s">
        <v>450</v>
      </c>
    </row>
    <row r="60" spans="2:20">
      <c r="B60" s="33">
        <v>4</v>
      </c>
      <c r="C60" s="33"/>
      <c r="D60" t="s">
        <v>25</v>
      </c>
      <c r="E60" t="s">
        <v>419</v>
      </c>
      <c r="F60" t="s">
        <v>383</v>
      </c>
      <c r="G60" t="s">
        <v>383</v>
      </c>
      <c r="H60" t="s">
        <v>448</v>
      </c>
      <c r="I60" s="139"/>
      <c r="J60" s="21">
        <v>88</v>
      </c>
      <c r="K60">
        <v>59.35</v>
      </c>
      <c r="L60" s="21">
        <v>100</v>
      </c>
      <c r="M60" s="21">
        <f xml:space="preserve"> (L60 - K60)/(K60-J60)</f>
        <v>-1.418848167539267</v>
      </c>
      <c r="N60" s="21">
        <f>K60/L60</f>
        <v>0.59350000000000003</v>
      </c>
      <c r="O60" s="7">
        <v>6.7000000000000002E-3</v>
      </c>
      <c r="P60" s="7">
        <v>6.7000000000000002E-3</v>
      </c>
      <c r="Q60" s="140" t="s">
        <v>110</v>
      </c>
      <c r="R60" t="s">
        <v>448</v>
      </c>
      <c r="S60" t="s">
        <v>450</v>
      </c>
      <c r="T60" t="s">
        <v>452</v>
      </c>
    </row>
    <row r="61" spans="2:20" ht="13.5" customHeight="1">
      <c r="B61" s="33">
        <v>4</v>
      </c>
      <c r="C61" s="33"/>
      <c r="D61" t="s">
        <v>586</v>
      </c>
      <c r="E61" t="s">
        <v>414</v>
      </c>
      <c r="F61" t="s">
        <v>381</v>
      </c>
      <c r="G61" t="s">
        <v>381</v>
      </c>
      <c r="H61" t="s">
        <v>448</v>
      </c>
      <c r="I61" s="133"/>
      <c r="J61" s="24">
        <v>47.5</v>
      </c>
      <c r="K61">
        <v>51.24</v>
      </c>
      <c r="L61" s="21">
        <v>55</v>
      </c>
      <c r="M61" s="21">
        <f xml:space="preserve"> (L61 - K61)/(K61-J61)</f>
        <v>1.0053475935828866</v>
      </c>
      <c r="N61" s="21">
        <f>K61/L61</f>
        <v>0.93163636363636371</v>
      </c>
      <c r="O61" s="7">
        <v>-2.3999999999999998E-3</v>
      </c>
      <c r="P61" s="7">
        <v>-2.3999999999999998E-3</v>
      </c>
      <c r="Q61" s="34" t="s">
        <v>829</v>
      </c>
      <c r="R61" t="s">
        <v>448</v>
      </c>
      <c r="S61" t="s">
        <v>448</v>
      </c>
      <c r="T61" t="s">
        <v>450</v>
      </c>
    </row>
    <row r="62" spans="2:20" ht="15" customHeight="1">
      <c r="B62" s="33">
        <v>4</v>
      </c>
      <c r="C62" s="32">
        <v>14</v>
      </c>
      <c r="D62" t="s">
        <v>82</v>
      </c>
      <c r="E62" t="s">
        <v>413</v>
      </c>
      <c r="F62" t="s">
        <v>385</v>
      </c>
      <c r="G62" t="s">
        <v>385</v>
      </c>
      <c r="H62" t="s">
        <v>449</v>
      </c>
      <c r="J62" s="21">
        <v>140</v>
      </c>
      <c r="K62">
        <v>145.33000000000001</v>
      </c>
      <c r="L62" s="21">
        <v>150</v>
      </c>
      <c r="M62" s="21">
        <f xml:space="preserve"> (L62 - K62)/(K62-J62)</f>
        <v>0.87617260787992057</v>
      </c>
      <c r="N62" s="21">
        <f>K62/L62</f>
        <v>0.96886666666666676</v>
      </c>
      <c r="O62" s="7">
        <v>1.0699999999999999E-2</v>
      </c>
      <c r="P62" s="7">
        <v>1.0699999999999999E-2</v>
      </c>
      <c r="Q62" s="34" t="s">
        <v>734</v>
      </c>
      <c r="R62" t="s">
        <v>448</v>
      </c>
      <c r="S62" t="s">
        <v>449</v>
      </c>
      <c r="T62" t="s">
        <v>450</v>
      </c>
    </row>
    <row r="63" spans="2:20" ht="15" customHeight="1">
      <c r="B63" s="33">
        <v>4</v>
      </c>
      <c r="C63" s="33"/>
      <c r="D63" t="s">
        <v>618</v>
      </c>
      <c r="E63" t="s">
        <v>416</v>
      </c>
      <c r="F63" t="s">
        <v>380</v>
      </c>
      <c r="G63" t="s">
        <v>380</v>
      </c>
      <c r="H63" t="s">
        <v>448</v>
      </c>
      <c r="J63" s="21">
        <v>500</v>
      </c>
      <c r="K63">
        <v>552.64</v>
      </c>
      <c r="L63" s="21">
        <v>610</v>
      </c>
      <c r="M63" s="21">
        <f xml:space="preserve"> (L63 - K63)/(K63-J63)</f>
        <v>1.0896656534954412</v>
      </c>
      <c r="N63" s="21">
        <f>K63/L63</f>
        <v>0.90596721311475403</v>
      </c>
      <c r="O63" s="7">
        <v>1.1299999999999999E-2</v>
      </c>
      <c r="P63" s="7">
        <v>1.1299999999999999E-2</v>
      </c>
      <c r="Q63" s="33"/>
      <c r="R63" t="s">
        <v>449</v>
      </c>
      <c r="S63" t="s">
        <v>449</v>
      </c>
      <c r="T63" t="s">
        <v>451</v>
      </c>
    </row>
    <row r="64" spans="2:20">
      <c r="B64" s="33">
        <v>4</v>
      </c>
      <c r="C64" s="33"/>
      <c r="D64" t="s">
        <v>889</v>
      </c>
      <c r="E64" t="s">
        <v>707</v>
      </c>
      <c r="F64" t="s">
        <v>384</v>
      </c>
      <c r="G64" t="s">
        <v>384</v>
      </c>
      <c r="H64" t="s">
        <v>448</v>
      </c>
      <c r="J64" s="21">
        <v>7</v>
      </c>
      <c r="K64">
        <v>7.78</v>
      </c>
      <c r="L64" s="21">
        <v>10</v>
      </c>
      <c r="M64" s="21">
        <f xml:space="preserve"> (L64 - K64)/(K64-J64)</f>
        <v>2.8461538461538449</v>
      </c>
      <c r="N64" s="21">
        <f>K64/L64</f>
        <v>0.77800000000000002</v>
      </c>
      <c r="O64" s="7">
        <v>8.6999999999999994E-3</v>
      </c>
      <c r="P64" s="7">
        <v>8.6999999999999994E-3</v>
      </c>
      <c r="Q64" s="33"/>
      <c r="R64" t="s">
        <v>450</v>
      </c>
      <c r="S64" t="s">
        <v>449</v>
      </c>
      <c r="T64" t="s">
        <v>451</v>
      </c>
    </row>
    <row r="65" spans="1:20">
      <c r="B65" s="33">
        <v>4</v>
      </c>
      <c r="C65" s="33"/>
      <c r="D65" t="s">
        <v>507</v>
      </c>
      <c r="E65" t="s">
        <v>424</v>
      </c>
      <c r="F65" t="s">
        <v>387</v>
      </c>
      <c r="G65" t="s">
        <v>385</v>
      </c>
      <c r="H65" t="s">
        <v>448</v>
      </c>
      <c r="I65" s="17"/>
      <c r="J65" s="24">
        <v>32</v>
      </c>
      <c r="K65">
        <v>28.23</v>
      </c>
      <c r="L65" s="21">
        <v>40</v>
      </c>
      <c r="M65" s="21">
        <f xml:space="preserve"> (L65 - K65)/(K65-J65)</f>
        <v>-3.1220159151193636</v>
      </c>
      <c r="N65" s="21">
        <f>K65/L65</f>
        <v>0.70574999999999999</v>
      </c>
      <c r="O65" s="7">
        <v>5.9999999999999995E-4</v>
      </c>
      <c r="P65" s="7">
        <v>5.9999999999999995E-4</v>
      </c>
      <c r="Q65" s="34" t="s">
        <v>843</v>
      </c>
      <c r="R65" t="s">
        <v>449</v>
      </c>
      <c r="S65" t="s">
        <v>449</v>
      </c>
      <c r="T65" t="s">
        <v>600</v>
      </c>
    </row>
    <row r="66" spans="1:20">
      <c r="B66" s="33">
        <v>4</v>
      </c>
      <c r="C66" s="33"/>
      <c r="D66" t="s">
        <v>815</v>
      </c>
      <c r="E66" t="s">
        <v>135</v>
      </c>
      <c r="F66" t="s">
        <v>383</v>
      </c>
      <c r="G66" t="s">
        <v>383</v>
      </c>
      <c r="H66" t="s">
        <v>448</v>
      </c>
      <c r="J66" s="21">
        <v>200</v>
      </c>
      <c r="K66">
        <v>329.21</v>
      </c>
      <c r="L66" s="21">
        <v>250</v>
      </c>
      <c r="M66" s="21">
        <f xml:space="preserve"> (L66 - K66)/(K66-J66)</f>
        <v>-0.61303304697778804</v>
      </c>
      <c r="N66" s="21">
        <f>K66/L66</f>
        <v>1.31684</v>
      </c>
      <c r="O66" s="7">
        <v>-4.7000000000000002E-3</v>
      </c>
      <c r="P66" s="7">
        <v>-4.7000000000000002E-3</v>
      </c>
      <c r="Q66" s="33"/>
      <c r="R66" t="s">
        <v>448</v>
      </c>
      <c r="S66" t="s">
        <v>449</v>
      </c>
      <c r="T66" t="s">
        <v>452</v>
      </c>
    </row>
    <row r="67" spans="1:20">
      <c r="B67" s="33">
        <v>4</v>
      </c>
      <c r="C67" s="33"/>
      <c r="D67" t="s">
        <v>589</v>
      </c>
      <c r="E67" t="s">
        <v>230</v>
      </c>
      <c r="F67" t="s">
        <v>380</v>
      </c>
      <c r="G67" t="s">
        <v>380</v>
      </c>
      <c r="H67" t="s">
        <v>449</v>
      </c>
      <c r="J67" s="21">
        <v>570</v>
      </c>
      <c r="K67">
        <v>455.76</v>
      </c>
      <c r="L67" s="21">
        <v>675</v>
      </c>
      <c r="M67" s="21">
        <f xml:space="preserve"> (L67 - K67)/(K67-J67)</f>
        <v>-1.9191176470588234</v>
      </c>
      <c r="N67" s="21">
        <f>K67/L67</f>
        <v>0.67520000000000002</v>
      </c>
      <c r="O67" s="7">
        <v>3.5999999999999999E-3</v>
      </c>
      <c r="P67" s="7">
        <v>3.5999999999999999E-3</v>
      </c>
      <c r="Q67" s="33"/>
      <c r="R67" t="s">
        <v>449</v>
      </c>
      <c r="S67" t="s">
        <v>449</v>
      </c>
      <c r="T67" t="s">
        <v>451</v>
      </c>
    </row>
    <row r="68" spans="1:20">
      <c r="B68" s="33">
        <v>4</v>
      </c>
      <c r="C68" s="33"/>
      <c r="D68" t="s">
        <v>51</v>
      </c>
      <c r="E68" t="s">
        <v>390</v>
      </c>
      <c r="F68" t="s">
        <v>384</v>
      </c>
      <c r="G68" t="s">
        <v>384</v>
      </c>
      <c r="H68" t="s">
        <v>448</v>
      </c>
      <c r="I68">
        <v>50.5</v>
      </c>
      <c r="J68">
        <v>40</v>
      </c>
      <c r="K68">
        <v>60.17</v>
      </c>
      <c r="L68">
        <v>60</v>
      </c>
      <c r="M68" s="21">
        <f xml:space="preserve"> (L68 - K68)/(K68-J68)</f>
        <v>-8.4283589489341452E-3</v>
      </c>
      <c r="N68" s="21">
        <f>K68/L68</f>
        <v>1.0028333333333335</v>
      </c>
      <c r="O68" s="7">
        <v>-1.5E-3</v>
      </c>
      <c r="P68" s="7">
        <v>-1.5E-3</v>
      </c>
      <c r="Q68" s="34" t="s">
        <v>109</v>
      </c>
      <c r="R68" t="s">
        <v>448</v>
      </c>
      <c r="S68" t="s">
        <v>448</v>
      </c>
      <c r="T68" t="s">
        <v>450</v>
      </c>
    </row>
    <row r="69" spans="1:20">
      <c r="B69" s="33">
        <v>4</v>
      </c>
      <c r="C69" s="33"/>
      <c r="D69" t="s">
        <v>875</v>
      </c>
      <c r="E69" t="s">
        <v>397</v>
      </c>
      <c r="F69" t="s">
        <v>384</v>
      </c>
      <c r="G69" t="s">
        <v>384</v>
      </c>
      <c r="H69" t="s">
        <v>449</v>
      </c>
      <c r="J69" s="21">
        <v>170</v>
      </c>
      <c r="K69">
        <v>205.02</v>
      </c>
      <c r="L69" s="21">
        <v>200</v>
      </c>
      <c r="M69" s="21">
        <f xml:space="preserve"> (L69 - K69)/(K69-J69)</f>
        <v>-0.14334665905197055</v>
      </c>
      <c r="N69" s="21">
        <f>K69/L69</f>
        <v>1.0251000000000001</v>
      </c>
      <c r="O69" s="7">
        <v>2.75E-2</v>
      </c>
      <c r="P69" s="7">
        <v>2.75E-2</v>
      </c>
      <c r="Q69" s="34" t="s">
        <v>880</v>
      </c>
      <c r="R69" t="s">
        <v>448</v>
      </c>
      <c r="S69" t="s">
        <v>450</v>
      </c>
      <c r="T69" t="s">
        <v>452</v>
      </c>
    </row>
    <row r="70" spans="1:20">
      <c r="B70" s="33">
        <v>4</v>
      </c>
      <c r="C70" s="32">
        <v>14</v>
      </c>
      <c r="D70" t="s">
        <v>200</v>
      </c>
      <c r="E70" t="s">
        <v>391</v>
      </c>
      <c r="F70" t="s">
        <v>383</v>
      </c>
      <c r="G70" t="s">
        <v>383</v>
      </c>
      <c r="H70" t="s">
        <v>448</v>
      </c>
      <c r="J70" s="21">
        <v>113</v>
      </c>
      <c r="K70">
        <v>259.74</v>
      </c>
      <c r="L70" s="21">
        <v>175</v>
      </c>
      <c r="M70" s="21">
        <f xml:space="preserve"> (L70 - K70)/(K70-J70)</f>
        <v>-0.57748398528008726</v>
      </c>
      <c r="N70" s="21">
        <f>K70/L70</f>
        <v>1.4842285714285715</v>
      </c>
      <c r="O70" s="7">
        <v>2.29E-2</v>
      </c>
      <c r="P70" s="7">
        <v>2.29E-2</v>
      </c>
      <c r="Q70" s="33" t="s">
        <v>201</v>
      </c>
      <c r="R70" t="s">
        <v>448</v>
      </c>
      <c r="S70" t="s">
        <v>448</v>
      </c>
      <c r="T70" t="s">
        <v>450</v>
      </c>
    </row>
    <row r="71" spans="1:20">
      <c r="B71" s="33">
        <v>4</v>
      </c>
      <c r="C71" s="33"/>
      <c r="D71" t="s">
        <v>835</v>
      </c>
      <c r="E71" t="s">
        <v>424</v>
      </c>
      <c r="F71" t="s">
        <v>383</v>
      </c>
      <c r="G71" t="s">
        <v>383</v>
      </c>
      <c r="H71" t="s">
        <v>448</v>
      </c>
      <c r="J71" s="21">
        <v>43</v>
      </c>
      <c r="K71">
        <v>69.08</v>
      </c>
      <c r="L71" s="21">
        <v>50</v>
      </c>
      <c r="M71" s="21">
        <f xml:space="preserve"> (L71 - K71)/(K71-J71)</f>
        <v>-0.73159509202453987</v>
      </c>
      <c r="N71" s="21">
        <f>K71/L71</f>
        <v>1.3815999999999999</v>
      </c>
      <c r="O71" s="7">
        <v>9.1000000000000004E-3</v>
      </c>
      <c r="P71" s="7">
        <v>9.1000000000000004E-3</v>
      </c>
      <c r="Q71" s="34" t="s">
        <v>840</v>
      </c>
      <c r="R71" t="s">
        <v>448</v>
      </c>
      <c r="S71" t="s">
        <v>448</v>
      </c>
      <c r="T71" t="s">
        <v>600</v>
      </c>
    </row>
    <row r="72" spans="1:20">
      <c r="A72" s="21"/>
      <c r="B72" s="33">
        <v>4</v>
      </c>
      <c r="C72" s="33"/>
      <c r="D72" t="s">
        <v>287</v>
      </c>
      <c r="E72" t="s">
        <v>424</v>
      </c>
      <c r="F72"/>
      <c r="G72"/>
      <c r="H72" t="s">
        <v>448</v>
      </c>
      <c r="J72" s="21">
        <v>70</v>
      </c>
      <c r="K72">
        <v>43.11</v>
      </c>
      <c r="L72" s="21">
        <v>90</v>
      </c>
      <c r="M72" s="24">
        <f xml:space="preserve"> (L72 - K72)/(K72-J72)</f>
        <v>-1.7437709185570844</v>
      </c>
      <c r="N72" s="21">
        <f>K72/L72</f>
        <v>0.47899999999999998</v>
      </c>
      <c r="O72" s="7">
        <v>4.4000000000000003E-3</v>
      </c>
      <c r="P72" s="7">
        <v>4.4000000000000003E-3</v>
      </c>
      <c r="Q72" s="33"/>
      <c r="R72" t="s">
        <v>449</v>
      </c>
      <c r="S72" t="s">
        <v>449</v>
      </c>
      <c r="T72" t="s">
        <v>600</v>
      </c>
    </row>
    <row r="73" spans="1:20">
      <c r="B73" s="33">
        <v>4</v>
      </c>
      <c r="C73" s="34"/>
      <c r="D73" t="s">
        <v>737</v>
      </c>
      <c r="E73" t="s">
        <v>582</v>
      </c>
      <c r="F73" t="s">
        <v>385</v>
      </c>
      <c r="G73" t="s">
        <v>380</v>
      </c>
      <c r="H73" t="s">
        <v>448</v>
      </c>
      <c r="I73" s="17"/>
      <c r="J73" s="24">
        <v>73</v>
      </c>
      <c r="K73">
        <v>73.89</v>
      </c>
      <c r="L73" s="24">
        <v>90</v>
      </c>
      <c r="M73" s="21">
        <f xml:space="preserve"> (L73 - K73)/(K73-J73)</f>
        <v>18.101123595505605</v>
      </c>
      <c r="N73" s="21">
        <f>K73/L73</f>
        <v>0.82099999999999995</v>
      </c>
      <c r="O73" s="7">
        <v>-1.7299999999999999E-2</v>
      </c>
      <c r="P73" s="7">
        <v>-1.7299999999999999E-2</v>
      </c>
      <c r="Q73" s="33"/>
      <c r="R73" t="s">
        <v>449</v>
      </c>
      <c r="S73" t="s">
        <v>449</v>
      </c>
      <c r="T73" t="s">
        <v>451</v>
      </c>
    </row>
    <row r="74" spans="1:20">
      <c r="B74" s="33">
        <v>4</v>
      </c>
      <c r="C74" s="33"/>
      <c r="D74" t="s">
        <v>610</v>
      </c>
      <c r="E74" t="s">
        <v>409</v>
      </c>
      <c r="F74" t="s">
        <v>380</v>
      </c>
      <c r="G74" t="s">
        <v>380</v>
      </c>
      <c r="H74" t="s">
        <v>448</v>
      </c>
      <c r="J74" s="21">
        <v>15</v>
      </c>
      <c r="K74">
        <v>21.69</v>
      </c>
      <c r="L74" s="21">
        <v>22</v>
      </c>
      <c r="M74" s="21">
        <f xml:space="preserve"> (L74 - K74)/(K74-J74)</f>
        <v>4.6337817638265867E-2</v>
      </c>
      <c r="N74" s="21">
        <f>K74/L74</f>
        <v>0.98590909090909096</v>
      </c>
      <c r="O74" s="7">
        <v>2.2100000000000002E-2</v>
      </c>
      <c r="P74" s="7">
        <v>2.2100000000000002E-2</v>
      </c>
      <c r="Q74" s="33"/>
      <c r="R74" t="s">
        <v>450</v>
      </c>
      <c r="S74" t="s">
        <v>450</v>
      </c>
      <c r="T74" t="s">
        <v>452</v>
      </c>
    </row>
    <row r="75" spans="1:20">
      <c r="B75" s="33">
        <v>4</v>
      </c>
      <c r="C75" s="33"/>
      <c r="D75" t="s">
        <v>852</v>
      </c>
      <c r="E75" t="s">
        <v>421</v>
      </c>
      <c r="F75" t="s">
        <v>380</v>
      </c>
      <c r="G75" t="s">
        <v>380</v>
      </c>
      <c r="H75" t="s">
        <v>448</v>
      </c>
      <c r="J75" s="21">
        <v>140</v>
      </c>
      <c r="K75">
        <v>142.55000000000001</v>
      </c>
      <c r="L75" s="21">
        <v>160</v>
      </c>
      <c r="M75" s="21">
        <f xml:space="preserve"> (L75 - K75)/(K75-J75)</f>
        <v>6.8431372549019258</v>
      </c>
      <c r="N75" s="21">
        <f>K75/L75</f>
        <v>0.89093750000000005</v>
      </c>
      <c r="O75" s="7">
        <v>7.3000000000000001E-3</v>
      </c>
      <c r="P75" s="7">
        <v>7.3000000000000001E-3</v>
      </c>
      <c r="Q75" s="33"/>
      <c r="R75" t="s">
        <v>448</v>
      </c>
      <c r="S75" t="s">
        <v>450</v>
      </c>
      <c r="T75" t="s">
        <v>452</v>
      </c>
    </row>
    <row r="76" spans="1:20">
      <c r="B76" s="33">
        <v>4</v>
      </c>
      <c r="C76" s="33"/>
      <c r="D76" t="s">
        <v>614</v>
      </c>
      <c r="E76" t="s">
        <v>455</v>
      </c>
      <c r="F76" t="s">
        <v>386</v>
      </c>
      <c r="G76" t="s">
        <v>386</v>
      </c>
      <c r="H76" t="s">
        <v>449</v>
      </c>
      <c r="J76" s="24">
        <v>130</v>
      </c>
      <c r="K76">
        <v>133.13</v>
      </c>
      <c r="L76" s="21">
        <v>170</v>
      </c>
      <c r="M76" s="21">
        <f xml:space="preserve"> (L76 - K76)/(K76-J76)</f>
        <v>11.779552715654971</v>
      </c>
      <c r="N76" s="21">
        <f>K76/L76</f>
        <v>0.78311764705882347</v>
      </c>
      <c r="O76" s="7">
        <v>1.9400000000000001E-2</v>
      </c>
      <c r="P76" s="7">
        <v>1.9400000000000001E-2</v>
      </c>
      <c r="Q76" s="33"/>
      <c r="R76" t="s">
        <v>448</v>
      </c>
      <c r="S76" t="s">
        <v>450</v>
      </c>
      <c r="T76" t="s">
        <v>452</v>
      </c>
    </row>
    <row r="77" spans="1:20">
      <c r="B77" s="33">
        <v>4</v>
      </c>
      <c r="C77" s="33"/>
      <c r="D77" t="s">
        <v>569</v>
      </c>
      <c r="E77" t="s">
        <v>416</v>
      </c>
      <c r="F77" t="s">
        <v>384</v>
      </c>
      <c r="G77" t="s">
        <v>384</v>
      </c>
      <c r="H77" t="s">
        <v>448</v>
      </c>
      <c r="J77" s="24">
        <v>72</v>
      </c>
      <c r="K77">
        <v>94.67</v>
      </c>
      <c r="L77" s="21">
        <v>83</v>
      </c>
      <c r="M77" s="21">
        <f xml:space="preserve"> (L77 - K77)/(K77-J77)</f>
        <v>-0.51477723864137626</v>
      </c>
      <c r="N77" s="21">
        <f>K77/L77</f>
        <v>1.1406024096385543</v>
      </c>
      <c r="O77" s="7">
        <v>-1.0999999999999999E-2</v>
      </c>
      <c r="P77" s="7">
        <v>-1.0999999999999999E-2</v>
      </c>
      <c r="Q77" s="33"/>
      <c r="R77" t="s">
        <v>450</v>
      </c>
      <c r="S77" t="s">
        <v>449</v>
      </c>
      <c r="T77" t="s">
        <v>450</v>
      </c>
    </row>
    <row r="78" spans="1:20">
      <c r="B78" s="33">
        <v>4</v>
      </c>
      <c r="C78" s="33"/>
      <c r="D78" t="s">
        <v>473</v>
      </c>
      <c r="E78" t="s">
        <v>414</v>
      </c>
      <c r="F78" t="s">
        <v>384</v>
      </c>
      <c r="G78" t="s">
        <v>381</v>
      </c>
      <c r="H78" t="s">
        <v>448</v>
      </c>
      <c r="J78" s="21">
        <v>200</v>
      </c>
      <c r="K78">
        <v>286.72000000000003</v>
      </c>
      <c r="L78" s="21">
        <v>250</v>
      </c>
      <c r="M78" s="21">
        <f xml:space="preserve"> (L78 - K78)/(K78-J78)</f>
        <v>-0.42343173431734338</v>
      </c>
      <c r="N78" s="21">
        <f>K78/L78</f>
        <v>1.1468800000000001</v>
      </c>
      <c r="O78" s="7">
        <v>-2.9999999999999997E-4</v>
      </c>
      <c r="P78" s="7">
        <v>-2.9999999999999997E-4</v>
      </c>
      <c r="Q78" s="33"/>
      <c r="R78" t="s">
        <v>450</v>
      </c>
      <c r="S78" t="s">
        <v>449</v>
      </c>
      <c r="T78" t="s">
        <v>450</v>
      </c>
    </row>
    <row r="79" spans="1:20">
      <c r="B79" s="33">
        <v>4</v>
      </c>
      <c r="C79" s="33"/>
      <c r="D79" t="s">
        <v>437</v>
      </c>
      <c r="E79" t="s">
        <v>166</v>
      </c>
      <c r="F79" t="s">
        <v>383</v>
      </c>
      <c r="G79" t="s">
        <v>383</v>
      </c>
      <c r="H79" t="s">
        <v>448</v>
      </c>
      <c r="J79" s="21">
        <v>150</v>
      </c>
      <c r="K79">
        <v>253.54</v>
      </c>
      <c r="L79" s="21">
        <v>175</v>
      </c>
      <c r="M79" s="21">
        <f xml:space="preserve"> (L79 - K79)/(K79-J79)</f>
        <v>-0.75854742128645936</v>
      </c>
      <c r="N79" s="21">
        <f>K79/L79</f>
        <v>1.4487999999999999</v>
      </c>
      <c r="O79" s="7">
        <v>1.37E-2</v>
      </c>
      <c r="P79" s="7">
        <v>1.37E-2</v>
      </c>
      <c r="Q79" s="34" t="s">
        <v>877</v>
      </c>
      <c r="R79" t="s">
        <v>448</v>
      </c>
      <c r="S79" t="s">
        <v>448</v>
      </c>
      <c r="T79" t="s">
        <v>450</v>
      </c>
    </row>
    <row r="80" spans="1:20">
      <c r="B80" s="33">
        <v>4</v>
      </c>
      <c r="C80" s="60">
        <v>6</v>
      </c>
      <c r="D80" t="s">
        <v>501</v>
      </c>
      <c r="E80" t="s">
        <v>394</v>
      </c>
      <c r="F80" t="s">
        <v>384</v>
      </c>
      <c r="G80" t="s">
        <v>384</v>
      </c>
      <c r="H80" t="s">
        <v>448</v>
      </c>
      <c r="J80" s="21">
        <v>100</v>
      </c>
      <c r="K80">
        <v>207.88</v>
      </c>
      <c r="L80" s="21">
        <v>120</v>
      </c>
      <c r="M80" s="21">
        <f xml:space="preserve"> (L80 - K80)/(K80-J80)</f>
        <v>-0.8146088246199481</v>
      </c>
      <c r="N80" s="21">
        <f>K80/L80</f>
        <v>1.7323333333333333</v>
      </c>
      <c r="O80" s="7">
        <v>2.6599999999999999E-2</v>
      </c>
      <c r="P80" s="7">
        <v>2.6599999999999999E-2</v>
      </c>
      <c r="Q80" s="34"/>
      <c r="R80" t="s">
        <v>448</v>
      </c>
      <c r="S80" t="s">
        <v>449</v>
      </c>
      <c r="T80" t="s">
        <v>450</v>
      </c>
    </row>
    <row r="81" spans="2:20">
      <c r="B81" s="33">
        <v>4</v>
      </c>
      <c r="C81" s="42">
        <v>7</v>
      </c>
      <c r="D81" t="s">
        <v>856</v>
      </c>
      <c r="E81" t="s">
        <v>399</v>
      </c>
      <c r="F81" t="s">
        <v>380</v>
      </c>
      <c r="G81" t="s">
        <v>380</v>
      </c>
      <c r="H81" t="s">
        <v>448</v>
      </c>
      <c r="I81" s="17"/>
      <c r="J81" s="24">
        <v>120</v>
      </c>
      <c r="K81">
        <v>231.25</v>
      </c>
      <c r="L81" s="21">
        <v>140</v>
      </c>
      <c r="M81" s="21">
        <f xml:space="preserve"> (L81 - K81)/(K81-J81)</f>
        <v>-0.8202247191011236</v>
      </c>
      <c r="N81" s="21">
        <f>K81/L81</f>
        <v>1.6517857142857142</v>
      </c>
      <c r="O81" s="7">
        <v>2.2100000000000002E-2</v>
      </c>
      <c r="P81" s="7">
        <v>2.2100000000000002E-2</v>
      </c>
      <c r="Q81" s="34"/>
      <c r="R81" t="s">
        <v>448</v>
      </c>
      <c r="S81" t="s">
        <v>449</v>
      </c>
      <c r="T81" t="s">
        <v>452</v>
      </c>
    </row>
    <row r="82" spans="2:20">
      <c r="B82" s="33">
        <v>4</v>
      </c>
      <c r="C82" s="33"/>
      <c r="D82" t="s">
        <v>916</v>
      </c>
      <c r="E82" t="s">
        <v>578</v>
      </c>
      <c r="F82" t="s">
        <v>387</v>
      </c>
      <c r="G82" t="s">
        <v>387</v>
      </c>
      <c r="H82" t="s">
        <v>449</v>
      </c>
      <c r="J82" s="21">
        <v>25</v>
      </c>
      <c r="K82">
        <v>37.840000000000003</v>
      </c>
      <c r="L82" s="21">
        <v>35</v>
      </c>
      <c r="M82" s="21">
        <f xml:space="preserve"> (L82 - K82)/(K82-J82)</f>
        <v>-0.22118380062305318</v>
      </c>
      <c r="N82" s="21">
        <f>K82/L82</f>
        <v>1.0811428571428572</v>
      </c>
      <c r="O82" s="53">
        <v>0</v>
      </c>
      <c r="P82" s="53">
        <v>0</v>
      </c>
      <c r="Q82" s="33"/>
      <c r="R82" t="s">
        <v>449</v>
      </c>
      <c r="S82" t="s">
        <v>449</v>
      </c>
      <c r="T82" t="s">
        <v>450</v>
      </c>
    </row>
    <row r="83" spans="2:20">
      <c r="B83" s="33">
        <v>4</v>
      </c>
      <c r="C83" s="33"/>
      <c r="D83" t="s">
        <v>529</v>
      </c>
      <c r="E83" t="s">
        <v>403</v>
      </c>
      <c r="F83" t="s">
        <v>384</v>
      </c>
      <c r="G83" t="s">
        <v>384</v>
      </c>
      <c r="H83" t="s">
        <v>449</v>
      </c>
      <c r="J83" s="21">
        <v>95</v>
      </c>
      <c r="K83">
        <v>165.83</v>
      </c>
      <c r="L83" s="21">
        <v>105</v>
      </c>
      <c r="M83" s="21">
        <f xml:space="preserve"> (L83 - K83)/(K83-J83)</f>
        <v>-0.85881688550049418</v>
      </c>
      <c r="N83" s="21">
        <f>K83/L83</f>
        <v>1.5793333333333335</v>
      </c>
      <c r="O83" s="7">
        <v>2.8299999999999999E-2</v>
      </c>
      <c r="P83" s="7">
        <v>2.8299999999999999E-2</v>
      </c>
      <c r="Q83" s="33"/>
      <c r="R83" t="s">
        <v>449</v>
      </c>
      <c r="S83" t="s">
        <v>448</v>
      </c>
      <c r="T83" t="s">
        <v>450</v>
      </c>
    </row>
    <row r="84" spans="2:20">
      <c r="B84" s="33">
        <v>4</v>
      </c>
      <c r="C84" s="33"/>
      <c r="D84" t="s">
        <v>913</v>
      </c>
      <c r="E84" t="s">
        <v>416</v>
      </c>
      <c r="F84" t="s">
        <v>387</v>
      </c>
      <c r="G84" t="s">
        <v>387</v>
      </c>
      <c r="H84" t="s">
        <v>448</v>
      </c>
      <c r="J84">
        <v>206.1</v>
      </c>
      <c r="K84">
        <v>197.6</v>
      </c>
      <c r="L84">
        <v>227.73</v>
      </c>
      <c r="M84">
        <v>0.99</v>
      </c>
      <c r="N84" s="21">
        <f>K84/L84</f>
        <v>0.86769419927106661</v>
      </c>
      <c r="O84" s="7">
        <v>0.1646</v>
      </c>
      <c r="P84" s="7">
        <v>0.1646</v>
      </c>
      <c r="Q84" s="34"/>
      <c r="R84" t="s">
        <v>449</v>
      </c>
      <c r="S84" t="s">
        <v>449</v>
      </c>
      <c r="T84" t="s">
        <v>450</v>
      </c>
    </row>
    <row r="85" spans="2:20">
      <c r="B85" s="33">
        <v>4</v>
      </c>
      <c r="C85" s="33"/>
      <c r="D85" s="17" t="s">
        <v>905</v>
      </c>
      <c r="E85" t="s">
        <v>638</v>
      </c>
      <c r="F85" t="s">
        <v>381</v>
      </c>
      <c r="G85" t="s">
        <v>381</v>
      </c>
      <c r="H85" t="s">
        <v>448</v>
      </c>
      <c r="I85" s="16"/>
      <c r="J85">
        <v>173.25</v>
      </c>
      <c r="K85">
        <v>209.59</v>
      </c>
      <c r="L85">
        <v>186</v>
      </c>
      <c r="M85">
        <v>0.4</v>
      </c>
      <c r="N85" s="21">
        <f>K85/L85</f>
        <v>1.1268279569892474</v>
      </c>
      <c r="O85" s="7">
        <v>4.2099999999999999E-2</v>
      </c>
      <c r="P85" s="7">
        <v>4.2099999999999999E-2</v>
      </c>
      <c r="Q85" s="34"/>
      <c r="R85" t="s">
        <v>449</v>
      </c>
      <c r="S85" t="s">
        <v>449</v>
      </c>
      <c r="T85" t="s">
        <v>452</v>
      </c>
    </row>
    <row r="86" spans="2:20">
      <c r="B86" s="33">
        <v>4</v>
      </c>
      <c r="C86" s="33"/>
      <c r="D86" s="17" t="s">
        <v>895</v>
      </c>
      <c r="E86" t="s">
        <v>156</v>
      </c>
      <c r="F86" t="s">
        <v>385</v>
      </c>
      <c r="G86" t="s">
        <v>385</v>
      </c>
      <c r="H86" t="s">
        <v>449</v>
      </c>
      <c r="J86">
        <v>98.52</v>
      </c>
      <c r="K86">
        <v>84.87</v>
      </c>
      <c r="L86">
        <v>117.48</v>
      </c>
      <c r="M86">
        <v>2.66</v>
      </c>
      <c r="N86" s="21">
        <f>K86/L86</f>
        <v>0.72242083758937692</v>
      </c>
      <c r="O86" s="7">
        <v>9.7000000000000003E-3</v>
      </c>
      <c r="P86" s="7">
        <v>9.7000000000000003E-3</v>
      </c>
      <c r="Q86" s="33"/>
      <c r="R86" t="s">
        <v>449</v>
      </c>
      <c r="S86" t="s">
        <v>449</v>
      </c>
      <c r="T86" t="s">
        <v>450</v>
      </c>
    </row>
    <row r="87" spans="2:20">
      <c r="B87" s="33">
        <v>4</v>
      </c>
      <c r="C87" s="33"/>
      <c r="D87" t="s">
        <v>914</v>
      </c>
      <c r="E87" t="s">
        <v>399</v>
      </c>
      <c r="F87" t="s">
        <v>380</v>
      </c>
      <c r="G87" t="s">
        <v>380</v>
      </c>
      <c r="H87" t="s">
        <v>448</v>
      </c>
      <c r="J87">
        <v>1348.23</v>
      </c>
      <c r="K87">
        <v>1177.3</v>
      </c>
      <c r="L87">
        <v>1449.98</v>
      </c>
      <c r="M87">
        <v>0.43</v>
      </c>
      <c r="N87" s="21">
        <f>K87/L87</f>
        <v>0.81194223368598184</v>
      </c>
      <c r="O87" s="7">
        <v>-7.1999999999999998E-3</v>
      </c>
      <c r="P87" s="7">
        <v>-7.1999999999999998E-3</v>
      </c>
      <c r="Q87" s="34"/>
      <c r="R87" t="s">
        <v>449</v>
      </c>
      <c r="S87" t="s">
        <v>448</v>
      </c>
      <c r="T87" t="s">
        <v>600</v>
      </c>
    </row>
    <row r="88" spans="2:20">
      <c r="B88" s="33">
        <v>4</v>
      </c>
      <c r="C88" s="33"/>
      <c r="D88" t="s">
        <v>916</v>
      </c>
      <c r="E88" t="s">
        <v>230</v>
      </c>
      <c r="F88" t="s">
        <v>387</v>
      </c>
      <c r="G88" t="s">
        <v>387</v>
      </c>
      <c r="H88" t="s">
        <v>449</v>
      </c>
      <c r="J88">
        <v>36.9</v>
      </c>
      <c r="K88">
        <v>37.840000000000003</v>
      </c>
      <c r="L88">
        <v>39.14</v>
      </c>
      <c r="M88">
        <v>0.15</v>
      </c>
      <c r="N88" s="21">
        <f>K88/L88</f>
        <v>0.96678589678078697</v>
      </c>
      <c r="O88" s="53">
        <v>0</v>
      </c>
      <c r="P88" s="53">
        <v>0</v>
      </c>
      <c r="Q88" s="33"/>
      <c r="R88" t="s">
        <v>449</v>
      </c>
      <c r="S88" t="s">
        <v>449</v>
      </c>
      <c r="T88" t="s">
        <v>450</v>
      </c>
    </row>
    <row r="89" spans="2:20" ht="13.5" customHeight="1">
      <c r="B89" s="33">
        <v>4</v>
      </c>
      <c r="C89" s="33"/>
      <c r="D89" t="s">
        <v>900</v>
      </c>
      <c r="E89" t="s">
        <v>486</v>
      </c>
      <c r="F89" t="s">
        <v>385</v>
      </c>
      <c r="G89" t="s">
        <v>385</v>
      </c>
      <c r="H89" t="s">
        <v>448</v>
      </c>
      <c r="J89">
        <v>18.52</v>
      </c>
      <c r="K89">
        <v>12.24</v>
      </c>
      <c r="L89">
        <v>20.47</v>
      </c>
      <c r="M89">
        <v>0.99</v>
      </c>
      <c r="N89" s="21">
        <f>K89/L89</f>
        <v>0.59794821690278466</v>
      </c>
      <c r="O89" s="7">
        <v>4.8899999999999999E-2</v>
      </c>
      <c r="P89" s="7">
        <v>4.8899999999999999E-2</v>
      </c>
      <c r="Q89" s="33"/>
      <c r="R89" t="s">
        <v>450</v>
      </c>
      <c r="S89" t="s">
        <v>449</v>
      </c>
      <c r="T89" t="s">
        <v>451</v>
      </c>
    </row>
    <row r="90" spans="2:20" ht="13.5" customHeight="1">
      <c r="B90" s="33">
        <v>4</v>
      </c>
      <c r="C90" s="33"/>
      <c r="D90" t="s">
        <v>903</v>
      </c>
      <c r="E90" t="s">
        <v>199</v>
      </c>
      <c r="F90" t="s">
        <v>380</v>
      </c>
      <c r="G90" t="s">
        <v>380</v>
      </c>
      <c r="H90" t="s">
        <v>449</v>
      </c>
      <c r="J90">
        <v>715.87</v>
      </c>
      <c r="K90">
        <v>732.76</v>
      </c>
      <c r="L90">
        <v>801.01</v>
      </c>
      <c r="M90">
        <v>1.26</v>
      </c>
      <c r="N90" s="21">
        <f>K90/L90</f>
        <v>0.91479507122258152</v>
      </c>
      <c r="O90" s="7">
        <v>2.4899999999999999E-2</v>
      </c>
      <c r="P90" s="7">
        <v>2.4899999999999999E-2</v>
      </c>
      <c r="Q90" s="33"/>
      <c r="R90" t="s">
        <v>448</v>
      </c>
      <c r="S90" t="s">
        <v>450</v>
      </c>
      <c r="T90" t="s">
        <v>452</v>
      </c>
    </row>
    <row r="91" spans="2:20" ht="13.5" customHeight="1">
      <c r="B91" s="33">
        <v>4</v>
      </c>
      <c r="C91" s="33"/>
      <c r="D91" t="s">
        <v>149</v>
      </c>
      <c r="E91" t="s">
        <v>405</v>
      </c>
      <c r="F91" t="s">
        <v>380</v>
      </c>
      <c r="G91" t="s">
        <v>380</v>
      </c>
      <c r="H91" t="s">
        <v>448</v>
      </c>
      <c r="J91" s="21">
        <v>50</v>
      </c>
      <c r="K91">
        <v>31.81</v>
      </c>
      <c r="L91" s="21">
        <v>65</v>
      </c>
      <c r="M91" s="21">
        <f xml:space="preserve"> (L91 - K91)/(K91-J91)</f>
        <v>-1.8246289169873555</v>
      </c>
      <c r="N91" s="21"/>
      <c r="O91" s="7">
        <v>9.5600000000000004E-2</v>
      </c>
      <c r="P91" s="7">
        <v>9.5600000000000004E-2</v>
      </c>
      <c r="Q91" s="33" t="s">
        <v>150</v>
      </c>
      <c r="R91" t="s">
        <v>449</v>
      </c>
      <c r="S91" t="s">
        <v>449</v>
      </c>
      <c r="T91" t="s">
        <v>600</v>
      </c>
    </row>
    <row r="92" spans="2:20" ht="13.5" customHeight="1">
      <c r="B92" s="33">
        <v>4</v>
      </c>
      <c r="C92" s="33"/>
      <c r="D92" t="s">
        <v>185</v>
      </c>
      <c r="E92" t="s">
        <v>641</v>
      </c>
      <c r="F92" t="s">
        <v>386</v>
      </c>
      <c r="G92" t="s">
        <v>386</v>
      </c>
      <c r="H92" t="s">
        <v>448</v>
      </c>
      <c r="J92" s="21">
        <v>4</v>
      </c>
      <c r="K92">
        <v>3.37</v>
      </c>
      <c r="L92" s="21">
        <v>10</v>
      </c>
      <c r="M92" s="21">
        <f xml:space="preserve"> (L92 - K92)/(K92-J92)</f>
        <v>-10.523809523809526</v>
      </c>
      <c r="N92" s="21"/>
      <c r="O92" s="7">
        <v>-2.8E-3</v>
      </c>
      <c r="P92" s="7">
        <v>-2.8E-3</v>
      </c>
      <c r="Q92" s="34" t="s">
        <v>186</v>
      </c>
      <c r="R92" t="s">
        <v>448</v>
      </c>
      <c r="S92" t="s">
        <v>448</v>
      </c>
      <c r="T92" t="s">
        <v>451</v>
      </c>
    </row>
    <row r="93" spans="2:20" ht="13.5" customHeight="1">
      <c r="B93" s="33">
        <v>4</v>
      </c>
      <c r="C93" s="32">
        <v>14</v>
      </c>
      <c r="D93" t="s">
        <v>130</v>
      </c>
      <c r="E93" t="s">
        <v>135</v>
      </c>
      <c r="F93" t="s">
        <v>384</v>
      </c>
      <c r="G93" t="s">
        <v>384</v>
      </c>
      <c r="H93" t="s">
        <v>448</v>
      </c>
      <c r="J93" s="24">
        <v>160</v>
      </c>
      <c r="K93">
        <v>129.97999999999999</v>
      </c>
      <c r="L93" s="21">
        <v>200</v>
      </c>
      <c r="M93" s="21">
        <f xml:space="preserve"> (L93 - K93)/(K93-J93)</f>
        <v>-2.332445036642238</v>
      </c>
      <c r="N93" s="21"/>
      <c r="O93" s="7">
        <v>1.61E-2</v>
      </c>
      <c r="P93" s="7">
        <v>1.61E-2</v>
      </c>
      <c r="Q93" s="34" t="s">
        <v>142</v>
      </c>
      <c r="R93" t="s">
        <v>449</v>
      </c>
      <c r="S93" t="s">
        <v>449</v>
      </c>
      <c r="T93" t="s">
        <v>452</v>
      </c>
    </row>
    <row r="94" spans="2:20" ht="13.5" customHeight="1">
      <c r="B94" s="33">
        <v>4</v>
      </c>
      <c r="C94" s="33"/>
      <c r="D94" s="17" t="s">
        <v>860</v>
      </c>
      <c r="E94" t="s">
        <v>411</v>
      </c>
      <c r="F94" t="s">
        <v>381</v>
      </c>
      <c r="G94" t="s">
        <v>381</v>
      </c>
      <c r="H94" t="s">
        <v>448</v>
      </c>
      <c r="J94" s="21">
        <v>250</v>
      </c>
      <c r="K94">
        <v>329.87</v>
      </c>
      <c r="L94" s="21">
        <v>300</v>
      </c>
      <c r="M94" s="21">
        <f xml:space="preserve"> (L94 - K94)/(K94-J94)</f>
        <v>-0.37398272192312509</v>
      </c>
      <c r="N94" s="21"/>
      <c r="O94" s="7">
        <v>1.6899999999999998E-2</v>
      </c>
      <c r="P94" s="7">
        <v>1.6899999999999998E-2</v>
      </c>
      <c r="Q94" s="34"/>
      <c r="R94" t="s">
        <v>450</v>
      </c>
      <c r="S94" t="s">
        <v>450</v>
      </c>
      <c r="T94" t="s">
        <v>452</v>
      </c>
    </row>
    <row r="95" spans="2:20" ht="13.5" customHeight="1">
      <c r="B95" s="33">
        <v>4</v>
      </c>
      <c r="C95" s="33"/>
      <c r="D95" t="s">
        <v>902</v>
      </c>
      <c r="E95" t="s">
        <v>135</v>
      </c>
      <c r="F95" t="s">
        <v>380</v>
      </c>
      <c r="G95" t="s">
        <v>380</v>
      </c>
      <c r="H95" t="s">
        <v>448</v>
      </c>
      <c r="J95" s="21">
        <v>75</v>
      </c>
      <c r="K95">
        <v>116.22</v>
      </c>
      <c r="L95" s="21">
        <v>125</v>
      </c>
      <c r="M95" s="21">
        <f xml:space="preserve"> (L95 - K95)/(K95-J95)</f>
        <v>0.21300339640950999</v>
      </c>
      <c r="N95" s="21"/>
      <c r="O95" s="7">
        <v>2.1600000000000001E-2</v>
      </c>
      <c r="P95" s="7">
        <v>2.1600000000000001E-2</v>
      </c>
      <c r="Q95" s="33"/>
      <c r="R95" t="s">
        <v>449</v>
      </c>
      <c r="S95" t="s">
        <v>449</v>
      </c>
      <c r="T95" t="s">
        <v>450</v>
      </c>
    </row>
    <row r="96" spans="2:20" ht="13.5" customHeight="1">
      <c r="B96" s="33">
        <v>4</v>
      </c>
      <c r="C96" s="33"/>
      <c r="D96" t="s">
        <v>906</v>
      </c>
      <c r="E96" t="s">
        <v>405</v>
      </c>
      <c r="F96"/>
      <c r="G96"/>
      <c r="H96" t="s">
        <v>448</v>
      </c>
      <c r="J96" s="21">
        <v>30</v>
      </c>
      <c r="K96">
        <v>17.739999999999998</v>
      </c>
      <c r="L96" s="21">
        <v>70</v>
      </c>
      <c r="M96" s="21">
        <f xml:space="preserve"> (L96 - K96)/(K96-J96)</f>
        <v>-4.2626427406199019</v>
      </c>
      <c r="N96" s="21"/>
      <c r="O96" s="7">
        <v>9.5999999999999992E-3</v>
      </c>
      <c r="P96" s="7">
        <v>9.5999999999999992E-3</v>
      </c>
      <c r="Q96" s="33"/>
      <c r="R96" t="s">
        <v>898</v>
      </c>
      <c r="S96" t="s">
        <v>450</v>
      </c>
      <c r="T96" t="s">
        <v>452</v>
      </c>
    </row>
    <row r="97" spans="2:20" ht="13.5" customHeight="1">
      <c r="B97" s="33">
        <v>4</v>
      </c>
      <c r="C97" s="33"/>
      <c r="D97" s="17" t="s">
        <v>896</v>
      </c>
      <c r="F97"/>
      <c r="G97"/>
      <c r="H97" t="s">
        <v>449</v>
      </c>
      <c r="J97" s="21"/>
      <c r="K97">
        <v>15.69</v>
      </c>
      <c r="L97" s="21"/>
      <c r="M97" s="21"/>
      <c r="N97" s="21"/>
      <c r="O97" s="7">
        <v>0.13489999999999999</v>
      </c>
      <c r="P97" s="7">
        <v>0.13489999999999999</v>
      </c>
      <c r="Q97" s="33" t="s">
        <v>897</v>
      </c>
      <c r="R97" t="s">
        <v>449</v>
      </c>
      <c r="S97" t="s">
        <v>449</v>
      </c>
      <c r="T97" t="s">
        <v>600</v>
      </c>
    </row>
    <row r="98" spans="2:20" ht="13.5" customHeight="1">
      <c r="B98" s="33">
        <v>4</v>
      </c>
      <c r="C98" s="33"/>
      <c r="D98" s="17" t="s">
        <v>901</v>
      </c>
      <c r="E98" t="s">
        <v>156</v>
      </c>
      <c r="F98" t="s">
        <v>384</v>
      </c>
      <c r="G98" t="s">
        <v>384</v>
      </c>
      <c r="H98" t="s">
        <v>449</v>
      </c>
      <c r="J98" s="21">
        <v>120</v>
      </c>
      <c r="K98">
        <v>78.45</v>
      </c>
      <c r="L98" s="21">
        <v>150</v>
      </c>
      <c r="M98" s="21">
        <f xml:space="preserve"> (L98 - K98)/(K98-J98)</f>
        <v>-1.7220216606498195</v>
      </c>
      <c r="N98" s="21">
        <f>K98/L98</f>
        <v>0.52300000000000002</v>
      </c>
      <c r="O98" s="7">
        <v>2.7699999999999999E-2</v>
      </c>
      <c r="P98" s="7">
        <v>2.7699999999999999E-2</v>
      </c>
      <c r="Q98" s="34"/>
      <c r="R98" t="s">
        <v>449</v>
      </c>
      <c r="S98" t="s">
        <v>449</v>
      </c>
      <c r="T98" t="s">
        <v>452</v>
      </c>
    </row>
    <row r="99" spans="2:20" ht="13.5" customHeight="1">
      <c r="B99" s="33">
        <v>4</v>
      </c>
      <c r="C99" s="33"/>
      <c r="D99" t="s">
        <v>566</v>
      </c>
      <c r="E99" t="s">
        <v>455</v>
      </c>
      <c r="F99" t="s">
        <v>387</v>
      </c>
      <c r="G99" t="s">
        <v>387</v>
      </c>
      <c r="H99" t="s">
        <v>449</v>
      </c>
      <c r="I99" s="17"/>
      <c r="J99" s="24">
        <v>120</v>
      </c>
      <c r="K99">
        <v>96.21</v>
      </c>
      <c r="L99" s="21">
        <v>160</v>
      </c>
      <c r="M99" s="21">
        <f xml:space="preserve"> (L99 - K99)/(K99-J99)</f>
        <v>-2.6813787305590582</v>
      </c>
      <c r="N99" s="24">
        <f>K99/L99</f>
        <v>0.60131249999999992</v>
      </c>
      <c r="O99" s="7">
        <v>-6.6E-3</v>
      </c>
      <c r="P99" s="7">
        <v>-6.6E-3</v>
      </c>
      <c r="Q99" s="33"/>
      <c r="R99" t="s">
        <v>448</v>
      </c>
      <c r="S99" t="s">
        <v>448</v>
      </c>
      <c r="T99" t="s">
        <v>452</v>
      </c>
    </row>
    <row r="100" spans="2:20" ht="13.5" customHeight="1">
      <c r="B100" s="33">
        <v>4</v>
      </c>
      <c r="C100" s="33"/>
      <c r="D100" t="s">
        <v>725</v>
      </c>
      <c r="E100" t="s">
        <v>406</v>
      </c>
      <c r="F100" t="s">
        <v>381</v>
      </c>
      <c r="G100" t="s">
        <v>381</v>
      </c>
      <c r="H100" t="s">
        <v>448</v>
      </c>
      <c r="I100" s="16"/>
      <c r="J100" s="21">
        <v>48</v>
      </c>
      <c r="K100">
        <v>77.67</v>
      </c>
      <c r="L100" s="21">
        <v>53</v>
      </c>
      <c r="M100" s="21">
        <f xml:space="preserve"> (L100 - K100)/(K100-J100)</f>
        <v>-0.83147960903269291</v>
      </c>
      <c r="N100" s="21"/>
      <c r="O100" s="7">
        <v>2.47E-2</v>
      </c>
      <c r="P100" s="7">
        <v>2.47E-2</v>
      </c>
      <c r="Q100" s="33"/>
      <c r="R100" t="s">
        <v>450</v>
      </c>
      <c r="S100" t="s">
        <v>450</v>
      </c>
      <c r="T100" t="s">
        <v>450</v>
      </c>
    </row>
    <row r="101" spans="2:20" ht="13.5" customHeight="1">
      <c r="B101" s="33">
        <v>4</v>
      </c>
      <c r="C101" s="33"/>
      <c r="D101" t="s">
        <v>645</v>
      </c>
      <c r="E101" t="s">
        <v>317</v>
      </c>
      <c r="F101" t="s">
        <v>387</v>
      </c>
      <c r="G101" t="s">
        <v>387</v>
      </c>
      <c r="H101" t="s">
        <v>449</v>
      </c>
      <c r="J101" s="21">
        <v>10.5</v>
      </c>
      <c r="K101">
        <v>27.44</v>
      </c>
      <c r="L101" s="21">
        <v>14</v>
      </c>
      <c r="M101" s="21">
        <f xml:space="preserve"> (L101 - K101)/(K101-J101)</f>
        <v>-0.79338842975206614</v>
      </c>
      <c r="N101" s="21">
        <f>K101/L101</f>
        <v>1.9600000000000002</v>
      </c>
      <c r="O101" s="7">
        <v>-4.3E-3</v>
      </c>
      <c r="P101" s="7">
        <v>-4.3E-3</v>
      </c>
      <c r="Q101" s="33"/>
      <c r="R101" t="s">
        <v>448</v>
      </c>
      <c r="S101" t="s">
        <v>449</v>
      </c>
      <c r="T101" t="s">
        <v>452</v>
      </c>
    </row>
    <row r="102" spans="2:20" ht="13.5" customHeight="1">
      <c r="B102" s="33">
        <v>4</v>
      </c>
      <c r="C102" s="33"/>
      <c r="D102" t="s">
        <v>496</v>
      </c>
      <c r="E102" t="s">
        <v>135</v>
      </c>
      <c r="F102" t="s">
        <v>381</v>
      </c>
      <c r="G102" t="s">
        <v>381</v>
      </c>
      <c r="H102" t="s">
        <v>448</v>
      </c>
      <c r="I102" s="16"/>
      <c r="J102" s="21">
        <v>80</v>
      </c>
      <c r="K102">
        <v>290.86</v>
      </c>
      <c r="L102" s="21">
        <v>140</v>
      </c>
      <c r="M102" s="21">
        <f xml:space="preserve"> (L102 - K102)/(K102-J102)</f>
        <v>-0.71545101014891399</v>
      </c>
      <c r="N102" s="21">
        <f>K102/L102</f>
        <v>2.0775714285714288</v>
      </c>
      <c r="O102" s="7">
        <v>1.21E-2</v>
      </c>
      <c r="P102" s="7">
        <v>1.21E-2</v>
      </c>
      <c r="Q102" s="34"/>
      <c r="R102" t="s">
        <v>448</v>
      </c>
      <c r="S102" t="s">
        <v>448</v>
      </c>
      <c r="T102" t="s">
        <v>452</v>
      </c>
    </row>
    <row r="103" spans="2:20" ht="13.5" customHeight="1">
      <c r="B103" s="33">
        <v>4</v>
      </c>
      <c r="C103" s="33"/>
      <c r="D103" s="17" t="s">
        <v>243</v>
      </c>
      <c r="E103" t="s">
        <v>486</v>
      </c>
      <c r="F103" t="s">
        <v>380</v>
      </c>
      <c r="G103" t="s">
        <v>380</v>
      </c>
      <c r="H103" t="s">
        <v>448</v>
      </c>
      <c r="J103" s="21">
        <v>180</v>
      </c>
      <c r="K103">
        <v>199.23</v>
      </c>
      <c r="L103" s="21">
        <v>200</v>
      </c>
      <c r="M103" s="21">
        <f xml:space="preserve"> (L103 - K103)/(K103-J103)</f>
        <v>4.0041601664067117E-2</v>
      </c>
      <c r="N103" s="21">
        <f>K103/L103</f>
        <v>0.99614999999999998</v>
      </c>
      <c r="O103" s="7">
        <v>4.0399999999999998E-2</v>
      </c>
      <c r="P103" s="7">
        <v>4.0399999999999998E-2</v>
      </c>
      <c r="Q103" s="34"/>
      <c r="R103" t="s">
        <v>448</v>
      </c>
      <c r="S103" t="s">
        <v>448</v>
      </c>
      <c r="T103" t="s">
        <v>452</v>
      </c>
    </row>
    <row r="104" spans="2:20" ht="13.5" customHeight="1">
      <c r="B104" s="33">
        <v>4</v>
      </c>
      <c r="C104" s="34"/>
      <c r="D104" t="s">
        <v>683</v>
      </c>
      <c r="E104" t="s">
        <v>486</v>
      </c>
      <c r="F104" t="s">
        <v>384</v>
      </c>
      <c r="G104" t="s">
        <v>384</v>
      </c>
      <c r="H104" t="s">
        <v>448</v>
      </c>
      <c r="I104" s="17"/>
      <c r="J104" s="24">
        <v>4</v>
      </c>
      <c r="K104">
        <v>6.09</v>
      </c>
      <c r="L104" s="24">
        <v>7</v>
      </c>
      <c r="M104" s="21">
        <f xml:space="preserve"> (L104 - K104)/(K104-J104)</f>
        <v>0.43540669856459341</v>
      </c>
      <c r="N104" s="21">
        <f>K104/L104</f>
        <v>0.87</v>
      </c>
      <c r="O104" s="53">
        <v>0.06</v>
      </c>
      <c r="P104" s="53">
        <v>0.06</v>
      </c>
      <c r="Q104" s="33"/>
      <c r="R104" t="s">
        <v>448</v>
      </c>
      <c r="S104" t="s">
        <v>450</v>
      </c>
      <c r="T104" t="s">
        <v>450</v>
      </c>
    </row>
    <row r="105" spans="2:20" ht="13.5" customHeight="1">
      <c r="B105" s="33">
        <v>4</v>
      </c>
      <c r="C105" s="33"/>
      <c r="D105" t="s">
        <v>112</v>
      </c>
      <c r="E105" t="s">
        <v>394</v>
      </c>
      <c r="F105" t="s">
        <v>383</v>
      </c>
      <c r="G105" t="s">
        <v>381</v>
      </c>
      <c r="H105" t="s">
        <v>448</v>
      </c>
      <c r="J105" s="21">
        <v>65</v>
      </c>
      <c r="K105">
        <v>34.39</v>
      </c>
      <c r="L105" s="21">
        <v>80</v>
      </c>
      <c r="M105" s="21">
        <f xml:space="preserve"> (L105 - K105)/(K105-J105)</f>
        <v>-1.4900359359686377</v>
      </c>
      <c r="N105" s="21">
        <f>K105/L105</f>
        <v>0.42987500000000001</v>
      </c>
      <c r="O105" s="7">
        <v>3.5700000000000003E-2</v>
      </c>
      <c r="P105" s="7">
        <v>3.5700000000000003E-2</v>
      </c>
      <c r="Q105" s="33" t="s">
        <v>139</v>
      </c>
      <c r="R105" t="s">
        <v>448</v>
      </c>
      <c r="S105" t="s">
        <v>448</v>
      </c>
      <c r="T105" t="s">
        <v>450</v>
      </c>
    </row>
    <row r="106" spans="2:20" ht="13.5" customHeight="1">
      <c r="B106" s="33">
        <v>4</v>
      </c>
      <c r="C106" s="33"/>
      <c r="D106" t="s">
        <v>332</v>
      </c>
      <c r="E106" t="s">
        <v>422</v>
      </c>
      <c r="F106" t="s">
        <v>381</v>
      </c>
      <c r="G106" t="s">
        <v>381</v>
      </c>
      <c r="H106" t="s">
        <v>448</v>
      </c>
      <c r="J106" s="21">
        <v>65</v>
      </c>
      <c r="K106">
        <v>68.56</v>
      </c>
      <c r="L106" s="21">
        <v>90</v>
      </c>
      <c r="M106" s="21">
        <f xml:space="preserve"> (L106 - K106)/(K106-J106)</f>
        <v>6.0224719101123547</v>
      </c>
      <c r="N106" s="21">
        <f>K106/L106</f>
        <v>0.76177777777777778</v>
      </c>
      <c r="O106" s="7">
        <v>-5.9999999999999995E-4</v>
      </c>
      <c r="P106" s="7">
        <v>-5.9999999999999995E-4</v>
      </c>
      <c r="Q106" s="33"/>
      <c r="R106" t="s">
        <v>449</v>
      </c>
      <c r="S106" t="s">
        <v>449</v>
      </c>
      <c r="T106" t="s">
        <v>450</v>
      </c>
    </row>
    <row r="107" spans="2:20" ht="13.5" customHeight="1">
      <c r="B107" s="33">
        <v>4</v>
      </c>
      <c r="C107" s="33"/>
      <c r="D107" t="s">
        <v>634</v>
      </c>
      <c r="E107" t="s">
        <v>579</v>
      </c>
      <c r="F107" t="s">
        <v>381</v>
      </c>
      <c r="G107" t="s">
        <v>381</v>
      </c>
      <c r="H107" t="s">
        <v>448</v>
      </c>
      <c r="I107">
        <v>141</v>
      </c>
      <c r="J107" s="21">
        <v>140</v>
      </c>
      <c r="K107">
        <v>113.22</v>
      </c>
      <c r="L107" s="21">
        <v>180</v>
      </c>
      <c r="M107" s="21">
        <f xml:space="preserve"> (L107 - K107)/(K107-J107)</f>
        <v>-2.493651979088872</v>
      </c>
      <c r="N107" s="21">
        <f>K107/L107</f>
        <v>0.629</v>
      </c>
      <c r="O107" s="7">
        <v>2.7199999999999998E-2</v>
      </c>
      <c r="P107" s="7">
        <v>2.7199999999999998E-2</v>
      </c>
      <c r="Q107" s="33"/>
      <c r="R107" t="s">
        <v>448</v>
      </c>
      <c r="S107" t="s">
        <v>448</v>
      </c>
      <c r="T107" t="s">
        <v>452</v>
      </c>
    </row>
    <row r="108" spans="2:20" ht="13.5" customHeight="1">
      <c r="B108" s="33">
        <v>4</v>
      </c>
      <c r="C108" s="33"/>
      <c r="D108" t="s">
        <v>47</v>
      </c>
      <c r="E108" t="s">
        <v>388</v>
      </c>
      <c r="F108" t="s">
        <v>383</v>
      </c>
      <c r="G108" t="s">
        <v>383</v>
      </c>
      <c r="H108" t="s">
        <v>448</v>
      </c>
      <c r="J108" s="21">
        <v>20</v>
      </c>
      <c r="K108">
        <v>39.1</v>
      </c>
      <c r="L108" s="21">
        <v>37.5</v>
      </c>
      <c r="M108" s="21">
        <f xml:space="preserve"> (L108 - K108)/(K108-J108)</f>
        <v>-8.3769633507853478E-2</v>
      </c>
      <c r="N108" s="21">
        <f>K108/L108</f>
        <v>1.0426666666666666</v>
      </c>
      <c r="O108" s="7">
        <v>3.7100000000000001E-2</v>
      </c>
      <c r="P108" s="7">
        <v>3.7100000000000001E-2</v>
      </c>
      <c r="Q108" s="34"/>
      <c r="R108" t="s">
        <v>448</v>
      </c>
      <c r="S108" t="s">
        <v>450</v>
      </c>
      <c r="T108" t="s">
        <v>452</v>
      </c>
    </row>
    <row r="109" spans="2:20" ht="13.5" customHeight="1">
      <c r="B109" s="33">
        <v>4</v>
      </c>
      <c r="C109" s="33"/>
      <c r="D109" t="s">
        <v>868</v>
      </c>
      <c r="E109" t="s">
        <v>379</v>
      </c>
      <c r="F109" t="s">
        <v>383</v>
      </c>
      <c r="G109" t="s">
        <v>383</v>
      </c>
      <c r="H109" t="s">
        <v>449</v>
      </c>
      <c r="I109" s="16"/>
      <c r="J109" s="21">
        <v>60</v>
      </c>
      <c r="K109">
        <v>69.739999999999995</v>
      </c>
      <c r="L109" s="21">
        <v>85</v>
      </c>
      <c r="M109" s="21">
        <f xml:space="preserve"> (L109 - K109)/(K109-J109)</f>
        <v>1.5667351129363463</v>
      </c>
      <c r="N109" s="21">
        <f>K109/L109</f>
        <v>0.82047058823529406</v>
      </c>
      <c r="O109" s="7">
        <v>3.4500000000000003E-2</v>
      </c>
      <c r="P109" s="7">
        <v>3.4500000000000003E-2</v>
      </c>
      <c r="Q109" s="34" t="s">
        <v>870</v>
      </c>
      <c r="R109" t="s">
        <v>448</v>
      </c>
      <c r="S109" t="s">
        <v>448</v>
      </c>
      <c r="T109" t="s">
        <v>452</v>
      </c>
    </row>
    <row r="110" spans="2:20" ht="13.5" customHeight="1">
      <c r="B110" s="33">
        <v>4</v>
      </c>
      <c r="C110" s="33"/>
      <c r="D110" t="s">
        <v>577</v>
      </c>
      <c r="E110" t="s">
        <v>399</v>
      </c>
      <c r="F110" t="s">
        <v>381</v>
      </c>
      <c r="G110" t="s">
        <v>381</v>
      </c>
      <c r="H110" t="s">
        <v>448</v>
      </c>
      <c r="J110" s="21">
        <v>58</v>
      </c>
      <c r="K110">
        <v>101.35</v>
      </c>
      <c r="L110" s="21">
        <v>70</v>
      </c>
      <c r="M110" s="21">
        <f xml:space="preserve"> (L110 - K110)/(K110-J110)</f>
        <v>-0.72318339100346019</v>
      </c>
      <c r="N110" s="21">
        <f>K110/L110</f>
        <v>1.4478571428571427</v>
      </c>
      <c r="O110" s="7">
        <v>-2.0999999999999999E-3</v>
      </c>
      <c r="P110" s="7">
        <v>-2.0999999999999999E-3</v>
      </c>
      <c r="Q110" s="33"/>
      <c r="R110" t="s">
        <v>448</v>
      </c>
      <c r="S110" t="s">
        <v>448</v>
      </c>
      <c r="T110" t="s">
        <v>450</v>
      </c>
    </row>
    <row r="111" spans="2:20" ht="13.5" customHeight="1">
      <c r="B111" s="33">
        <v>4</v>
      </c>
      <c r="C111" s="33"/>
      <c r="D111" t="s">
        <v>687</v>
      </c>
      <c r="E111" t="s">
        <v>581</v>
      </c>
      <c r="F111" t="s">
        <v>386</v>
      </c>
      <c r="G111" t="s">
        <v>386</v>
      </c>
      <c r="H111" t="s">
        <v>449</v>
      </c>
      <c r="J111" s="21">
        <v>40</v>
      </c>
      <c r="K111">
        <v>88.97</v>
      </c>
      <c r="L111" s="21">
        <v>48</v>
      </c>
      <c r="M111" s="21">
        <f xml:space="preserve"> (L111 - K111)/(K111-J111)</f>
        <v>-0.83663467429038185</v>
      </c>
      <c r="N111" s="21">
        <f>K111/L111</f>
        <v>1.8535416666666666</v>
      </c>
      <c r="O111" s="7">
        <v>3.7400000000000003E-2</v>
      </c>
      <c r="P111" s="7">
        <v>3.7400000000000003E-2</v>
      </c>
      <c r="Q111" s="33"/>
      <c r="R111" t="s">
        <v>449</v>
      </c>
      <c r="S111" t="s">
        <v>449</v>
      </c>
      <c r="T111" t="s">
        <v>451</v>
      </c>
    </row>
    <row r="112" spans="2:20" ht="13.5" customHeight="1">
      <c r="B112" s="33">
        <v>4</v>
      </c>
      <c r="C112" s="33"/>
      <c r="D112" s="17" t="s">
        <v>920</v>
      </c>
      <c r="E112" t="s">
        <v>156</v>
      </c>
      <c r="F112" t="s">
        <v>380</v>
      </c>
      <c r="G112" t="s">
        <v>380</v>
      </c>
      <c r="H112" t="s">
        <v>449</v>
      </c>
      <c r="J112" s="21"/>
      <c r="K112">
        <v>62.07</v>
      </c>
      <c r="L112" s="21"/>
      <c r="M112" s="21"/>
      <c r="N112" s="21"/>
      <c r="O112" s="7">
        <v>1.09E-2</v>
      </c>
      <c r="P112" s="7">
        <v>1.09E-2</v>
      </c>
      <c r="Q112" s="33"/>
      <c r="R112" t="s">
        <v>449</v>
      </c>
      <c r="S112" t="s">
        <v>449</v>
      </c>
      <c r="T112" t="s">
        <v>451</v>
      </c>
    </row>
    <row r="113" spans="2:20" ht="13.5" customHeight="1">
      <c r="B113" s="33">
        <v>4</v>
      </c>
      <c r="C113" s="33"/>
      <c r="D113" t="s">
        <v>440</v>
      </c>
      <c r="E113" t="s">
        <v>199</v>
      </c>
      <c r="F113" t="s">
        <v>381</v>
      </c>
      <c r="G113" t="s">
        <v>381</v>
      </c>
      <c r="H113" t="s">
        <v>449</v>
      </c>
      <c r="I113" s="17"/>
      <c r="J113" s="24">
        <v>23</v>
      </c>
      <c r="K113">
        <v>51.41</v>
      </c>
      <c r="L113" s="21">
        <v>50</v>
      </c>
      <c r="M113" s="21">
        <f xml:space="preserve"> (L113 - K113)/(K113-J113)</f>
        <v>-4.963041182682143E-2</v>
      </c>
      <c r="N113" s="21">
        <f>K113/L113</f>
        <v>1.0282</v>
      </c>
      <c r="O113" s="7">
        <v>5.2900000000000003E-2</v>
      </c>
      <c r="P113" s="7">
        <v>5.2900000000000003E-2</v>
      </c>
      <c r="Q113" s="33"/>
      <c r="R113" t="s">
        <v>448</v>
      </c>
      <c r="S113" t="s">
        <v>450</v>
      </c>
      <c r="T113" t="s">
        <v>600</v>
      </c>
    </row>
    <row r="114" spans="2:20">
      <c r="B114" s="33">
        <v>4</v>
      </c>
      <c r="C114" s="33"/>
      <c r="D114" t="s">
        <v>350</v>
      </c>
      <c r="E114" t="s">
        <v>407</v>
      </c>
      <c r="F114" t="s">
        <v>385</v>
      </c>
      <c r="G114" t="s">
        <v>385</v>
      </c>
      <c r="H114" t="s">
        <v>449</v>
      </c>
      <c r="I114" s="17"/>
      <c r="J114" s="24">
        <v>70</v>
      </c>
      <c r="K114">
        <v>154.94999999999999</v>
      </c>
      <c r="L114" s="21">
        <v>80</v>
      </c>
      <c r="M114" s="21">
        <f xml:space="preserve"> (L114 - K114)/(K114-J114)</f>
        <v>-0.88228369629193637</v>
      </c>
      <c r="N114" s="21">
        <f>K114/L114</f>
        <v>1.9368749999999999</v>
      </c>
      <c r="O114" s="7">
        <v>1.8E-3</v>
      </c>
      <c r="P114" s="7">
        <v>1.8E-3</v>
      </c>
      <c r="Q114" s="33"/>
      <c r="R114" t="s">
        <v>450</v>
      </c>
      <c r="S114" t="s">
        <v>450</v>
      </c>
      <c r="T114" t="s">
        <v>452</v>
      </c>
    </row>
    <row r="115" spans="2:20">
      <c r="B115" s="33">
        <v>4</v>
      </c>
      <c r="C115" s="33"/>
      <c r="D115" t="s">
        <v>468</v>
      </c>
      <c r="E115" t="s">
        <v>135</v>
      </c>
      <c r="F115" t="s">
        <v>383</v>
      </c>
      <c r="G115" t="s">
        <v>383</v>
      </c>
      <c r="H115" t="s">
        <v>448</v>
      </c>
      <c r="J115" s="21">
        <v>68</v>
      </c>
      <c r="K115">
        <v>64.739999999999995</v>
      </c>
      <c r="L115" s="21">
        <v>82</v>
      </c>
      <c r="M115" s="21">
        <f xml:space="preserve"> (L115 - K115)/(K115-J115)</f>
        <v>-5.2944785276073549</v>
      </c>
      <c r="N115" s="21">
        <f>K115/L115</f>
        <v>0.78951219512195114</v>
      </c>
      <c r="O115" s="7">
        <v>-1.4E-2</v>
      </c>
      <c r="P115" s="7">
        <v>-1.4E-2</v>
      </c>
      <c r="Q115" s="34"/>
      <c r="R115" t="s">
        <v>448</v>
      </c>
      <c r="S115" t="s">
        <v>448</v>
      </c>
      <c r="T115" t="s">
        <v>450</v>
      </c>
    </row>
    <row r="116" spans="2:20">
      <c r="B116" s="33">
        <v>4</v>
      </c>
      <c r="C116" s="33"/>
      <c r="D116" t="s">
        <v>888</v>
      </c>
      <c r="E116" t="s">
        <v>581</v>
      </c>
      <c r="F116" t="s">
        <v>387</v>
      </c>
      <c r="G116" t="s">
        <v>387</v>
      </c>
      <c r="H116" t="s">
        <v>449</v>
      </c>
      <c r="J116" s="21">
        <v>100</v>
      </c>
      <c r="K116">
        <v>122.44</v>
      </c>
      <c r="L116" s="21">
        <v>150</v>
      </c>
      <c r="M116" s="21">
        <f xml:space="preserve"> (L116 - K116)/(K116-J116)</f>
        <v>1.2281639928698755</v>
      </c>
      <c r="N116" s="21">
        <f>K116/L116</f>
        <v>0.8162666666666667</v>
      </c>
      <c r="O116" s="7">
        <v>-1.89E-2</v>
      </c>
      <c r="P116" s="7">
        <v>-1.89E-2</v>
      </c>
      <c r="Q116" s="33"/>
      <c r="R116" t="s">
        <v>450</v>
      </c>
      <c r="S116" t="s">
        <v>449</v>
      </c>
      <c r="T116" t="s">
        <v>451</v>
      </c>
    </row>
    <row r="117" spans="2:20">
      <c r="B117" s="33">
        <v>4</v>
      </c>
      <c r="C117" s="33"/>
      <c r="D117" t="s">
        <v>464</v>
      </c>
      <c r="E117" t="s">
        <v>156</v>
      </c>
      <c r="F117" t="s">
        <v>384</v>
      </c>
      <c r="G117" t="s">
        <v>384</v>
      </c>
      <c r="H117" t="s">
        <v>449</v>
      </c>
      <c r="J117" s="21"/>
      <c r="K117">
        <v>137.37</v>
      </c>
      <c r="L117" s="21"/>
      <c r="M117" s="21"/>
      <c r="N117" s="21" t="e">
        <f>K117/L117</f>
        <v>#DIV/0!</v>
      </c>
      <c r="O117" s="7">
        <v>1.9900000000000001E-2</v>
      </c>
      <c r="P117" s="7">
        <v>1.9900000000000001E-2</v>
      </c>
      <c r="Q117" s="33"/>
      <c r="R117" t="s">
        <v>449</v>
      </c>
      <c r="S117" t="s">
        <v>450</v>
      </c>
      <c r="T117" t="s">
        <v>451</v>
      </c>
    </row>
    <row r="118" spans="2:20">
      <c r="B118" s="33">
        <v>4</v>
      </c>
      <c r="C118" s="33"/>
      <c r="D118" t="s">
        <v>814</v>
      </c>
      <c r="E118" t="s">
        <v>638</v>
      </c>
      <c r="F118" t="s">
        <v>381</v>
      </c>
      <c r="G118" t="s">
        <v>383</v>
      </c>
      <c r="H118" t="s">
        <v>448</v>
      </c>
      <c r="J118" s="21">
        <v>38</v>
      </c>
      <c r="K118">
        <v>38.43</v>
      </c>
      <c r="L118" s="21">
        <v>45</v>
      </c>
      <c r="M118" s="21">
        <f xml:space="preserve"> (L118 - K118)/(K118-J118)</f>
        <v>15.279069767441872</v>
      </c>
      <c r="N118" s="21">
        <f>K118/L118</f>
        <v>0.85399999999999998</v>
      </c>
      <c r="O118" s="7">
        <v>-6.9999999999999999E-4</v>
      </c>
      <c r="P118" s="7">
        <v>-6.9999999999999999E-4</v>
      </c>
      <c r="Q118" s="33"/>
      <c r="R118" t="s">
        <v>449</v>
      </c>
      <c r="S118" t="s">
        <v>449</v>
      </c>
      <c r="T118" t="s">
        <v>450</v>
      </c>
    </row>
    <row r="119" spans="2:20">
      <c r="B119" s="33">
        <v>4</v>
      </c>
      <c r="C119" s="33"/>
      <c r="D119" t="s">
        <v>746</v>
      </c>
      <c r="E119" t="s">
        <v>455</v>
      </c>
      <c r="F119"/>
      <c r="G119"/>
      <c r="H119" t="s">
        <v>928</v>
      </c>
      <c r="J119" s="21">
        <v>10</v>
      </c>
      <c r="K119">
        <v>0</v>
      </c>
      <c r="L119" s="21">
        <v>30</v>
      </c>
      <c r="M119" s="21">
        <f xml:space="preserve"> (L119 - K119)/(K119-J119)</f>
        <v>-3</v>
      </c>
      <c r="N119" s="21">
        <f>K119/L119</f>
        <v>0</v>
      </c>
      <c r="O119" s="53">
        <v>0</v>
      </c>
      <c r="P119" s="53">
        <v>0</v>
      </c>
      <c r="Q119" s="33"/>
      <c r="R119" t="s">
        <v>928</v>
      </c>
      <c r="S119" t="s">
        <v>928</v>
      </c>
      <c r="T119" t="s">
        <v>928</v>
      </c>
    </row>
    <row r="120" spans="2:20">
      <c r="B120" s="33">
        <v>4</v>
      </c>
      <c r="C120" s="33"/>
      <c r="D120" t="s">
        <v>718</v>
      </c>
      <c r="E120" t="s">
        <v>407</v>
      </c>
      <c r="F120" t="s">
        <v>387</v>
      </c>
      <c r="G120" t="s">
        <v>386</v>
      </c>
      <c r="H120" t="s">
        <v>449</v>
      </c>
      <c r="J120" s="21">
        <v>220</v>
      </c>
      <c r="K120">
        <v>224.73</v>
      </c>
      <c r="L120" s="21">
        <v>275</v>
      </c>
      <c r="M120" s="21">
        <f xml:space="preserve"> (L120 - K120)/(K120-J120)</f>
        <v>10.627906976744212</v>
      </c>
      <c r="N120" s="21">
        <f>K120/L120</f>
        <v>0.81719999999999993</v>
      </c>
      <c r="O120" s="7">
        <v>6.4999999999999997E-3</v>
      </c>
      <c r="P120" s="7">
        <v>6.4999999999999997E-3</v>
      </c>
      <c r="Q120" s="33"/>
      <c r="R120" t="s">
        <v>448</v>
      </c>
      <c r="S120" t="s">
        <v>448</v>
      </c>
      <c r="T120" t="s">
        <v>452</v>
      </c>
    </row>
    <row r="121" spans="2:20">
      <c r="B121" s="33">
        <v>4</v>
      </c>
      <c r="C121" s="33"/>
      <c r="D121" t="s">
        <v>681</v>
      </c>
      <c r="E121" t="s">
        <v>397</v>
      </c>
      <c r="F121" t="s">
        <v>384</v>
      </c>
      <c r="G121" t="s">
        <v>384</v>
      </c>
      <c r="H121" t="s">
        <v>449</v>
      </c>
      <c r="J121" s="21">
        <v>9</v>
      </c>
      <c r="K121">
        <v>11.52</v>
      </c>
      <c r="L121" s="21">
        <v>13</v>
      </c>
      <c r="M121" s="21">
        <f xml:space="preserve"> (L121 - K121)/(K121-J121)</f>
        <v>0.58730158730158755</v>
      </c>
      <c r="N121" s="21">
        <f>K121/L121</f>
        <v>0.88615384615384607</v>
      </c>
      <c r="O121" s="7">
        <v>1.95E-2</v>
      </c>
      <c r="P121" s="7">
        <v>1.95E-2</v>
      </c>
      <c r="Q121" s="33"/>
      <c r="R121" t="s">
        <v>448</v>
      </c>
      <c r="S121" t="s">
        <v>449</v>
      </c>
      <c r="T121" t="s">
        <v>450</v>
      </c>
    </row>
    <row r="122" spans="2:20">
      <c r="B122" s="33">
        <v>4</v>
      </c>
      <c r="C122" s="33"/>
      <c r="D122" s="17" t="s">
        <v>927</v>
      </c>
      <c r="E122" t="s">
        <v>583</v>
      </c>
      <c r="F122" t="s">
        <v>384</v>
      </c>
      <c r="G122" t="s">
        <v>384</v>
      </c>
      <c r="H122" t="s">
        <v>448</v>
      </c>
      <c r="J122" s="21"/>
      <c r="K122">
        <v>39.42</v>
      </c>
      <c r="L122" s="21"/>
      <c r="M122" s="21"/>
      <c r="N122" s="21"/>
      <c r="O122" s="7">
        <v>5.4999999999999997E-3</v>
      </c>
      <c r="P122" s="7">
        <v>5.4999999999999997E-3</v>
      </c>
      <c r="Q122" s="34"/>
      <c r="R122" t="s">
        <v>448</v>
      </c>
      <c r="S122" t="s">
        <v>450</v>
      </c>
      <c r="T122" t="s">
        <v>452</v>
      </c>
    </row>
    <row r="123" spans="2:20">
      <c r="B123" s="33">
        <v>4</v>
      </c>
      <c r="C123" s="33"/>
      <c r="D123" t="s">
        <v>912</v>
      </c>
      <c r="E123" t="s">
        <v>166</v>
      </c>
      <c r="F123" t="s">
        <v>381</v>
      </c>
      <c r="G123" t="s">
        <v>381</v>
      </c>
      <c r="H123" t="s">
        <v>448</v>
      </c>
      <c r="J123" s="21"/>
      <c r="K123">
        <v>268.89999999999998</v>
      </c>
      <c r="L123" s="21"/>
      <c r="M123" s="21"/>
      <c r="N123" s="21" t="e">
        <f>K123/L123</f>
        <v>#DIV/0!</v>
      </c>
      <c r="O123" s="7">
        <v>2.1399999999999999E-2</v>
      </c>
      <c r="P123" s="7">
        <v>2.1399999999999999E-2</v>
      </c>
      <c r="Q123" s="33"/>
      <c r="R123" t="s">
        <v>450</v>
      </c>
      <c r="S123" t="s">
        <v>448</v>
      </c>
      <c r="T123" t="s">
        <v>451</v>
      </c>
    </row>
    <row r="124" spans="2:20">
      <c r="B124" s="33">
        <v>4</v>
      </c>
      <c r="C124" s="33"/>
      <c r="D124" t="s">
        <v>445</v>
      </c>
      <c r="E124" t="s">
        <v>411</v>
      </c>
      <c r="F124" t="s">
        <v>387</v>
      </c>
      <c r="G124" t="s">
        <v>387</v>
      </c>
      <c r="H124" t="s">
        <v>448</v>
      </c>
      <c r="J124" s="21">
        <v>100</v>
      </c>
      <c r="K124">
        <v>52.39</v>
      </c>
      <c r="L124" s="21">
        <v>130</v>
      </c>
      <c r="M124" s="21">
        <f xml:space="preserve"> (L124 - K124)/(K124-J124)</f>
        <v>-1.6301197227473221</v>
      </c>
      <c r="N124" s="21">
        <f>K124/L124</f>
        <v>0.40300000000000002</v>
      </c>
      <c r="O124" s="7">
        <v>3.32E-2</v>
      </c>
      <c r="P124" s="7">
        <v>3.32E-2</v>
      </c>
      <c r="Q124" s="33"/>
      <c r="R124" t="s">
        <v>450</v>
      </c>
      <c r="S124" t="s">
        <v>449</v>
      </c>
      <c r="T124" t="s">
        <v>450</v>
      </c>
    </row>
    <row r="125" spans="2:20">
      <c r="B125" s="33">
        <v>4</v>
      </c>
      <c r="C125" s="33"/>
      <c r="D125" t="s">
        <v>129</v>
      </c>
      <c r="E125" t="s">
        <v>579</v>
      </c>
      <c r="F125" t="s">
        <v>380</v>
      </c>
      <c r="G125" t="s">
        <v>380</v>
      </c>
      <c r="H125" t="s">
        <v>448</v>
      </c>
      <c r="J125" s="21">
        <v>900</v>
      </c>
      <c r="K125">
        <v>972.42</v>
      </c>
      <c r="L125" s="21">
        <v>1100</v>
      </c>
      <c r="M125" s="21">
        <f xml:space="preserve"> (L125 - K125)/(K125-J125)</f>
        <v>1.7616680475006921</v>
      </c>
      <c r="N125" s="21">
        <f>K125/L125</f>
        <v>0.88401818181818181</v>
      </c>
      <c r="O125" s="7">
        <v>1.9599999999999999E-2</v>
      </c>
      <c r="P125" s="7">
        <v>1.9599999999999999E-2</v>
      </c>
      <c r="Q125" s="33"/>
      <c r="R125" t="s">
        <v>448</v>
      </c>
      <c r="S125" t="s">
        <v>448</v>
      </c>
      <c r="T125" t="s">
        <v>450</v>
      </c>
    </row>
    <row r="126" spans="2:20">
      <c r="B126" s="33">
        <v>4</v>
      </c>
      <c r="C126" s="33"/>
      <c r="D126" t="s">
        <v>858</v>
      </c>
      <c r="F126" t="s">
        <v>382</v>
      </c>
      <c r="G126" t="s">
        <v>382</v>
      </c>
      <c r="H126" t="s">
        <v>448</v>
      </c>
      <c r="I126" s="17"/>
      <c r="J126" s="24">
        <v>50</v>
      </c>
      <c r="K126">
        <v>49.08</v>
      </c>
      <c r="L126" s="24">
        <v>52.5</v>
      </c>
      <c r="M126" s="21">
        <f xml:space="preserve"> (L126 - K126)/(K126-J126)</f>
        <v>-3.7173913043478208</v>
      </c>
      <c r="N126" s="21">
        <f>K126/L126</f>
        <v>0.93485714285714283</v>
      </c>
      <c r="O126" s="7">
        <v>-5.9999999999999995E-4</v>
      </c>
      <c r="P126" s="7">
        <v>-5.9999999999999995E-4</v>
      </c>
      <c r="Q126" s="34"/>
      <c r="R126" t="s">
        <v>449</v>
      </c>
      <c r="S126" t="s">
        <v>449</v>
      </c>
      <c r="T126" t="s">
        <v>450</v>
      </c>
    </row>
    <row r="127" spans="2:20">
      <c r="B127" s="33">
        <v>4</v>
      </c>
      <c r="C127" s="33"/>
      <c r="D127" t="s">
        <v>565</v>
      </c>
      <c r="E127" t="s">
        <v>402</v>
      </c>
      <c r="F127" t="s">
        <v>381</v>
      </c>
      <c r="G127" t="s">
        <v>381</v>
      </c>
      <c r="H127" t="s">
        <v>448</v>
      </c>
      <c r="I127" s="17"/>
      <c r="J127" s="24">
        <v>8</v>
      </c>
      <c r="K127">
        <v>6.83</v>
      </c>
      <c r="L127" s="21">
        <v>10</v>
      </c>
      <c r="M127" s="21">
        <f xml:space="preserve"> (L127 - K127)/(K127-J127)</f>
        <v>-2.7094017094017095</v>
      </c>
      <c r="N127" s="21">
        <f>K127/L127</f>
        <v>0.68300000000000005</v>
      </c>
      <c r="O127" s="7">
        <v>3.3700000000000001E-2</v>
      </c>
      <c r="P127" s="7">
        <v>3.3700000000000001E-2</v>
      </c>
      <c r="Q127" s="33"/>
      <c r="R127" t="s">
        <v>448</v>
      </c>
      <c r="S127" t="s">
        <v>450</v>
      </c>
      <c r="T127" t="s">
        <v>600</v>
      </c>
    </row>
    <row r="128" spans="2:20">
      <c r="B128" s="33">
        <v>4</v>
      </c>
      <c r="C128" s="33"/>
      <c r="D128" t="s">
        <v>712</v>
      </c>
      <c r="E128" t="s">
        <v>135</v>
      </c>
      <c r="F128" t="s">
        <v>381</v>
      </c>
      <c r="G128" t="s">
        <v>381</v>
      </c>
      <c r="H128" t="s">
        <v>448</v>
      </c>
      <c r="I128" s="17"/>
      <c r="J128" s="24">
        <v>120</v>
      </c>
      <c r="K128">
        <v>84.44</v>
      </c>
      <c r="L128" s="21">
        <v>160</v>
      </c>
      <c r="M128" s="21">
        <f xml:space="preserve"> (L128 - K128)/(K128-J128)</f>
        <v>-2.124859392575928</v>
      </c>
      <c r="N128" s="21">
        <f>K128/L128</f>
        <v>0.52774999999999994</v>
      </c>
      <c r="O128" s="7">
        <v>4.4299999999999999E-2</v>
      </c>
      <c r="P128" s="7">
        <v>4.4299999999999999E-2</v>
      </c>
      <c r="Q128" s="34"/>
      <c r="R128" t="s">
        <v>448</v>
      </c>
      <c r="S128" t="s">
        <v>449</v>
      </c>
      <c r="T128" t="s">
        <v>450</v>
      </c>
    </row>
    <row r="129" spans="2:20">
      <c r="B129" s="33">
        <v>4</v>
      </c>
      <c r="C129" s="33"/>
      <c r="D129" t="s">
        <v>826</v>
      </c>
      <c r="E129" t="s">
        <v>828</v>
      </c>
      <c r="F129" t="s">
        <v>387</v>
      </c>
      <c r="G129" t="s">
        <v>387</v>
      </c>
      <c r="H129" t="s">
        <v>448</v>
      </c>
      <c r="J129" s="21">
        <v>200</v>
      </c>
      <c r="K129">
        <v>146.25</v>
      </c>
      <c r="L129" s="21">
        <v>250</v>
      </c>
      <c r="M129" s="21">
        <f xml:space="preserve"> (L129 - K129)/(K129-J129)</f>
        <v>-1.930232558139535</v>
      </c>
      <c r="N129" s="21">
        <f>K129/L129</f>
        <v>0.58499999999999996</v>
      </c>
      <c r="O129" s="7">
        <v>5.1400000000000001E-2</v>
      </c>
      <c r="P129" s="7">
        <v>5.1400000000000001E-2</v>
      </c>
      <c r="Q129" s="33"/>
      <c r="R129" t="s">
        <v>449</v>
      </c>
      <c r="S129" t="s">
        <v>449</v>
      </c>
      <c r="T129" t="s">
        <v>452</v>
      </c>
    </row>
    <row r="130" spans="2:20">
      <c r="B130" s="33">
        <v>4</v>
      </c>
      <c r="C130" s="33"/>
      <c r="D130" t="s">
        <v>951</v>
      </c>
      <c r="F130"/>
      <c r="G130"/>
      <c r="H130"/>
      <c r="J130" s="21"/>
      <c r="K130"/>
      <c r="L130" s="21"/>
      <c r="M130" s="21"/>
      <c r="N130" s="21"/>
      <c r="O130" s="7"/>
      <c r="P130" s="7"/>
      <c r="Q130" s="33"/>
    </row>
    <row r="131" spans="2:20">
      <c r="B131" s="33">
        <v>4</v>
      </c>
      <c r="C131" s="34"/>
      <c r="D131" t="s">
        <v>19</v>
      </c>
      <c r="E131" t="s">
        <v>402</v>
      </c>
      <c r="F131" t="s">
        <v>383</v>
      </c>
      <c r="G131" t="s">
        <v>383</v>
      </c>
      <c r="H131" t="s">
        <v>448</v>
      </c>
      <c r="I131" s="17"/>
      <c r="J131" s="24">
        <v>16</v>
      </c>
      <c r="K131">
        <v>31.47</v>
      </c>
      <c r="L131" s="21">
        <v>19</v>
      </c>
      <c r="M131" s="21">
        <f xml:space="preserve"> (L131 - K131)/(K131-J131)</f>
        <v>-0.80607627666451198</v>
      </c>
      <c r="N131" s="21">
        <f>K131/L131</f>
        <v>1.6563157894736842</v>
      </c>
      <c r="O131" s="7">
        <v>4.5600000000000002E-2</v>
      </c>
      <c r="P131" s="7">
        <v>4.5600000000000002E-2</v>
      </c>
      <c r="Q131" s="33" t="s">
        <v>259</v>
      </c>
      <c r="R131" t="s">
        <v>448</v>
      </c>
      <c r="S131" t="s">
        <v>448</v>
      </c>
      <c r="T131" t="s">
        <v>451</v>
      </c>
    </row>
    <row r="132" spans="2:20">
      <c r="B132" s="33">
        <v>4</v>
      </c>
      <c r="C132" s="33"/>
      <c r="D132" t="s">
        <v>348</v>
      </c>
      <c r="E132" t="s">
        <v>403</v>
      </c>
      <c r="F132" t="s">
        <v>385</v>
      </c>
      <c r="G132" t="s">
        <v>385</v>
      </c>
      <c r="H132" t="s">
        <v>449</v>
      </c>
      <c r="J132" s="21">
        <v>43</v>
      </c>
      <c r="K132">
        <v>49.82</v>
      </c>
      <c r="L132" s="21">
        <v>49</v>
      </c>
      <c r="M132" s="21">
        <f xml:space="preserve"> (L132 - K132)/(K132-J132)</f>
        <v>-0.12023460410557188</v>
      </c>
      <c r="N132" s="21">
        <f>K132/L132</f>
        <v>1.016734693877551</v>
      </c>
      <c r="O132" s="7">
        <v>1.1299999999999999E-2</v>
      </c>
      <c r="P132" s="7">
        <v>1.1299999999999999E-2</v>
      </c>
      <c r="Q132" s="62">
        <v>46</v>
      </c>
      <c r="R132" t="s">
        <v>449</v>
      </c>
      <c r="S132" t="s">
        <v>449</v>
      </c>
      <c r="T132" t="s">
        <v>600</v>
      </c>
    </row>
    <row r="133" spans="2:20">
      <c r="B133" s="33">
        <v>4</v>
      </c>
      <c r="C133" s="33"/>
      <c r="D133" t="s">
        <v>39</v>
      </c>
      <c r="E133" t="s">
        <v>388</v>
      </c>
      <c r="F133" t="s">
        <v>383</v>
      </c>
      <c r="G133" t="s">
        <v>383</v>
      </c>
      <c r="H133" t="s">
        <v>448</v>
      </c>
      <c r="J133" s="21">
        <v>45</v>
      </c>
      <c r="K133">
        <v>48.75</v>
      </c>
      <c r="L133" s="21">
        <v>55</v>
      </c>
      <c r="M133" s="21">
        <f xml:space="preserve"> (L133 - K133)/(K133-J133)</f>
        <v>1.6666666666666667</v>
      </c>
      <c r="N133" s="21">
        <f>K133/L133</f>
        <v>0.88636363636363635</v>
      </c>
      <c r="O133" s="7">
        <v>1.5900000000000001E-2</v>
      </c>
      <c r="P133" s="7">
        <v>1.5900000000000001E-2</v>
      </c>
      <c r="Q133" s="34"/>
      <c r="R133" t="s">
        <v>448</v>
      </c>
      <c r="S133" t="s">
        <v>450</v>
      </c>
      <c r="T133" t="s">
        <v>452</v>
      </c>
    </row>
    <row r="134" spans="2:20">
      <c r="B134" s="33">
        <v>4</v>
      </c>
      <c r="C134" s="33"/>
      <c r="D134" t="s">
        <v>810</v>
      </c>
      <c r="E134" t="s">
        <v>411</v>
      </c>
      <c r="F134" t="s">
        <v>383</v>
      </c>
      <c r="G134" t="s">
        <v>383</v>
      </c>
      <c r="H134" t="s">
        <v>448</v>
      </c>
      <c r="I134" s="16"/>
      <c r="J134" s="21">
        <v>80</v>
      </c>
      <c r="K134">
        <v>100.39</v>
      </c>
      <c r="L134" s="21">
        <v>225</v>
      </c>
      <c r="M134" s="21">
        <f xml:space="preserve"> (L134 - K134)/(K134-J134)</f>
        <v>6.1113290828837661</v>
      </c>
      <c r="N134" s="21">
        <f>K134/L134</f>
        <v>0.44617777777777778</v>
      </c>
      <c r="O134" s="7">
        <v>-2.5000000000000001E-3</v>
      </c>
      <c r="P134" s="7">
        <v>-2.5000000000000001E-3</v>
      </c>
      <c r="Q134" s="33"/>
      <c r="R134" t="s">
        <v>448</v>
      </c>
      <c r="S134" t="s">
        <v>448</v>
      </c>
      <c r="T134" t="s">
        <v>452</v>
      </c>
    </row>
    <row r="135" spans="2:20">
      <c r="B135" s="33">
        <v>4</v>
      </c>
      <c r="C135" s="33"/>
      <c r="D135" t="s">
        <v>940</v>
      </c>
      <c r="F135" t="s">
        <v>385</v>
      </c>
      <c r="G135" t="s">
        <v>385</v>
      </c>
      <c r="H135" t="s">
        <v>448</v>
      </c>
      <c r="J135" s="21"/>
      <c r="K135">
        <v>68.09</v>
      </c>
      <c r="L135" s="21"/>
      <c r="M135" s="21"/>
      <c r="N135" s="21"/>
      <c r="O135" s="7">
        <v>2.6499999999999999E-2</v>
      </c>
      <c r="P135" s="7">
        <v>2.6499999999999999E-2</v>
      </c>
      <c r="Q135" s="33"/>
      <c r="R135" t="s">
        <v>448</v>
      </c>
      <c r="S135" t="s">
        <v>449</v>
      </c>
      <c r="T135" t="s">
        <v>452</v>
      </c>
    </row>
    <row r="136" spans="2:20">
      <c r="B136" s="33">
        <v>4</v>
      </c>
      <c r="C136" s="33"/>
      <c r="D136" t="s">
        <v>938</v>
      </c>
      <c r="E136" t="s">
        <v>641</v>
      </c>
      <c r="F136" t="s">
        <v>381</v>
      </c>
      <c r="G136" t="s">
        <v>381</v>
      </c>
      <c r="H136" t="s">
        <v>448</v>
      </c>
      <c r="I136" s="17"/>
      <c r="J136" s="24"/>
      <c r="K136">
        <v>3.84</v>
      </c>
      <c r="L136" s="24"/>
      <c r="M136" s="21"/>
      <c r="N136" s="21"/>
      <c r="O136" s="7">
        <v>4.7000000000000002E-3</v>
      </c>
      <c r="P136" s="7">
        <v>4.7000000000000002E-3</v>
      </c>
      <c r="Q136" s="34"/>
      <c r="R136" t="s">
        <v>449</v>
      </c>
      <c r="S136" t="s">
        <v>449</v>
      </c>
      <c r="T136" t="s">
        <v>451</v>
      </c>
    </row>
    <row r="137" spans="2:20">
      <c r="B137" s="33">
        <v>4</v>
      </c>
      <c r="C137" s="33"/>
      <c r="D137" t="s">
        <v>633</v>
      </c>
      <c r="E137" t="s">
        <v>411</v>
      </c>
      <c r="F137" t="s">
        <v>381</v>
      </c>
      <c r="G137" t="s">
        <v>381</v>
      </c>
      <c r="H137" t="s">
        <v>448</v>
      </c>
      <c r="J137" s="21">
        <v>110</v>
      </c>
      <c r="K137">
        <v>63.25</v>
      </c>
      <c r="L137" s="21">
        <v>140</v>
      </c>
      <c r="M137" s="21">
        <f xml:space="preserve"> (L137 - K137)/(K137-J137)</f>
        <v>-1.641711229946524</v>
      </c>
      <c r="N137" s="21">
        <f>K137/L137</f>
        <v>0.45178571428571429</v>
      </c>
      <c r="O137" s="7">
        <v>8.2000000000000007E-3</v>
      </c>
      <c r="P137" s="7">
        <v>8.2000000000000007E-3</v>
      </c>
      <c r="Q137" s="34"/>
      <c r="R137" t="s">
        <v>449</v>
      </c>
      <c r="S137" t="s">
        <v>450</v>
      </c>
      <c r="T137" t="s">
        <v>452</v>
      </c>
    </row>
    <row r="138" spans="2:20">
      <c r="B138" s="33">
        <v>4</v>
      </c>
      <c r="C138" s="33"/>
      <c r="D138" t="s">
        <v>68</v>
      </c>
      <c r="E138" t="s">
        <v>379</v>
      </c>
      <c r="F138" t="s">
        <v>384</v>
      </c>
      <c r="G138" t="s">
        <v>384</v>
      </c>
      <c r="H138" t="s">
        <v>449</v>
      </c>
      <c r="J138" s="21">
        <v>150</v>
      </c>
      <c r="K138">
        <v>145.83000000000001</v>
      </c>
      <c r="L138" s="21">
        <v>175</v>
      </c>
      <c r="M138" s="21">
        <f xml:space="preserve"> (L138 - K138)/(K138-J138)</f>
        <v>-6.9952038369304734</v>
      </c>
      <c r="N138" s="21">
        <f>K138/L138</f>
        <v>0.83331428571428579</v>
      </c>
      <c r="O138" s="7">
        <v>6.5199999999999994E-2</v>
      </c>
      <c r="P138" s="7">
        <v>6.5199999999999994E-2</v>
      </c>
      <c r="Q138" s="33" t="s">
        <v>144</v>
      </c>
      <c r="R138" t="s">
        <v>450</v>
      </c>
      <c r="S138" t="s">
        <v>450</v>
      </c>
      <c r="T138" t="s">
        <v>452</v>
      </c>
    </row>
    <row r="139" spans="2:20">
      <c r="B139" s="33">
        <v>4</v>
      </c>
      <c r="C139" s="33"/>
      <c r="D139" s="17" t="s">
        <v>941</v>
      </c>
      <c r="F139" t="s">
        <v>384</v>
      </c>
      <c r="G139" t="s">
        <v>384</v>
      </c>
      <c r="H139" t="s">
        <v>448</v>
      </c>
      <c r="J139" s="21"/>
      <c r="K139">
        <v>198.16</v>
      </c>
      <c r="L139" s="21"/>
      <c r="M139" s="21"/>
      <c r="N139" s="21"/>
      <c r="O139" s="7">
        <v>-5.4000000000000003E-3</v>
      </c>
      <c r="P139" s="7">
        <v>-5.4000000000000003E-3</v>
      </c>
      <c r="Q139" s="34"/>
      <c r="R139" t="s">
        <v>448</v>
      </c>
      <c r="S139" t="s">
        <v>450</v>
      </c>
      <c r="T139" t="s">
        <v>600</v>
      </c>
    </row>
    <row r="140" spans="2:20">
      <c r="B140" s="33">
        <v>4</v>
      </c>
      <c r="C140" s="33"/>
      <c r="D140" t="s">
        <v>311</v>
      </c>
      <c r="E140" t="s">
        <v>397</v>
      </c>
      <c r="F140" t="s">
        <v>381</v>
      </c>
      <c r="G140" t="s">
        <v>381</v>
      </c>
      <c r="H140" t="s">
        <v>449</v>
      </c>
      <c r="J140" s="21">
        <v>4</v>
      </c>
      <c r="K140">
        <v>5.44</v>
      </c>
      <c r="L140" s="21">
        <v>16</v>
      </c>
      <c r="M140" s="21">
        <f xml:space="preserve"> (L140 - K140)/(K140-J140)</f>
        <v>7.3333333333333304</v>
      </c>
      <c r="N140" s="21">
        <f>K140/L140</f>
        <v>0.34</v>
      </c>
      <c r="O140" s="53">
        <v>0</v>
      </c>
      <c r="P140" s="53">
        <v>0</v>
      </c>
      <c r="Q140" s="33" t="s">
        <v>312</v>
      </c>
      <c r="R140" t="s">
        <v>449</v>
      </c>
      <c r="S140" t="s">
        <v>449</v>
      </c>
      <c r="T140" t="s">
        <v>452</v>
      </c>
    </row>
    <row r="141" spans="2:20">
      <c r="B141" s="33">
        <v>4</v>
      </c>
      <c r="C141" s="33"/>
      <c r="D141" t="s">
        <v>733</v>
      </c>
      <c r="E141" t="s">
        <v>409</v>
      </c>
      <c r="F141" t="s">
        <v>383</v>
      </c>
      <c r="G141" t="s">
        <v>383</v>
      </c>
      <c r="H141" t="s">
        <v>448</v>
      </c>
      <c r="I141" s="21"/>
      <c r="J141" s="21">
        <v>90</v>
      </c>
      <c r="K141">
        <v>158.09</v>
      </c>
      <c r="L141" s="21">
        <v>100</v>
      </c>
      <c r="M141" s="21">
        <f xml:space="preserve"> (L141 - K141)/(K141-J141)</f>
        <v>-0.85313555588192103</v>
      </c>
      <c r="N141" s="21">
        <f>K141/L141</f>
        <v>1.5809</v>
      </c>
      <c r="O141" s="7">
        <v>4.1399999999999999E-2</v>
      </c>
      <c r="P141" s="7">
        <v>4.1399999999999999E-2</v>
      </c>
      <c r="Q141" s="34"/>
      <c r="R141" t="s">
        <v>449</v>
      </c>
      <c r="S141" t="s">
        <v>449</v>
      </c>
      <c r="T141" t="s">
        <v>450</v>
      </c>
    </row>
    <row r="142" spans="2:20">
      <c r="B142" s="33">
        <v>4</v>
      </c>
      <c r="C142" s="33"/>
      <c r="D142" t="s">
        <v>728</v>
      </c>
      <c r="E142" t="s">
        <v>485</v>
      </c>
      <c r="F142"/>
      <c r="G142"/>
      <c r="H142" t="s">
        <v>449</v>
      </c>
      <c r="I142" s="17"/>
      <c r="J142" s="24">
        <v>32.5</v>
      </c>
      <c r="K142">
        <v>41.88</v>
      </c>
      <c r="L142" s="21">
        <v>45</v>
      </c>
      <c r="M142" s="21">
        <f xml:space="preserve"> (L142 - K142)/(K142-J142)</f>
        <v>0.33262260127931731</v>
      </c>
      <c r="N142" s="21"/>
      <c r="O142" s="7">
        <v>4.5699999999999998E-2</v>
      </c>
      <c r="P142" s="7">
        <v>4.5699999999999998E-2</v>
      </c>
      <c r="Q142" s="34" t="s">
        <v>729</v>
      </c>
      <c r="R142" t="s">
        <v>448</v>
      </c>
      <c r="S142" t="s">
        <v>450</v>
      </c>
      <c r="T142" t="s">
        <v>452</v>
      </c>
    </row>
    <row r="143" spans="2:20">
      <c r="B143" s="33">
        <v>4</v>
      </c>
      <c r="C143" s="33"/>
      <c r="D143" s="17" t="s">
        <v>943</v>
      </c>
      <c r="E143" t="s">
        <v>135</v>
      </c>
      <c r="F143" t="s">
        <v>383</v>
      </c>
      <c r="G143" t="s">
        <v>383</v>
      </c>
      <c r="H143" t="s">
        <v>448</v>
      </c>
      <c r="J143" s="21"/>
      <c r="K143">
        <v>21.32</v>
      </c>
      <c r="L143" s="21"/>
      <c r="M143" s="21"/>
      <c r="N143" s="21"/>
      <c r="O143" s="7"/>
      <c r="P143" s="7"/>
      <c r="Q143" s="34"/>
    </row>
    <row r="144" spans="2:20">
      <c r="B144" s="33">
        <v>4</v>
      </c>
      <c r="C144" s="33"/>
      <c r="D144" s="17" t="s">
        <v>909</v>
      </c>
      <c r="F144" t="s">
        <v>382</v>
      </c>
      <c r="G144" t="s">
        <v>382</v>
      </c>
      <c r="H144" t="s">
        <v>448</v>
      </c>
      <c r="I144" s="16"/>
      <c r="J144" s="21"/>
      <c r="K144">
        <v>46.44</v>
      </c>
      <c r="L144" s="21"/>
      <c r="M144" s="21"/>
      <c r="N144" s="21"/>
      <c r="O144" s="7">
        <v>3.0999999999999999E-3</v>
      </c>
      <c r="P144" s="7">
        <v>3.0999999999999999E-3</v>
      </c>
      <c r="Q144" s="34" t="s">
        <v>910</v>
      </c>
      <c r="R144" t="s">
        <v>450</v>
      </c>
      <c r="S144" t="s">
        <v>448</v>
      </c>
      <c r="T144" t="s">
        <v>600</v>
      </c>
    </row>
    <row r="145" spans="2:20">
      <c r="B145" s="33">
        <v>4</v>
      </c>
      <c r="C145" s="42">
        <v>7</v>
      </c>
      <c r="D145" t="s">
        <v>235</v>
      </c>
      <c r="E145" t="s">
        <v>135</v>
      </c>
      <c r="F145" t="s">
        <v>381</v>
      </c>
      <c r="G145" t="s">
        <v>381</v>
      </c>
      <c r="H145" t="s">
        <v>448</v>
      </c>
      <c r="J145" s="21">
        <v>200</v>
      </c>
      <c r="K145">
        <v>310.58</v>
      </c>
      <c r="L145" s="21">
        <v>250</v>
      </c>
      <c r="M145" s="21">
        <f xml:space="preserve"> (L145 - K145)/(K145-J145)</f>
        <v>-0.54783866883704102</v>
      </c>
      <c r="N145" s="21">
        <f>K145/L145</f>
        <v>1.2423199999999999</v>
      </c>
      <c r="O145" s="7">
        <v>-1.8100000000000002E-2</v>
      </c>
      <c r="P145" s="7">
        <v>-1.8100000000000002E-2</v>
      </c>
      <c r="Q145" s="33"/>
      <c r="R145" t="s">
        <v>449</v>
      </c>
      <c r="S145" t="s">
        <v>449</v>
      </c>
      <c r="T145" t="s">
        <v>452</v>
      </c>
    </row>
    <row r="146" spans="2:20">
      <c r="B146" s="33">
        <v>4</v>
      </c>
      <c r="C146" s="33"/>
      <c r="D146" t="s">
        <v>939</v>
      </c>
      <c r="E146" t="s">
        <v>135</v>
      </c>
      <c r="F146" t="s">
        <v>383</v>
      </c>
      <c r="G146" t="s">
        <v>383</v>
      </c>
      <c r="H146" t="s">
        <v>448</v>
      </c>
      <c r="J146">
        <v>40.71</v>
      </c>
      <c r="K146">
        <v>43.09</v>
      </c>
      <c r="L146">
        <v>0</v>
      </c>
      <c r="M146">
        <v>0</v>
      </c>
      <c r="N146" s="21"/>
      <c r="O146" s="7">
        <v>6.0000000000000001E-3</v>
      </c>
      <c r="P146" s="7">
        <v>6.0000000000000001E-3</v>
      </c>
      <c r="Q146" s="33"/>
      <c r="R146" t="s">
        <v>448</v>
      </c>
      <c r="S146" t="s">
        <v>450</v>
      </c>
      <c r="T146" t="s">
        <v>450</v>
      </c>
    </row>
    <row r="147" spans="2:20">
      <c r="B147" s="33">
        <v>4</v>
      </c>
      <c r="C147" s="33"/>
      <c r="D147" t="s">
        <v>438</v>
      </c>
      <c r="E147" t="s">
        <v>424</v>
      </c>
      <c r="F147" t="s">
        <v>381</v>
      </c>
      <c r="G147"/>
      <c r="H147" t="s">
        <v>449</v>
      </c>
      <c r="J147" s="21">
        <v>35</v>
      </c>
      <c r="K147">
        <v>80.17</v>
      </c>
      <c r="L147" s="21">
        <v>40</v>
      </c>
      <c r="M147" s="21">
        <f xml:space="preserve"> (L147 - K147)/(K147-J147)</f>
        <v>-0.88930706220943101</v>
      </c>
      <c r="N147" s="21"/>
      <c r="O147" s="7">
        <v>5.7599999999999998E-2</v>
      </c>
      <c r="P147" s="7">
        <v>5.7599999999999998E-2</v>
      </c>
      <c r="Q147" s="34" t="s">
        <v>453</v>
      </c>
      <c r="R147" t="s">
        <v>448</v>
      </c>
      <c r="S147" t="s">
        <v>448</v>
      </c>
      <c r="T147" t="s">
        <v>600</v>
      </c>
    </row>
    <row r="148" spans="2:20">
      <c r="B148" s="33">
        <v>4</v>
      </c>
      <c r="C148" s="33"/>
      <c r="D148" t="s">
        <v>439</v>
      </c>
      <c r="E148" t="s">
        <v>135</v>
      </c>
      <c r="F148" t="s">
        <v>383</v>
      </c>
      <c r="G148" t="s">
        <v>383</v>
      </c>
      <c r="H148" t="s">
        <v>448</v>
      </c>
      <c r="J148" s="24">
        <v>198</v>
      </c>
      <c r="K148">
        <v>201.39</v>
      </c>
      <c r="L148" s="21">
        <v>225</v>
      </c>
      <c r="M148" s="21">
        <f xml:space="preserve"> (L148 - K148)/(K148-J148)</f>
        <v>6.9646017699115363</v>
      </c>
      <c r="N148" s="21">
        <f>K148/L148</f>
        <v>0.89506666666666657</v>
      </c>
      <c r="O148" s="7">
        <v>6.7000000000000002E-3</v>
      </c>
      <c r="P148" s="7">
        <v>6.7000000000000002E-3</v>
      </c>
      <c r="Q148" s="33"/>
      <c r="R148" t="s">
        <v>450</v>
      </c>
      <c r="S148" t="s">
        <v>449</v>
      </c>
      <c r="T148" t="s">
        <v>451</v>
      </c>
    </row>
    <row r="149" spans="2:20">
      <c r="B149" s="33">
        <v>4</v>
      </c>
      <c r="C149" s="33"/>
      <c r="D149" t="s">
        <v>349</v>
      </c>
      <c r="E149" t="s">
        <v>394</v>
      </c>
      <c r="F149" t="s">
        <v>380</v>
      </c>
      <c r="G149" t="s">
        <v>380</v>
      </c>
      <c r="H149" t="s">
        <v>448</v>
      </c>
      <c r="J149" s="21">
        <v>250</v>
      </c>
      <c r="K149">
        <v>169.87</v>
      </c>
      <c r="L149" s="21">
        <v>350</v>
      </c>
      <c r="M149" s="21">
        <f xml:space="preserve"> (L149 - K149)/(K149-J149)</f>
        <v>-2.2479720454261827</v>
      </c>
      <c r="N149" s="21">
        <f>K149/L149</f>
        <v>0.48534285714285713</v>
      </c>
      <c r="O149" s="7">
        <v>2.9499999999999998E-2</v>
      </c>
      <c r="P149" s="7">
        <v>2.9499999999999998E-2</v>
      </c>
      <c r="Q149" s="33"/>
      <c r="R149" t="s">
        <v>449</v>
      </c>
      <c r="S149" t="s">
        <v>449</v>
      </c>
      <c r="T149" t="s">
        <v>450</v>
      </c>
    </row>
    <row r="150" spans="2:20">
      <c r="B150" s="33">
        <v>4</v>
      </c>
      <c r="C150" s="33"/>
      <c r="D150" t="s">
        <v>911</v>
      </c>
      <c r="E150" t="s">
        <v>410</v>
      </c>
      <c r="F150" t="s">
        <v>387</v>
      </c>
      <c r="G150" t="s">
        <v>387</v>
      </c>
      <c r="H150" t="s">
        <v>448</v>
      </c>
      <c r="J150" s="21"/>
      <c r="K150">
        <v>90</v>
      </c>
      <c r="L150" s="21"/>
      <c r="M150" s="21"/>
      <c r="N150" s="21" t="e">
        <f>K150/L150</f>
        <v>#DIV/0!</v>
      </c>
      <c r="O150" s="7">
        <v>3.5000000000000001E-3</v>
      </c>
      <c r="P150" s="7">
        <v>3.5000000000000001E-3</v>
      </c>
      <c r="Q150" s="34"/>
      <c r="R150" t="s">
        <v>450</v>
      </c>
      <c r="S150" t="s">
        <v>449</v>
      </c>
      <c r="T150" t="s">
        <v>451</v>
      </c>
    </row>
    <row r="151" spans="2:20">
      <c r="B151" s="33">
        <v>4</v>
      </c>
      <c r="C151" s="33"/>
      <c r="D151" s="17" t="s">
        <v>126</v>
      </c>
      <c r="E151" t="s">
        <v>579</v>
      </c>
      <c r="F151" t="s">
        <v>387</v>
      </c>
      <c r="G151" t="s">
        <v>387</v>
      </c>
      <c r="H151" t="s">
        <v>448</v>
      </c>
      <c r="J151" s="21"/>
      <c r="K151">
        <v>5.81</v>
      </c>
      <c r="L151" s="21"/>
      <c r="M151" s="21"/>
      <c r="N151" s="21"/>
      <c r="O151" s="7">
        <v>1.9800000000000002E-2</v>
      </c>
      <c r="P151" s="7">
        <v>1.9800000000000002E-2</v>
      </c>
      <c r="Q151" s="34"/>
      <c r="R151" t="s">
        <v>449</v>
      </c>
      <c r="S151" t="s">
        <v>450</v>
      </c>
      <c r="T151" t="s">
        <v>452</v>
      </c>
    </row>
    <row r="152" spans="2:20">
      <c r="B152" s="33">
        <v>4</v>
      </c>
      <c r="C152" s="33"/>
      <c r="D152" t="s">
        <v>915</v>
      </c>
      <c r="E152" t="s">
        <v>230</v>
      </c>
      <c r="F152" t="s">
        <v>380</v>
      </c>
      <c r="G152" t="s">
        <v>380</v>
      </c>
      <c r="H152" t="s">
        <v>449</v>
      </c>
      <c r="J152">
        <v>126.45</v>
      </c>
      <c r="K152">
        <v>110.29</v>
      </c>
      <c r="L152">
        <v>146.19</v>
      </c>
      <c r="M152">
        <v>1.97</v>
      </c>
      <c r="N152" s="21">
        <f>K152/L152</f>
        <v>0.7544291675217184</v>
      </c>
      <c r="O152" s="7">
        <v>3.6700000000000003E-2</v>
      </c>
      <c r="P152" s="7">
        <v>3.6700000000000003E-2</v>
      </c>
      <c r="Q152" s="33"/>
      <c r="R152" t="s">
        <v>449</v>
      </c>
      <c r="S152" t="s">
        <v>449</v>
      </c>
      <c r="T152" t="s">
        <v>450</v>
      </c>
    </row>
    <row r="153" spans="2:20">
      <c r="B153" s="33">
        <v>4</v>
      </c>
      <c r="C153" s="33"/>
      <c r="D153" t="s">
        <v>629</v>
      </c>
      <c r="E153" t="s">
        <v>135</v>
      </c>
      <c r="F153" t="s">
        <v>380</v>
      </c>
      <c r="G153" t="s">
        <v>380</v>
      </c>
      <c r="H153" t="s">
        <v>448</v>
      </c>
      <c r="J153" s="21">
        <v>3</v>
      </c>
      <c r="K153">
        <v>5.82</v>
      </c>
      <c r="L153" s="21">
        <v>4</v>
      </c>
      <c r="M153" s="21">
        <f xml:space="preserve"> (L153 - K153)/(K153-J153)</f>
        <v>-0.64539007092198586</v>
      </c>
      <c r="N153" s="21">
        <f>K153/L153</f>
        <v>1.4550000000000001</v>
      </c>
      <c r="O153" s="7">
        <v>4.07E-2</v>
      </c>
      <c r="P153" s="7">
        <v>4.07E-2</v>
      </c>
      <c r="Q153" s="33"/>
      <c r="R153" t="s">
        <v>449</v>
      </c>
      <c r="S153" t="s">
        <v>449</v>
      </c>
      <c r="T153" t="s">
        <v>600</v>
      </c>
    </row>
    <row r="154" spans="2:20">
      <c r="B154" s="33">
        <v>4</v>
      </c>
      <c r="C154" s="33"/>
      <c r="D154" t="s">
        <v>94</v>
      </c>
      <c r="E154" t="s">
        <v>409</v>
      </c>
      <c r="F154" t="s">
        <v>381</v>
      </c>
      <c r="G154" t="s">
        <v>381</v>
      </c>
      <c r="H154" t="s">
        <v>448</v>
      </c>
      <c r="J154" s="21">
        <v>200</v>
      </c>
      <c r="K154">
        <v>248.16</v>
      </c>
      <c r="L154" s="21">
        <v>240</v>
      </c>
      <c r="M154" s="21">
        <f xml:space="preserve"> (L154 - K154)/(K154-J154)</f>
        <v>-0.1694352159468438</v>
      </c>
      <c r="N154" s="21">
        <f>K154/L154</f>
        <v>1.034</v>
      </c>
      <c r="O154" s="7">
        <v>-2.2700000000000001E-2</v>
      </c>
      <c r="P154" s="7">
        <v>-2.2700000000000001E-2</v>
      </c>
      <c r="Q154" s="33"/>
      <c r="R154" t="s">
        <v>450</v>
      </c>
      <c r="S154" t="s">
        <v>449</v>
      </c>
      <c r="T154" t="s">
        <v>450</v>
      </c>
    </row>
    <row r="155" spans="2:20">
      <c r="B155" s="33">
        <v>4</v>
      </c>
      <c r="C155" s="33"/>
      <c r="D155" t="s">
        <v>157</v>
      </c>
      <c r="E155" t="s">
        <v>230</v>
      </c>
      <c r="F155" t="s">
        <v>386</v>
      </c>
      <c r="G155" t="s">
        <v>386</v>
      </c>
      <c r="H155" t="s">
        <v>449</v>
      </c>
      <c r="J155" s="21">
        <v>300</v>
      </c>
      <c r="K155">
        <v>283.86</v>
      </c>
      <c r="L155" s="21">
        <v>400</v>
      </c>
      <c r="M155" s="21">
        <f xml:space="preserve"> (L155 - K155)/(K155-J155)</f>
        <v>-7.1957868649318515</v>
      </c>
      <c r="N155" s="21">
        <f>K155/L155</f>
        <v>0.70965</v>
      </c>
      <c r="O155" s="7">
        <v>3.8600000000000002E-2</v>
      </c>
      <c r="P155" s="7">
        <v>3.8600000000000002E-2</v>
      </c>
      <c r="Q155" s="34" t="s">
        <v>142</v>
      </c>
      <c r="R155" t="s">
        <v>449</v>
      </c>
      <c r="S155" t="s">
        <v>449</v>
      </c>
      <c r="T155" t="s">
        <v>450</v>
      </c>
    </row>
    <row r="156" spans="2:20">
      <c r="B156" s="33">
        <v>4</v>
      </c>
      <c r="C156" s="33"/>
      <c r="D156" t="s">
        <v>622</v>
      </c>
      <c r="E156" t="s">
        <v>135</v>
      </c>
      <c r="F156" t="s">
        <v>384</v>
      </c>
      <c r="G156" t="s">
        <v>384</v>
      </c>
      <c r="H156" t="s">
        <v>448</v>
      </c>
      <c r="J156" s="21">
        <v>150</v>
      </c>
      <c r="K156">
        <v>192.85</v>
      </c>
      <c r="L156" s="21">
        <v>250</v>
      </c>
      <c r="M156" s="21">
        <f xml:space="preserve"> (L156 - K156)/(K156-J156)</f>
        <v>1.3337222870478416</v>
      </c>
      <c r="N156" s="21">
        <f>K156/L156</f>
        <v>0.77139999999999997</v>
      </c>
      <c r="O156" s="7">
        <v>2.3599999999999999E-2</v>
      </c>
      <c r="P156" s="7">
        <v>2.3599999999999999E-2</v>
      </c>
      <c r="Q156" s="33"/>
      <c r="R156" t="s">
        <v>449</v>
      </c>
      <c r="S156" t="s">
        <v>449</v>
      </c>
      <c r="T156" t="s">
        <v>450</v>
      </c>
    </row>
    <row r="157" spans="2:20">
      <c r="B157" s="33">
        <v>4</v>
      </c>
      <c r="C157" s="34"/>
      <c r="D157" s="17" t="s">
        <v>131</v>
      </c>
      <c r="E157" t="s">
        <v>156</v>
      </c>
      <c r="F157" t="s">
        <v>380</v>
      </c>
      <c r="G157" t="s">
        <v>380</v>
      </c>
      <c r="H157" t="s">
        <v>449</v>
      </c>
      <c r="J157" s="21">
        <v>215</v>
      </c>
      <c r="K157">
        <v>244.55</v>
      </c>
      <c r="L157" s="21">
        <v>270</v>
      </c>
      <c r="M157" s="21">
        <f xml:space="preserve"> (L157 - K157)/(K157-J157)</f>
        <v>0.86125211505922095</v>
      </c>
      <c r="N157" s="21">
        <f>K157/L157</f>
        <v>0.90574074074074074</v>
      </c>
      <c r="O157" s="7">
        <v>1.0999999999999999E-2</v>
      </c>
      <c r="P157" s="7">
        <v>1.0999999999999999E-2</v>
      </c>
      <c r="Q157" s="34"/>
      <c r="R157" t="s">
        <v>449</v>
      </c>
      <c r="S157" t="s">
        <v>449</v>
      </c>
      <c r="T157" t="s">
        <v>451</v>
      </c>
    </row>
    <row r="158" spans="2:20">
      <c r="B158" s="33">
        <v>4</v>
      </c>
      <c r="C158" s="33"/>
      <c r="D158" t="s">
        <v>741</v>
      </c>
      <c r="E158" t="s">
        <v>404</v>
      </c>
      <c r="F158" t="s">
        <v>385</v>
      </c>
      <c r="G158" t="s">
        <v>385</v>
      </c>
      <c r="H158" t="s">
        <v>449</v>
      </c>
      <c r="J158" s="21">
        <v>23</v>
      </c>
      <c r="K158">
        <v>17.809999999999999</v>
      </c>
      <c r="L158" s="21">
        <v>33</v>
      </c>
      <c r="M158" s="21">
        <f xml:space="preserve"> (L158 - K158)/(K158-J158)</f>
        <v>-2.9267822736030822</v>
      </c>
      <c r="N158" s="21">
        <f>K158/L158</f>
        <v>0.53969696969696968</v>
      </c>
      <c r="O158" s="7">
        <v>-2.7000000000000001E-3</v>
      </c>
      <c r="P158" s="7">
        <v>-2.7000000000000001E-3</v>
      </c>
      <c r="Q158" s="34"/>
      <c r="R158" t="s">
        <v>448</v>
      </c>
      <c r="S158" t="s">
        <v>448</v>
      </c>
      <c r="T158" t="s">
        <v>452</v>
      </c>
    </row>
    <row r="159" spans="2:20">
      <c r="B159" s="33">
        <v>4</v>
      </c>
      <c r="C159" s="33"/>
      <c r="D159" t="s">
        <v>205</v>
      </c>
      <c r="E159" t="s">
        <v>407</v>
      </c>
      <c r="F159" t="s">
        <v>380</v>
      </c>
      <c r="G159" t="s">
        <v>380</v>
      </c>
      <c r="H159" t="s">
        <v>449</v>
      </c>
      <c r="J159" s="21">
        <v>500</v>
      </c>
      <c r="K159">
        <v>530.04</v>
      </c>
      <c r="L159" s="21">
        <v>600</v>
      </c>
      <c r="M159" s="21">
        <f xml:space="preserve"> (L159 - K159)/(K159-J159)</f>
        <v>2.3288948069241053</v>
      </c>
      <c r="N159" s="21">
        <f>K159/L159</f>
        <v>0.88339999999999996</v>
      </c>
      <c r="O159" s="7">
        <v>2.4299999999999999E-2</v>
      </c>
      <c r="P159" s="7">
        <v>2.4299999999999999E-2</v>
      </c>
      <c r="Q159" s="34"/>
      <c r="R159" t="s">
        <v>448</v>
      </c>
      <c r="S159" t="s">
        <v>449</v>
      </c>
      <c r="T159" t="s">
        <v>452</v>
      </c>
    </row>
    <row r="160" spans="2:20">
      <c r="B160" s="33">
        <v>4</v>
      </c>
      <c r="C160" s="33"/>
      <c r="D160" t="s">
        <v>904</v>
      </c>
      <c r="E160" t="s">
        <v>828</v>
      </c>
      <c r="F160" t="s">
        <v>387</v>
      </c>
      <c r="G160" t="s">
        <v>387</v>
      </c>
      <c r="H160" t="s">
        <v>448</v>
      </c>
      <c r="J160" s="21"/>
      <c r="K160">
        <v>302.95</v>
      </c>
      <c r="L160" s="21"/>
      <c r="M160" s="21"/>
      <c r="N160" s="21" t="e">
        <f>K160/L160</f>
        <v>#DIV/0!</v>
      </c>
      <c r="O160" s="7">
        <v>2.4199999999999999E-2</v>
      </c>
      <c r="P160" s="7">
        <v>2.4199999999999999E-2</v>
      </c>
      <c r="Q160" s="33"/>
      <c r="R160" t="s">
        <v>449</v>
      </c>
      <c r="S160" t="s">
        <v>449</v>
      </c>
      <c r="T160" t="s">
        <v>452</v>
      </c>
    </row>
    <row r="161" spans="2:20">
      <c r="B161" s="33">
        <v>4</v>
      </c>
      <c r="C161" s="33"/>
      <c r="D161" t="s">
        <v>229</v>
      </c>
      <c r="E161" t="s">
        <v>230</v>
      </c>
      <c r="F161" t="s">
        <v>385</v>
      </c>
      <c r="G161" t="s">
        <v>385</v>
      </c>
      <c r="H161" t="s">
        <v>449</v>
      </c>
      <c r="J161" s="21">
        <v>110</v>
      </c>
      <c r="K161">
        <v>149.51</v>
      </c>
      <c r="L161" s="21">
        <v>130</v>
      </c>
      <c r="M161" s="21">
        <f xml:space="preserve"> (L161 - K161)/(K161-J161)</f>
        <v>-0.4937990382181725</v>
      </c>
      <c r="N161" s="21">
        <f>K161/L161</f>
        <v>1.150076923076923</v>
      </c>
      <c r="O161" s="7">
        <v>2.3400000000000001E-2</v>
      </c>
      <c r="P161" s="7">
        <v>2.3400000000000001E-2</v>
      </c>
      <c r="Q161" s="33"/>
      <c r="R161" t="s">
        <v>449</v>
      </c>
      <c r="S161" t="s">
        <v>449</v>
      </c>
      <c r="T161" t="s">
        <v>450</v>
      </c>
    </row>
    <row r="162" spans="2:20">
      <c r="B162" s="33">
        <v>4</v>
      </c>
      <c r="C162" s="33"/>
      <c r="D162" t="s">
        <v>646</v>
      </c>
      <c r="E162" t="s">
        <v>230</v>
      </c>
      <c r="F162" t="s">
        <v>384</v>
      </c>
      <c r="G162" t="s">
        <v>384</v>
      </c>
      <c r="H162" t="s">
        <v>449</v>
      </c>
      <c r="J162" s="21"/>
      <c r="K162">
        <v>47.28</v>
      </c>
      <c r="L162" s="21"/>
      <c r="M162" s="21"/>
      <c r="N162" s="21"/>
      <c r="O162" s="7">
        <v>2.47E-2</v>
      </c>
      <c r="P162" s="7">
        <v>2.47E-2</v>
      </c>
      <c r="Q162" s="33"/>
      <c r="R162" t="s">
        <v>449</v>
      </c>
      <c r="S162" t="s">
        <v>449</v>
      </c>
      <c r="T162" t="s">
        <v>450</v>
      </c>
    </row>
    <row r="163" spans="2:20">
      <c r="B163" s="33">
        <v>3</v>
      </c>
      <c r="C163" s="33"/>
      <c r="D163" s="17" t="s">
        <v>919</v>
      </c>
      <c r="E163" t="s">
        <v>415</v>
      </c>
      <c r="F163" t="s">
        <v>385</v>
      </c>
      <c r="G163" t="s">
        <v>385</v>
      </c>
      <c r="H163" t="s">
        <v>448</v>
      </c>
      <c r="J163" s="21">
        <v>50</v>
      </c>
      <c r="K163">
        <v>39.19</v>
      </c>
      <c r="L163" s="21">
        <v>60</v>
      </c>
      <c r="M163" s="21">
        <f xml:space="preserve"> (L163 - K163)/(K163-J163)</f>
        <v>-1.925069380203515</v>
      </c>
      <c r="N163" s="21">
        <f>K163/L163</f>
        <v>0.65316666666666667</v>
      </c>
      <c r="O163" s="7">
        <v>2.3800000000000002E-2</v>
      </c>
      <c r="P163" s="7">
        <v>2.3800000000000002E-2</v>
      </c>
      <c r="Q163" s="34"/>
      <c r="R163" t="s">
        <v>450</v>
      </c>
      <c r="S163" t="s">
        <v>450</v>
      </c>
      <c r="T163" t="s">
        <v>450</v>
      </c>
    </row>
    <row r="164" spans="2:20">
      <c r="B164" s="33">
        <v>3</v>
      </c>
      <c r="C164" s="33"/>
      <c r="D164" s="17" t="s">
        <v>922</v>
      </c>
      <c r="E164" t="s">
        <v>166</v>
      </c>
      <c r="F164" t="s">
        <v>383</v>
      </c>
      <c r="G164" t="s">
        <v>383</v>
      </c>
      <c r="H164" t="s">
        <v>448</v>
      </c>
      <c r="J164" s="21"/>
      <c r="K164">
        <v>505.98</v>
      </c>
      <c r="L164" s="21"/>
      <c r="M164" s="21"/>
      <c r="N164" s="21"/>
      <c r="O164" s="7">
        <v>7.2499999999999995E-2</v>
      </c>
      <c r="P164" s="7">
        <v>7.2499999999999995E-2</v>
      </c>
      <c r="Q164" s="34"/>
      <c r="R164" t="s">
        <v>450</v>
      </c>
      <c r="S164" t="s">
        <v>448</v>
      </c>
      <c r="T164" t="s">
        <v>450</v>
      </c>
    </row>
    <row r="165" spans="2:20">
      <c r="B165" s="33">
        <v>3</v>
      </c>
      <c r="C165" s="33"/>
      <c r="D165" t="s">
        <v>834</v>
      </c>
      <c r="E165" t="s">
        <v>411</v>
      </c>
      <c r="F165" t="s">
        <v>383</v>
      </c>
      <c r="G165" t="s">
        <v>383</v>
      </c>
      <c r="H165" t="s">
        <v>448</v>
      </c>
      <c r="J165" s="21">
        <v>120</v>
      </c>
      <c r="K165">
        <v>75.73</v>
      </c>
      <c r="L165" s="21">
        <v>160</v>
      </c>
      <c r="M165" s="21">
        <f xml:space="preserve"> (L165 - K165)/(K165-J165)</f>
        <v>-1.903546419697312</v>
      </c>
      <c r="N165" s="21">
        <f>K165/L165</f>
        <v>0.47331250000000002</v>
      </c>
      <c r="O165" s="7">
        <v>-1.6E-2</v>
      </c>
      <c r="P165" s="7">
        <v>-1.6E-2</v>
      </c>
      <c r="Q165" s="34"/>
      <c r="R165" t="s">
        <v>448</v>
      </c>
      <c r="S165" t="s">
        <v>449</v>
      </c>
      <c r="T165" t="s">
        <v>450</v>
      </c>
    </row>
    <row r="166" spans="2:20">
      <c r="B166" s="33">
        <v>3</v>
      </c>
      <c r="C166" s="33"/>
      <c r="D166" t="s">
        <v>842</v>
      </c>
      <c r="E166" t="s">
        <v>391</v>
      </c>
      <c r="F166" t="s">
        <v>383</v>
      </c>
      <c r="G166" t="s">
        <v>383</v>
      </c>
      <c r="H166" t="s">
        <v>448</v>
      </c>
      <c r="J166" s="21">
        <v>43</v>
      </c>
      <c r="K166">
        <v>44.93</v>
      </c>
      <c r="L166" s="21">
        <v>50</v>
      </c>
      <c r="M166" s="21">
        <f xml:space="preserve"> (L166 - K166)/(K166-J166)</f>
        <v>2.6269430051813476</v>
      </c>
      <c r="N166" s="21">
        <f>K166/L166</f>
        <v>0.89859999999999995</v>
      </c>
      <c r="O166" s="7">
        <v>-4.1999999999999997E-3</v>
      </c>
      <c r="P166" s="7">
        <v>-4.1999999999999997E-3</v>
      </c>
      <c r="Q166" s="33"/>
      <c r="R166" t="s">
        <v>448</v>
      </c>
      <c r="S166" t="s">
        <v>449</v>
      </c>
      <c r="T166" t="s">
        <v>450</v>
      </c>
    </row>
    <row r="167" spans="2:20">
      <c r="B167" s="33">
        <v>3</v>
      </c>
      <c r="C167" s="33"/>
      <c r="D167" t="s">
        <v>590</v>
      </c>
      <c r="E167" t="s">
        <v>416</v>
      </c>
      <c r="F167" t="s">
        <v>384</v>
      </c>
      <c r="G167" t="s">
        <v>384</v>
      </c>
      <c r="H167" t="s">
        <v>448</v>
      </c>
      <c r="J167" s="21">
        <v>220</v>
      </c>
      <c r="K167">
        <v>293.24</v>
      </c>
      <c r="L167" s="21">
        <v>280</v>
      </c>
      <c r="M167" s="21">
        <f xml:space="preserve"> (L167 - K167)/(K167-J167)</f>
        <v>-0.18077553249590397</v>
      </c>
      <c r="N167" s="21">
        <f>K167/L167</f>
        <v>1.0472857142857144</v>
      </c>
      <c r="O167" s="7">
        <v>1.4200000000000001E-2</v>
      </c>
      <c r="P167" s="7">
        <v>1.4200000000000001E-2</v>
      </c>
      <c r="Q167" s="33"/>
      <c r="R167" t="s">
        <v>449</v>
      </c>
      <c r="S167" t="s">
        <v>449</v>
      </c>
      <c r="T167" t="s">
        <v>450</v>
      </c>
    </row>
    <row r="168" spans="2:20">
      <c r="B168" s="33">
        <v>3</v>
      </c>
      <c r="C168" s="33"/>
      <c r="D168" t="s">
        <v>849</v>
      </c>
      <c r="E168" t="s">
        <v>423</v>
      </c>
      <c r="F168" t="s">
        <v>381</v>
      </c>
      <c r="G168" t="s">
        <v>382</v>
      </c>
      <c r="H168" t="s">
        <v>448</v>
      </c>
      <c r="J168" s="21">
        <v>125</v>
      </c>
      <c r="K168">
        <v>145.16999999999999</v>
      </c>
      <c r="L168" s="21">
        <v>130</v>
      </c>
      <c r="M168" s="21">
        <f xml:space="preserve"> (L168 - K168)/(K168-J168)</f>
        <v>-0.75210708973723339</v>
      </c>
      <c r="N168" s="21">
        <f>K168/L168</f>
        <v>1.1166923076923077</v>
      </c>
      <c r="O168" s="7">
        <v>5.0000000000000001E-3</v>
      </c>
      <c r="P168" s="7">
        <v>5.0000000000000001E-3</v>
      </c>
      <c r="Q168" s="34"/>
      <c r="R168" t="s">
        <v>448</v>
      </c>
      <c r="S168" t="s">
        <v>448</v>
      </c>
      <c r="T168" t="s">
        <v>450</v>
      </c>
    </row>
    <row r="169" spans="2:20">
      <c r="B169" s="33">
        <v>3</v>
      </c>
      <c r="C169" s="32">
        <v>14</v>
      </c>
      <c r="D169" t="s">
        <v>617</v>
      </c>
      <c r="E169" t="s">
        <v>393</v>
      </c>
      <c r="F169" t="s">
        <v>385</v>
      </c>
      <c r="G169" t="s">
        <v>385</v>
      </c>
      <c r="H169" t="s">
        <v>449</v>
      </c>
      <c r="J169" s="21">
        <v>180</v>
      </c>
      <c r="K169">
        <v>147.37</v>
      </c>
      <c r="L169" s="21">
        <v>200</v>
      </c>
      <c r="M169" s="21">
        <f xml:space="preserve"> (L169 - K169)/(K169-J169)</f>
        <v>-1.6129328838492185</v>
      </c>
      <c r="N169" s="21">
        <f>K169/L169</f>
        <v>0.73685</v>
      </c>
      <c r="O169" s="7">
        <v>1.9199999999999998E-2</v>
      </c>
      <c r="P169" s="7">
        <v>1.9199999999999998E-2</v>
      </c>
      <c r="Q169" s="33"/>
      <c r="R169" t="s">
        <v>449</v>
      </c>
      <c r="S169" t="s">
        <v>449</v>
      </c>
      <c r="T169" t="s">
        <v>450</v>
      </c>
    </row>
    <row r="170" spans="2:20">
      <c r="B170" s="33">
        <v>3</v>
      </c>
      <c r="C170" s="33"/>
      <c r="D170" t="s">
        <v>790</v>
      </c>
      <c r="E170" t="s">
        <v>317</v>
      </c>
      <c r="F170" t="s">
        <v>385</v>
      </c>
      <c r="G170" t="s">
        <v>385</v>
      </c>
      <c r="H170" t="s">
        <v>449</v>
      </c>
      <c r="J170" s="21">
        <v>70</v>
      </c>
      <c r="K170">
        <v>78.849999999999994</v>
      </c>
      <c r="L170" s="21">
        <v>90</v>
      </c>
      <c r="M170" s="21">
        <f xml:space="preserve"> (L170 - K170)/(K170-J170)</f>
        <v>1.2598870056497189</v>
      </c>
      <c r="N170" s="21">
        <f>K170/L170</f>
        <v>0.87611111111111106</v>
      </c>
      <c r="O170" s="7">
        <v>-2.1299999999999999E-2</v>
      </c>
      <c r="P170" s="7">
        <v>-2.1299999999999999E-2</v>
      </c>
      <c r="Q170" s="33"/>
      <c r="R170" t="s">
        <v>449</v>
      </c>
      <c r="S170" t="s">
        <v>449</v>
      </c>
      <c r="T170" t="s">
        <v>450</v>
      </c>
    </row>
    <row r="171" spans="2:20">
      <c r="B171" s="33">
        <v>3</v>
      </c>
      <c r="C171" s="33"/>
      <c r="D171" t="s">
        <v>679</v>
      </c>
      <c r="E171" t="s">
        <v>230</v>
      </c>
      <c r="F171" t="s">
        <v>387</v>
      </c>
      <c r="G171" t="s">
        <v>387</v>
      </c>
      <c r="H171" t="s">
        <v>449</v>
      </c>
      <c r="J171" s="24">
        <v>167</v>
      </c>
      <c r="K171">
        <v>162.97</v>
      </c>
      <c r="L171" s="21">
        <v>200</v>
      </c>
      <c r="M171" s="21">
        <f xml:space="preserve"> (L171 - K171)/(K171-J171)</f>
        <v>-9.1885856079404444</v>
      </c>
      <c r="N171" s="21">
        <f>K171/L171</f>
        <v>0.81484999999999996</v>
      </c>
      <c r="O171" s="7">
        <v>2.5399999999999999E-2</v>
      </c>
      <c r="P171" s="7">
        <v>2.5399999999999999E-2</v>
      </c>
      <c r="Q171" s="34"/>
      <c r="R171" t="s">
        <v>449</v>
      </c>
      <c r="S171" t="s">
        <v>449</v>
      </c>
      <c r="T171" t="s">
        <v>450</v>
      </c>
    </row>
    <row r="172" spans="2:20">
      <c r="B172" s="33">
        <v>3</v>
      </c>
      <c r="C172" s="33"/>
      <c r="D172" t="s">
        <v>368</v>
      </c>
      <c r="E172" t="s">
        <v>230</v>
      </c>
      <c r="F172" t="s">
        <v>386</v>
      </c>
      <c r="G172" t="s">
        <v>386</v>
      </c>
      <c r="H172" t="s">
        <v>449</v>
      </c>
      <c r="J172" s="21">
        <v>500</v>
      </c>
      <c r="K172">
        <v>420.56</v>
      </c>
      <c r="L172" s="21">
        <v>600</v>
      </c>
      <c r="M172" s="21">
        <f xml:space="preserve"> (L172 - K172)/(K172-J172)</f>
        <v>-2.2588116817724071</v>
      </c>
      <c r="N172" s="21"/>
      <c r="O172" s="7">
        <v>3.2500000000000001E-2</v>
      </c>
      <c r="P172" s="7">
        <v>3.2500000000000001E-2</v>
      </c>
      <c r="Q172" s="33"/>
      <c r="R172" t="s">
        <v>449</v>
      </c>
      <c r="S172" t="s">
        <v>449</v>
      </c>
      <c r="T172" t="s">
        <v>450</v>
      </c>
    </row>
    <row r="173" spans="2:20">
      <c r="B173" s="33">
        <v>3</v>
      </c>
      <c r="C173" s="33"/>
      <c r="D173" t="s">
        <v>642</v>
      </c>
      <c r="E173" t="s">
        <v>156</v>
      </c>
      <c r="F173" t="s">
        <v>380</v>
      </c>
      <c r="G173" t="s">
        <v>380</v>
      </c>
      <c r="H173" t="s">
        <v>449</v>
      </c>
      <c r="J173" s="21">
        <v>370</v>
      </c>
      <c r="K173">
        <v>261.05</v>
      </c>
      <c r="L173" s="21">
        <v>420</v>
      </c>
      <c r="M173" s="21">
        <f xml:space="preserve"> (L173 - K173)/(K173-J173)</f>
        <v>-1.4589261128958237</v>
      </c>
      <c r="N173" s="21">
        <f>I173/L173</f>
        <v>0</v>
      </c>
      <c r="O173" s="7">
        <v>3.27E-2</v>
      </c>
      <c r="P173" s="7">
        <v>3.27E-2</v>
      </c>
      <c r="Q173" s="33"/>
      <c r="R173" t="s">
        <v>450</v>
      </c>
      <c r="S173" t="s">
        <v>449</v>
      </c>
      <c r="T173" t="s">
        <v>450</v>
      </c>
    </row>
    <row r="174" spans="2:20">
      <c r="B174" s="33">
        <v>3</v>
      </c>
      <c r="C174" s="33"/>
      <c r="D174" t="s">
        <v>685</v>
      </c>
      <c r="E174" t="s">
        <v>638</v>
      </c>
      <c r="F174" t="s">
        <v>384</v>
      </c>
      <c r="G174" t="s">
        <v>384</v>
      </c>
      <c r="H174" t="s">
        <v>448</v>
      </c>
      <c r="J174" s="21">
        <v>160</v>
      </c>
      <c r="K174">
        <v>294.99</v>
      </c>
      <c r="L174" s="21">
        <v>180</v>
      </c>
      <c r="M174" s="21">
        <f xml:space="preserve"> (L174 - K174)/(K174-J174)</f>
        <v>-0.85184087710200762</v>
      </c>
      <c r="N174" s="21">
        <f>I174/L174</f>
        <v>0</v>
      </c>
      <c r="O174" s="7">
        <v>-1.5699999999999999E-2</v>
      </c>
      <c r="P174" s="7">
        <v>-1.5699999999999999E-2</v>
      </c>
      <c r="Q174" s="34"/>
      <c r="R174" t="s">
        <v>449</v>
      </c>
      <c r="S174" t="s">
        <v>450</v>
      </c>
      <c r="T174" t="s">
        <v>450</v>
      </c>
    </row>
    <row r="175" spans="2:20">
      <c r="B175" s="33">
        <v>3</v>
      </c>
      <c r="C175" s="33"/>
      <c r="D175" t="s">
        <v>172</v>
      </c>
      <c r="E175" t="s">
        <v>400</v>
      </c>
      <c r="F175" t="s">
        <v>381</v>
      </c>
      <c r="G175" t="s">
        <v>381</v>
      </c>
      <c r="H175" t="s">
        <v>449</v>
      </c>
      <c r="J175" s="21">
        <v>63</v>
      </c>
      <c r="K175">
        <v>62.59</v>
      </c>
      <c r="L175" s="21">
        <v>70</v>
      </c>
      <c r="M175" s="21">
        <f xml:space="preserve"> (L175 - K175)/(K175-J175)</f>
        <v>-18.07317073170746</v>
      </c>
      <c r="N175" s="21">
        <f>K175/L175</f>
        <v>0.89414285714285724</v>
      </c>
      <c r="O175" s="7">
        <v>6.8999999999999999E-3</v>
      </c>
      <c r="P175" s="7">
        <v>6.8999999999999999E-3</v>
      </c>
      <c r="Q175" s="34" t="s">
        <v>105</v>
      </c>
      <c r="R175" t="s">
        <v>448</v>
      </c>
      <c r="S175" t="s">
        <v>448</v>
      </c>
      <c r="T175" t="s">
        <v>452</v>
      </c>
    </row>
    <row r="176" spans="2:20">
      <c r="B176" s="33">
        <v>3</v>
      </c>
      <c r="C176" s="33"/>
      <c r="D176" t="s">
        <v>823</v>
      </c>
      <c r="E176" t="s">
        <v>581</v>
      </c>
      <c r="F176" t="s">
        <v>380</v>
      </c>
      <c r="G176" t="s">
        <v>380</v>
      </c>
      <c r="H176" t="s">
        <v>449</v>
      </c>
      <c r="I176" s="17"/>
      <c r="J176" s="24">
        <v>105</v>
      </c>
      <c r="K176">
        <v>96.2</v>
      </c>
      <c r="L176" s="21">
        <v>170</v>
      </c>
      <c r="M176" s="21">
        <f xml:space="preserve"> (L176 - K176)/(K176-J176)</f>
        <v>-8.3863636363636385</v>
      </c>
      <c r="N176" s="21">
        <f>K176/L176</f>
        <v>0.5658823529411765</v>
      </c>
      <c r="O176" s="7">
        <v>5.9999999999999995E-4</v>
      </c>
      <c r="P176" s="7">
        <v>5.9999999999999995E-4</v>
      </c>
      <c r="Q176" s="33"/>
      <c r="R176" t="s">
        <v>449</v>
      </c>
      <c r="S176" t="s">
        <v>449</v>
      </c>
      <c r="T176" t="s">
        <v>452</v>
      </c>
    </row>
    <row r="177" spans="2:20">
      <c r="B177" s="33">
        <v>3</v>
      </c>
      <c r="C177" s="33"/>
      <c r="D177" t="s">
        <v>89</v>
      </c>
      <c r="E177" t="s">
        <v>399</v>
      </c>
      <c r="F177" t="s">
        <v>384</v>
      </c>
      <c r="G177" t="s">
        <v>384</v>
      </c>
      <c r="H177" t="s">
        <v>448</v>
      </c>
      <c r="J177" s="21">
        <v>240</v>
      </c>
      <c r="K177">
        <v>407.99</v>
      </c>
      <c r="L177" s="21">
        <v>300</v>
      </c>
      <c r="M177" s="21">
        <f xml:space="preserve"> (L177 - K177)/(K177-J177)</f>
        <v>-0.6428358830882791</v>
      </c>
      <c r="N177" s="21">
        <f>K177/L177</f>
        <v>1.3599666666666668</v>
      </c>
      <c r="O177" s="7">
        <v>2.9600000000000001E-2</v>
      </c>
      <c r="P177" s="7">
        <v>2.9600000000000001E-2</v>
      </c>
      <c r="Q177" s="33" t="s">
        <v>143</v>
      </c>
      <c r="R177" t="s">
        <v>448</v>
      </c>
      <c r="S177" t="s">
        <v>448</v>
      </c>
      <c r="T177" t="s">
        <v>450</v>
      </c>
    </row>
    <row r="178" spans="2:20">
      <c r="B178" s="33">
        <v>3</v>
      </c>
      <c r="C178" s="33"/>
      <c r="D178" t="s">
        <v>596</v>
      </c>
      <c r="E178" t="s">
        <v>455</v>
      </c>
      <c r="F178" t="s">
        <v>383</v>
      </c>
      <c r="G178" t="s">
        <v>383</v>
      </c>
      <c r="H178" t="s">
        <v>448</v>
      </c>
      <c r="I178" s="17">
        <v>55</v>
      </c>
      <c r="J178" s="24">
        <v>55</v>
      </c>
      <c r="K178">
        <v>47.64</v>
      </c>
      <c r="L178" s="21">
        <v>65</v>
      </c>
      <c r="M178" s="21">
        <f xml:space="preserve"> (L178 - K178)/(K178-J178)</f>
        <v>-2.3586956521739131</v>
      </c>
      <c r="N178" s="21">
        <f>K178/L178</f>
        <v>0.7329230769230769</v>
      </c>
      <c r="O178" s="7">
        <v>1.38E-2</v>
      </c>
      <c r="P178" s="7">
        <v>1.38E-2</v>
      </c>
      <c r="Q178" s="62"/>
      <c r="R178" t="s">
        <v>448</v>
      </c>
      <c r="S178" t="s">
        <v>448</v>
      </c>
      <c r="T178" t="s">
        <v>452</v>
      </c>
    </row>
    <row r="179" spans="2:20">
      <c r="B179" s="33">
        <v>3</v>
      </c>
      <c r="C179" s="33"/>
      <c r="D179" t="s">
        <v>193</v>
      </c>
      <c r="E179" t="s">
        <v>417</v>
      </c>
      <c r="F179" t="s">
        <v>383</v>
      </c>
      <c r="G179" t="s">
        <v>381</v>
      </c>
      <c r="H179" t="s">
        <v>448</v>
      </c>
      <c r="I179">
        <v>28</v>
      </c>
      <c r="J179" s="21">
        <v>27</v>
      </c>
      <c r="K179">
        <v>49.02</v>
      </c>
      <c r="L179" s="21">
        <v>30</v>
      </c>
      <c r="M179" s="21">
        <f xml:space="preserve"> (L179 - K179)/(K179-J179)</f>
        <v>-0.86376021798365121</v>
      </c>
      <c r="N179" s="21">
        <f>K179/L179</f>
        <v>1.6340000000000001</v>
      </c>
      <c r="O179" s="7">
        <v>8.9999999999999993E-3</v>
      </c>
      <c r="P179" s="7">
        <v>8.9999999999999993E-3</v>
      </c>
      <c r="Q179" s="34" t="s">
        <v>194</v>
      </c>
      <c r="R179" t="s">
        <v>448</v>
      </c>
      <c r="S179" t="s">
        <v>448</v>
      </c>
      <c r="T179" t="s">
        <v>452</v>
      </c>
    </row>
    <row r="180" spans="2:20">
      <c r="B180" s="33">
        <v>3</v>
      </c>
      <c r="C180" s="33"/>
      <c r="D180" t="s">
        <v>848</v>
      </c>
      <c r="E180" t="s">
        <v>406</v>
      </c>
      <c r="F180" t="s">
        <v>383</v>
      </c>
      <c r="G180" t="s">
        <v>381</v>
      </c>
      <c r="H180" t="s">
        <v>448</v>
      </c>
      <c r="J180" s="21">
        <v>200</v>
      </c>
      <c r="K180">
        <v>284.43</v>
      </c>
      <c r="L180" s="21">
        <v>240</v>
      </c>
      <c r="M180" s="21">
        <f xml:space="preserve"> (L180 - K180)/(K180-J180)</f>
        <v>-0.52623475068103753</v>
      </c>
      <c r="N180" s="21">
        <f>K180/L180</f>
        <v>1.185125</v>
      </c>
      <c r="O180" s="7">
        <v>4.5499999999999999E-2</v>
      </c>
      <c r="P180" s="7">
        <v>4.5499999999999999E-2</v>
      </c>
      <c r="Q180" s="34"/>
      <c r="R180" t="s">
        <v>449</v>
      </c>
      <c r="S180" t="s">
        <v>449</v>
      </c>
      <c r="T180" t="s">
        <v>450</v>
      </c>
    </row>
    <row r="181" spans="2:20">
      <c r="B181" s="33">
        <v>3</v>
      </c>
      <c r="C181" s="33"/>
      <c r="D181" t="s">
        <v>430</v>
      </c>
      <c r="E181" t="s">
        <v>399</v>
      </c>
      <c r="F181" t="s">
        <v>384</v>
      </c>
      <c r="G181" t="s">
        <v>384</v>
      </c>
      <c r="H181" t="s">
        <v>448</v>
      </c>
      <c r="J181" s="21">
        <v>85</v>
      </c>
      <c r="K181">
        <v>88.8</v>
      </c>
      <c r="L181" s="21">
        <v>95</v>
      </c>
      <c r="M181" s="21">
        <f xml:space="preserve"> (L181 - K181)/(K181-J181)</f>
        <v>1.631578947368423</v>
      </c>
      <c r="N181" s="21">
        <f>K181/L181</f>
        <v>0.93473684210526309</v>
      </c>
      <c r="O181" s="7">
        <v>-6.7000000000000002E-3</v>
      </c>
      <c r="P181" s="7">
        <v>-6.7000000000000002E-3</v>
      </c>
      <c r="Q181" s="34"/>
      <c r="R181" t="s">
        <v>448</v>
      </c>
      <c r="S181" t="s">
        <v>448</v>
      </c>
      <c r="T181" t="s">
        <v>452</v>
      </c>
    </row>
    <row r="182" spans="2:20">
      <c r="B182" s="33">
        <v>3</v>
      </c>
      <c r="C182" s="33"/>
      <c r="D182" t="s">
        <v>84</v>
      </c>
      <c r="E182" t="s">
        <v>391</v>
      </c>
      <c r="F182" t="s">
        <v>381</v>
      </c>
      <c r="G182" t="s">
        <v>381</v>
      </c>
      <c r="H182" t="s">
        <v>448</v>
      </c>
      <c r="J182" s="21">
        <v>80</v>
      </c>
      <c r="K182">
        <v>336.21</v>
      </c>
      <c r="L182" s="21">
        <v>100</v>
      </c>
      <c r="M182" s="21">
        <f xml:space="preserve"> (L182 - K182)/(K182-J182)</f>
        <v>-0.92193903438585534</v>
      </c>
      <c r="N182" s="21">
        <f>K182/L182</f>
        <v>3.3620999999999999</v>
      </c>
      <c r="O182" s="7">
        <v>2.4299999999999999E-2</v>
      </c>
      <c r="P182" s="7">
        <v>2.4299999999999999E-2</v>
      </c>
      <c r="Q182" s="34" t="s">
        <v>108</v>
      </c>
      <c r="R182" t="s">
        <v>448</v>
      </c>
      <c r="S182" t="s">
        <v>450</v>
      </c>
      <c r="T182" t="s">
        <v>452</v>
      </c>
    </row>
    <row r="183" spans="2:20">
      <c r="B183" s="33">
        <v>3</v>
      </c>
      <c r="C183" s="33"/>
      <c r="D183" t="s">
        <v>674</v>
      </c>
      <c r="E183" t="s">
        <v>424</v>
      </c>
      <c r="F183" t="s">
        <v>383</v>
      </c>
      <c r="G183" t="s">
        <v>383</v>
      </c>
      <c r="H183" t="s">
        <v>448</v>
      </c>
      <c r="J183" s="21">
        <v>55</v>
      </c>
      <c r="K183">
        <v>79.27</v>
      </c>
      <c r="L183" s="21">
        <v>60</v>
      </c>
      <c r="M183" s="21">
        <f xml:space="preserve"> (L183 - K183)/(K183-J183)</f>
        <v>-0.79398434281005348</v>
      </c>
      <c r="N183" s="21">
        <f>K183/L183</f>
        <v>1.3211666666666666</v>
      </c>
      <c r="O183" s="7">
        <v>4.4999999999999997E-3</v>
      </c>
      <c r="P183" s="7">
        <v>4.4999999999999997E-3</v>
      </c>
      <c r="Q183" s="33"/>
      <c r="R183" t="s">
        <v>448</v>
      </c>
      <c r="S183" t="s">
        <v>448</v>
      </c>
      <c r="T183" t="s">
        <v>450</v>
      </c>
    </row>
    <row r="184" spans="2:20">
      <c r="B184" s="33">
        <v>3</v>
      </c>
      <c r="C184" s="33"/>
      <c r="D184" t="s">
        <v>628</v>
      </c>
      <c r="E184" t="s">
        <v>414</v>
      </c>
      <c r="F184" t="s">
        <v>384</v>
      </c>
      <c r="G184" t="s">
        <v>384</v>
      </c>
      <c r="H184" t="s">
        <v>448</v>
      </c>
      <c r="J184" s="21">
        <v>55</v>
      </c>
      <c r="K184">
        <v>67.06</v>
      </c>
      <c r="L184" s="21">
        <v>70</v>
      </c>
      <c r="M184" s="24">
        <f xml:space="preserve"> (L184 - K184)/(K184-J184)</f>
        <v>0.24378109452736296</v>
      </c>
      <c r="N184" s="21">
        <f>K184/L184</f>
        <v>0.95800000000000007</v>
      </c>
      <c r="O184" s="7">
        <v>-1.12E-2</v>
      </c>
      <c r="P184" s="7">
        <v>-1.12E-2</v>
      </c>
      <c r="Q184" s="33"/>
      <c r="R184" t="s">
        <v>448</v>
      </c>
      <c r="S184" t="s">
        <v>448</v>
      </c>
      <c r="T184" t="s">
        <v>452</v>
      </c>
    </row>
    <row r="185" spans="2:20">
      <c r="B185" s="33">
        <v>3</v>
      </c>
      <c r="C185" s="33"/>
      <c r="D185" t="s">
        <v>824</v>
      </c>
      <c r="E185" t="s">
        <v>424</v>
      </c>
      <c r="F185" t="s">
        <v>387</v>
      </c>
      <c r="G185"/>
      <c r="H185" t="s">
        <v>449</v>
      </c>
      <c r="J185" s="21"/>
      <c r="K185">
        <v>35.159999999999997</v>
      </c>
      <c r="L185" s="21"/>
      <c r="M185" s="21"/>
      <c r="N185" s="21" t="e">
        <f>K185/L185</f>
        <v>#DIV/0!</v>
      </c>
      <c r="O185" s="7">
        <v>-8.5000000000000006E-3</v>
      </c>
      <c r="P185" s="7">
        <v>-8.5000000000000006E-3</v>
      </c>
      <c r="Q185" s="34"/>
      <c r="R185" t="s">
        <v>449</v>
      </c>
      <c r="S185" t="s">
        <v>448</v>
      </c>
      <c r="T185" t="s">
        <v>600</v>
      </c>
    </row>
    <row r="186" spans="2:20">
      <c r="B186" s="33">
        <v>3</v>
      </c>
      <c r="C186" s="33"/>
      <c r="D186" t="s">
        <v>789</v>
      </c>
      <c r="E186" t="s">
        <v>579</v>
      </c>
      <c r="F186" t="s">
        <v>384</v>
      </c>
      <c r="G186" t="s">
        <v>384</v>
      </c>
      <c r="H186" t="s">
        <v>448</v>
      </c>
      <c r="J186" s="21">
        <v>75</v>
      </c>
      <c r="K186">
        <v>124.48</v>
      </c>
      <c r="L186" s="21">
        <v>125</v>
      </c>
      <c r="M186" s="21">
        <f xml:space="preserve"> (L186 - K186)/(K186-J186)</f>
        <v>1.0509296685529426E-2</v>
      </c>
      <c r="N186" s="21">
        <f>K186/L186</f>
        <v>0.99584000000000006</v>
      </c>
      <c r="O186" s="7">
        <v>3.5499999999999997E-2</v>
      </c>
      <c r="P186" s="7">
        <v>3.5499999999999997E-2</v>
      </c>
      <c r="Q186" s="33"/>
      <c r="R186" t="s">
        <v>448</v>
      </c>
      <c r="S186" t="s">
        <v>450</v>
      </c>
      <c r="T186" t="s">
        <v>452</v>
      </c>
    </row>
    <row r="187" spans="2:20">
      <c r="B187" s="33">
        <v>3</v>
      </c>
      <c r="C187" s="33"/>
      <c r="D187" t="s">
        <v>377</v>
      </c>
      <c r="E187" t="s">
        <v>395</v>
      </c>
      <c r="F187" t="s">
        <v>381</v>
      </c>
      <c r="G187" t="s">
        <v>381</v>
      </c>
      <c r="H187" t="s">
        <v>448</v>
      </c>
      <c r="J187" s="21">
        <v>28</v>
      </c>
      <c r="K187">
        <v>26.99</v>
      </c>
      <c r="L187" s="21">
        <v>31</v>
      </c>
      <c r="M187" s="21">
        <f xml:space="preserve"> (L187 - K187)/(K187-J187)</f>
        <v>-3.9702970297029658</v>
      </c>
      <c r="N187" s="21">
        <f>K187/L187</f>
        <v>0.87064516129032254</v>
      </c>
      <c r="O187" s="7">
        <v>4.0000000000000001E-3</v>
      </c>
      <c r="P187" s="7">
        <v>4.0000000000000001E-3</v>
      </c>
      <c r="Q187" s="33"/>
      <c r="R187" t="s">
        <v>448</v>
      </c>
      <c r="S187" t="s">
        <v>448</v>
      </c>
      <c r="T187" t="s">
        <v>452</v>
      </c>
    </row>
    <row r="188" spans="2:20">
      <c r="B188" s="33">
        <v>3</v>
      </c>
      <c r="C188" s="33"/>
      <c r="D188" t="s">
        <v>534</v>
      </c>
      <c r="E188" t="s">
        <v>416</v>
      </c>
      <c r="F188" t="s">
        <v>387</v>
      </c>
      <c r="G188" t="s">
        <v>385</v>
      </c>
      <c r="H188" t="s">
        <v>448</v>
      </c>
      <c r="J188" s="24">
        <v>43</v>
      </c>
      <c r="K188">
        <v>47.13</v>
      </c>
      <c r="L188" s="21">
        <v>48</v>
      </c>
      <c r="M188" s="21">
        <f xml:space="preserve"> (L188 - K188)/(K188-J188)</f>
        <v>0.21065375302663364</v>
      </c>
      <c r="N188" s="21">
        <f>K188/L188</f>
        <v>0.98187500000000005</v>
      </c>
      <c r="O188" s="7">
        <v>7.1999999999999998E-3</v>
      </c>
      <c r="P188" s="7">
        <v>7.1999999999999998E-3</v>
      </c>
      <c r="Q188" s="33"/>
      <c r="R188" t="s">
        <v>449</v>
      </c>
      <c r="S188" t="s">
        <v>449</v>
      </c>
      <c r="T188" t="s">
        <v>450</v>
      </c>
    </row>
    <row r="189" spans="2:20">
      <c r="B189" s="33">
        <v>3</v>
      </c>
      <c r="C189" s="33"/>
      <c r="D189" t="s">
        <v>855</v>
      </c>
      <c r="E189" t="s">
        <v>424</v>
      </c>
      <c r="F189" t="s">
        <v>382</v>
      </c>
      <c r="G189" t="s">
        <v>382</v>
      </c>
      <c r="H189" t="s">
        <v>448</v>
      </c>
      <c r="J189" s="21">
        <v>47</v>
      </c>
      <c r="K189">
        <v>58.37</v>
      </c>
      <c r="L189" s="21">
        <v>55</v>
      </c>
      <c r="M189" s="21">
        <f xml:space="preserve"> (L189 - K189)/(K189-J189)</f>
        <v>-0.29639401934916432</v>
      </c>
      <c r="N189" s="21">
        <f>K189/L189</f>
        <v>1.0612727272727271</v>
      </c>
      <c r="O189" s="7">
        <v>-1.0500000000000001E-2</v>
      </c>
      <c r="P189" s="7">
        <v>-1.0500000000000001E-2</v>
      </c>
      <c r="Q189" s="33"/>
      <c r="R189" t="s">
        <v>449</v>
      </c>
      <c r="S189" t="s">
        <v>450</v>
      </c>
      <c r="T189" t="s">
        <v>600</v>
      </c>
    </row>
    <row r="190" spans="2:20">
      <c r="B190" s="33">
        <v>3</v>
      </c>
      <c r="C190" s="33"/>
      <c r="D190" s="17" t="s">
        <v>776</v>
      </c>
      <c r="E190" t="s">
        <v>317</v>
      </c>
      <c r="F190" t="s">
        <v>380</v>
      </c>
      <c r="G190" t="s">
        <v>380</v>
      </c>
      <c r="H190" t="s">
        <v>449</v>
      </c>
      <c r="J190" s="21">
        <v>110</v>
      </c>
      <c r="K190">
        <v>99.5</v>
      </c>
      <c r="L190" s="21">
        <v>130</v>
      </c>
      <c r="M190" s="21">
        <f xml:space="preserve"> (L190 - K190)/(K190-J190)</f>
        <v>-2.9047619047619047</v>
      </c>
      <c r="N190" s="21">
        <f>K190/L190</f>
        <v>0.76538461538461533</v>
      </c>
      <c r="O190" s="53">
        <v>0.03</v>
      </c>
      <c r="P190" s="53">
        <v>0.03</v>
      </c>
      <c r="Q190" s="34"/>
      <c r="R190" t="s">
        <v>449</v>
      </c>
      <c r="S190" t="s">
        <v>450</v>
      </c>
      <c r="T190" t="s">
        <v>450</v>
      </c>
    </row>
    <row r="191" spans="2:20">
      <c r="B191" s="33">
        <v>3</v>
      </c>
      <c r="C191" s="33"/>
      <c r="D191" t="s">
        <v>525</v>
      </c>
      <c r="E191" t="s">
        <v>582</v>
      </c>
      <c r="F191" t="s">
        <v>384</v>
      </c>
      <c r="G191" t="s">
        <v>384</v>
      </c>
      <c r="H191" t="s">
        <v>448</v>
      </c>
      <c r="J191" s="21">
        <v>15</v>
      </c>
      <c r="K191">
        <v>13.47</v>
      </c>
      <c r="L191" s="21">
        <v>20</v>
      </c>
      <c r="M191" s="21">
        <f xml:space="preserve"> (L191 - K191)/(K191-J191)</f>
        <v>-4.267973856209152</v>
      </c>
      <c r="N191" s="21">
        <f>K191/L191</f>
        <v>0.67349999999999999</v>
      </c>
      <c r="O191" s="7">
        <v>1.6899999999999998E-2</v>
      </c>
      <c r="P191" s="7">
        <v>1.6899999999999998E-2</v>
      </c>
      <c r="Q191" s="33"/>
      <c r="R191" t="s">
        <v>449</v>
      </c>
      <c r="S191" t="s">
        <v>449</v>
      </c>
      <c r="T191" t="s">
        <v>450</v>
      </c>
    </row>
    <row r="192" spans="2:20">
      <c r="B192" s="33">
        <v>3</v>
      </c>
      <c r="C192" s="33"/>
      <c r="D192" t="s">
        <v>748</v>
      </c>
      <c r="E192" t="s">
        <v>166</v>
      </c>
      <c r="F192" t="s">
        <v>381</v>
      </c>
      <c r="G192" t="s">
        <v>381</v>
      </c>
      <c r="H192" t="s">
        <v>448</v>
      </c>
      <c r="I192" s="17"/>
      <c r="J192" s="24">
        <v>450</v>
      </c>
      <c r="K192">
        <v>616.19000000000005</v>
      </c>
      <c r="L192" s="21">
        <v>500</v>
      </c>
      <c r="M192" s="21">
        <f xml:space="preserve"> (L192 - K192)/(K192-J192)</f>
        <v>-0.69913953908177395</v>
      </c>
      <c r="N192" s="21">
        <f>K192/L192</f>
        <v>1.23238</v>
      </c>
      <c r="O192" s="7">
        <v>2.1600000000000001E-2</v>
      </c>
      <c r="P192" s="7">
        <v>2.1600000000000001E-2</v>
      </c>
      <c r="Q192" s="33"/>
      <c r="R192" t="s">
        <v>448</v>
      </c>
      <c r="S192" t="s">
        <v>448</v>
      </c>
      <c r="T192" t="s">
        <v>450</v>
      </c>
    </row>
    <row r="193" spans="2:20">
      <c r="B193" s="33">
        <v>3</v>
      </c>
      <c r="C193" s="33"/>
      <c r="D193" t="s">
        <v>692</v>
      </c>
      <c r="E193" t="s">
        <v>486</v>
      </c>
      <c r="F193" t="s">
        <v>381</v>
      </c>
      <c r="G193" t="s">
        <v>381</v>
      </c>
      <c r="H193" t="s">
        <v>448</v>
      </c>
      <c r="J193" s="21">
        <v>250</v>
      </c>
      <c r="K193">
        <v>355.11</v>
      </c>
      <c r="L193" s="21">
        <v>310</v>
      </c>
      <c r="M193" s="21">
        <f xml:space="preserve"> (L193 - K193)/(K193-J193)</f>
        <v>-0.42916944153743702</v>
      </c>
      <c r="N193" s="21"/>
      <c r="O193" s="7">
        <v>3.2399999999999998E-2</v>
      </c>
      <c r="P193" s="7">
        <v>3.2399999999999998E-2</v>
      </c>
      <c r="Q193" s="33"/>
      <c r="R193" t="s">
        <v>450</v>
      </c>
      <c r="S193" t="s">
        <v>449</v>
      </c>
      <c r="T193" t="s">
        <v>451</v>
      </c>
    </row>
    <row r="194" spans="2:20">
      <c r="B194" s="33">
        <v>3</v>
      </c>
      <c r="C194" s="32">
        <v>14</v>
      </c>
      <c r="D194" t="s">
        <v>514</v>
      </c>
      <c r="E194" t="s">
        <v>135</v>
      </c>
      <c r="F194" t="s">
        <v>381</v>
      </c>
      <c r="G194" t="s">
        <v>381</v>
      </c>
      <c r="H194" t="s">
        <v>448</v>
      </c>
      <c r="J194" s="21">
        <v>90</v>
      </c>
      <c r="K194">
        <v>54.45</v>
      </c>
      <c r="L194" s="21">
        <v>110</v>
      </c>
      <c r="M194" s="21">
        <f xml:space="preserve"> (L194 - K194)/(K194-J194)</f>
        <v>-1.5625879043600563</v>
      </c>
      <c r="N194" s="21">
        <f>K194/L194</f>
        <v>0.49500000000000005</v>
      </c>
      <c r="O194" s="7">
        <v>2.2599999999999999E-2</v>
      </c>
      <c r="P194" s="7">
        <v>2.2599999999999999E-2</v>
      </c>
      <c r="Q194" s="33"/>
      <c r="R194" t="s">
        <v>450</v>
      </c>
      <c r="S194" t="s">
        <v>450</v>
      </c>
      <c r="T194" t="s">
        <v>452</v>
      </c>
    </row>
    <row r="195" spans="2:20">
      <c r="B195" s="33">
        <v>2</v>
      </c>
      <c r="C195" s="33"/>
      <c r="D195" t="s">
        <v>333</v>
      </c>
      <c r="E195" t="s">
        <v>230</v>
      </c>
      <c r="F195" t="s">
        <v>381</v>
      </c>
      <c r="G195" t="s">
        <v>381</v>
      </c>
      <c r="H195" t="s">
        <v>449</v>
      </c>
      <c r="J195" s="21">
        <v>70</v>
      </c>
      <c r="K195">
        <v>81.39</v>
      </c>
      <c r="L195" s="21">
        <v>80</v>
      </c>
      <c r="M195" s="21">
        <f xml:space="preserve"> (L195 - K195)/(K195-J195)</f>
        <v>-0.12203687445127309</v>
      </c>
      <c r="N195" s="21"/>
      <c r="O195" s="7">
        <v>1.54E-2</v>
      </c>
      <c r="P195" s="7">
        <v>1.54E-2</v>
      </c>
      <c r="Q195" s="33" t="s">
        <v>146</v>
      </c>
      <c r="R195" t="s">
        <v>448</v>
      </c>
      <c r="S195" t="s">
        <v>450</v>
      </c>
      <c r="T195" t="s">
        <v>452</v>
      </c>
    </row>
    <row r="196" spans="2:20">
      <c r="B196" s="33">
        <v>2</v>
      </c>
      <c r="C196" s="33"/>
      <c r="D196" t="s">
        <v>750</v>
      </c>
      <c r="E196" t="s">
        <v>581</v>
      </c>
      <c r="F196" t="s">
        <v>381</v>
      </c>
      <c r="G196" t="s">
        <v>381</v>
      </c>
      <c r="H196" t="s">
        <v>449</v>
      </c>
      <c r="J196" s="21">
        <v>25</v>
      </c>
      <c r="K196">
        <v>27.27</v>
      </c>
      <c r="L196" s="21">
        <v>35</v>
      </c>
      <c r="M196" s="21">
        <f xml:space="preserve"> (L196 - K196)/(K196-J196)</f>
        <v>3.4052863436123357</v>
      </c>
      <c r="N196" s="21">
        <f>K196/L196</f>
        <v>0.77914285714285714</v>
      </c>
      <c r="O196" s="7">
        <v>-1.38E-2</v>
      </c>
      <c r="P196" s="7">
        <v>-1.38E-2</v>
      </c>
      <c r="Q196" s="33"/>
      <c r="R196" t="s">
        <v>449</v>
      </c>
      <c r="S196" t="s">
        <v>448</v>
      </c>
      <c r="T196" t="s">
        <v>450</v>
      </c>
    </row>
    <row r="197" spans="2:20">
      <c r="B197" s="33">
        <v>2</v>
      </c>
      <c r="C197" s="33"/>
      <c r="D197" t="s">
        <v>509</v>
      </c>
      <c r="E197" t="s">
        <v>422</v>
      </c>
      <c r="F197" t="s">
        <v>381</v>
      </c>
      <c r="G197" t="s">
        <v>381</v>
      </c>
      <c r="H197" t="s">
        <v>448</v>
      </c>
      <c r="J197" s="21"/>
      <c r="K197">
        <v>322.75</v>
      </c>
      <c r="L197" s="21"/>
      <c r="M197" s="21">
        <f xml:space="preserve"> (L197 - K197)/(K197-J197)</f>
        <v>-1</v>
      </c>
      <c r="N197" s="21" t="e">
        <f>K197/L197</f>
        <v>#DIV/0!</v>
      </c>
      <c r="O197" s="7">
        <v>-2.2700000000000001E-2</v>
      </c>
      <c r="P197" s="7">
        <v>-2.2700000000000001E-2</v>
      </c>
      <c r="Q197" s="33"/>
      <c r="R197" t="s">
        <v>448</v>
      </c>
      <c r="S197" t="s">
        <v>450</v>
      </c>
      <c r="T197" t="s">
        <v>452</v>
      </c>
    </row>
    <row r="198" spans="2:20">
      <c r="B198" s="34">
        <v>2</v>
      </c>
      <c r="C198" s="34"/>
      <c r="D198" t="s">
        <v>356</v>
      </c>
      <c r="E198" t="s">
        <v>422</v>
      </c>
      <c r="F198" t="s">
        <v>385</v>
      </c>
      <c r="G198" t="s">
        <v>385</v>
      </c>
      <c r="H198" t="s">
        <v>448</v>
      </c>
      <c r="I198" s="17"/>
      <c r="J198" s="24">
        <v>80</v>
      </c>
      <c r="K198">
        <v>65.73</v>
      </c>
      <c r="L198" s="21">
        <v>90</v>
      </c>
      <c r="M198" s="21">
        <f xml:space="preserve"> (L198 - K198)/(K198-J198)</f>
        <v>-1.7007708479327261</v>
      </c>
      <c r="N198" s="21">
        <f>K198/L198</f>
        <v>0.73033333333333339</v>
      </c>
      <c r="O198" s="7">
        <v>-2.7199999999999998E-2</v>
      </c>
      <c r="P198" s="7">
        <v>-2.7199999999999998E-2</v>
      </c>
      <c r="Q198" s="33"/>
      <c r="R198" t="s">
        <v>449</v>
      </c>
      <c r="S198" t="s">
        <v>449</v>
      </c>
      <c r="T198" t="s">
        <v>452</v>
      </c>
    </row>
    <row r="199" spans="2:20">
      <c r="B199" s="33">
        <v>2</v>
      </c>
      <c r="C199" s="33"/>
      <c r="D199" t="s">
        <v>345</v>
      </c>
      <c r="E199" t="s">
        <v>394</v>
      </c>
      <c r="F199" t="s">
        <v>381</v>
      </c>
      <c r="G199" t="s">
        <v>381</v>
      </c>
      <c r="H199" t="s">
        <v>448</v>
      </c>
      <c r="J199" s="21">
        <v>440</v>
      </c>
      <c r="K199">
        <v>291.54000000000002</v>
      </c>
      <c r="L199" s="21">
        <v>525</v>
      </c>
      <c r="M199" s="21">
        <f xml:space="preserve"> (L199 - K199)/(K199-J199)</f>
        <v>-1.5725447932102925</v>
      </c>
      <c r="N199" s="21">
        <f>K199/L199</f>
        <v>0.55531428571428576</v>
      </c>
      <c r="O199" s="7">
        <v>3.2000000000000001E-2</v>
      </c>
      <c r="P199" s="7">
        <v>3.2000000000000001E-2</v>
      </c>
      <c r="Q199" s="34"/>
      <c r="R199" t="s">
        <v>450</v>
      </c>
      <c r="S199" t="s">
        <v>450</v>
      </c>
      <c r="T199" t="s">
        <v>450</v>
      </c>
    </row>
    <row r="200" spans="2:20">
      <c r="B200" s="33">
        <v>2</v>
      </c>
      <c r="C200" s="33"/>
      <c r="D200" t="s">
        <v>107</v>
      </c>
      <c r="E200" t="s">
        <v>388</v>
      </c>
      <c r="F200" t="s">
        <v>384</v>
      </c>
      <c r="G200" t="s">
        <v>384</v>
      </c>
      <c r="H200" t="s">
        <v>448</v>
      </c>
      <c r="J200" s="21">
        <v>18</v>
      </c>
      <c r="K200">
        <v>27.94</v>
      </c>
      <c r="L200" s="21">
        <v>24</v>
      </c>
      <c r="M200" s="21">
        <f xml:space="preserve"> (L200 - K200)/(K200-J200)</f>
        <v>-0.39637826961770634</v>
      </c>
      <c r="N200" s="21">
        <f>K200/L200</f>
        <v>1.1641666666666668</v>
      </c>
      <c r="O200" s="7">
        <v>1.8499999999999999E-2</v>
      </c>
      <c r="P200" s="7">
        <v>1.8499999999999999E-2</v>
      </c>
      <c r="Q200" s="33" t="s">
        <v>106</v>
      </c>
      <c r="R200" t="s">
        <v>448</v>
      </c>
      <c r="S200" t="s">
        <v>449</v>
      </c>
      <c r="T200" t="s">
        <v>450</v>
      </c>
    </row>
    <row r="201" spans="2:20">
      <c r="B201" s="33">
        <v>2</v>
      </c>
      <c r="C201" s="32">
        <v>14</v>
      </c>
      <c r="D201" t="s">
        <v>57</v>
      </c>
      <c r="E201" t="s">
        <v>394</v>
      </c>
      <c r="F201" t="s">
        <v>383</v>
      </c>
      <c r="G201" t="s">
        <v>381</v>
      </c>
      <c r="H201" t="s">
        <v>448</v>
      </c>
      <c r="J201" s="21">
        <v>260</v>
      </c>
      <c r="K201">
        <v>262.81</v>
      </c>
      <c r="L201" s="21">
        <v>350</v>
      </c>
      <c r="M201" s="21">
        <f xml:space="preserve"> (L201 - K201)/(K201-J201)</f>
        <v>31.028469750889652</v>
      </c>
      <c r="N201" s="21">
        <f>K201/L201</f>
        <v>0.75088571428571427</v>
      </c>
      <c r="O201" s="7">
        <v>1.3299999999999999E-2</v>
      </c>
      <c r="P201" s="7">
        <v>1.3299999999999999E-2</v>
      </c>
      <c r="Q201" s="34" t="s">
        <v>100</v>
      </c>
      <c r="R201" t="s">
        <v>448</v>
      </c>
      <c r="S201" t="s">
        <v>450</v>
      </c>
      <c r="T201" t="s">
        <v>452</v>
      </c>
    </row>
    <row r="202" spans="2:20">
      <c r="B202" s="33">
        <v>2</v>
      </c>
      <c r="C202" s="34"/>
      <c r="D202" t="s">
        <v>682</v>
      </c>
      <c r="E202" t="s">
        <v>486</v>
      </c>
      <c r="F202" t="s">
        <v>384</v>
      </c>
      <c r="G202" t="s">
        <v>384</v>
      </c>
      <c r="H202" t="s">
        <v>448</v>
      </c>
      <c r="I202" s="17"/>
      <c r="J202" s="24">
        <v>45</v>
      </c>
      <c r="K202">
        <v>114.42</v>
      </c>
      <c r="L202" s="24">
        <v>60</v>
      </c>
      <c r="M202" s="21">
        <f xml:space="preserve"> (L202 - K202)/(K202-J202)</f>
        <v>-0.78392394122731202</v>
      </c>
      <c r="N202" s="21">
        <f>K202/L202</f>
        <v>1.907</v>
      </c>
      <c r="O202" s="7">
        <v>1.9300000000000001E-2</v>
      </c>
      <c r="P202" s="7">
        <v>1.9300000000000001E-2</v>
      </c>
      <c r="Q202" s="33"/>
      <c r="R202" t="s">
        <v>448</v>
      </c>
      <c r="S202" t="s">
        <v>449</v>
      </c>
      <c r="T202" t="s">
        <v>451</v>
      </c>
    </row>
    <row r="203" spans="2:20">
      <c r="B203" s="33">
        <v>2</v>
      </c>
      <c r="C203" s="33"/>
      <c r="D203" t="s">
        <v>730</v>
      </c>
      <c r="E203" t="s">
        <v>424</v>
      </c>
      <c r="F203" t="s">
        <v>381</v>
      </c>
      <c r="G203"/>
      <c r="H203" t="s">
        <v>449</v>
      </c>
      <c r="J203" s="21">
        <v>26</v>
      </c>
      <c r="K203">
        <v>79.19</v>
      </c>
      <c r="L203" s="21">
        <v>30</v>
      </c>
      <c r="M203" s="24">
        <f xml:space="preserve"> (L203 - K203)/(K203-J203)</f>
        <v>-0.92479789434104154</v>
      </c>
      <c r="N203" s="21">
        <f>K203/L203</f>
        <v>2.6396666666666664</v>
      </c>
      <c r="O203" s="7">
        <v>5.1499999999999997E-2</v>
      </c>
      <c r="P203" s="7">
        <v>5.1499999999999997E-2</v>
      </c>
      <c r="Q203" s="33" t="s">
        <v>732</v>
      </c>
      <c r="R203" t="s">
        <v>448</v>
      </c>
      <c r="S203" t="s">
        <v>448</v>
      </c>
      <c r="T203" t="s">
        <v>600</v>
      </c>
    </row>
    <row r="204" spans="2:20">
      <c r="B204" s="34">
        <v>2</v>
      </c>
      <c r="C204" s="34"/>
      <c r="D204" t="s">
        <v>609</v>
      </c>
      <c r="E204" t="s">
        <v>416</v>
      </c>
      <c r="F204" t="s">
        <v>381</v>
      </c>
      <c r="G204" t="s">
        <v>383</v>
      </c>
      <c r="H204" t="s">
        <v>448</v>
      </c>
      <c r="I204" s="17"/>
      <c r="J204" s="24">
        <v>70</v>
      </c>
      <c r="K204">
        <v>121.97</v>
      </c>
      <c r="L204" s="21">
        <v>80</v>
      </c>
      <c r="M204" s="21">
        <f xml:space="preserve"> (L204 - K204)/(K204-J204)</f>
        <v>-0.80758129690205882</v>
      </c>
      <c r="N204" s="21">
        <f>K204/L204</f>
        <v>1.5246249999999999</v>
      </c>
      <c r="O204" s="7">
        <v>1.3100000000000001E-2</v>
      </c>
      <c r="P204" s="7">
        <v>1.3100000000000001E-2</v>
      </c>
      <c r="Q204" s="33"/>
      <c r="R204" t="s">
        <v>450</v>
      </c>
      <c r="S204" t="s">
        <v>450</v>
      </c>
      <c r="T204" t="s">
        <v>450</v>
      </c>
    </row>
    <row r="205" spans="2:20">
      <c r="B205" s="33">
        <v>2</v>
      </c>
      <c r="C205" s="33"/>
      <c r="D205" t="s">
        <v>751</v>
      </c>
      <c r="E205" t="s">
        <v>414</v>
      </c>
      <c r="F205" t="s">
        <v>383</v>
      </c>
      <c r="G205" t="s">
        <v>383</v>
      </c>
      <c r="H205" t="s">
        <v>448</v>
      </c>
      <c r="J205" s="21">
        <v>38</v>
      </c>
      <c r="K205">
        <v>58.6</v>
      </c>
      <c r="L205" s="21">
        <v>42</v>
      </c>
      <c r="M205" s="21">
        <f xml:space="preserve"> (L205 - K205)/(K205-J205)</f>
        <v>-0.80582524271844658</v>
      </c>
      <c r="N205" s="21">
        <f>K205/L205</f>
        <v>1.3952380952380952</v>
      </c>
      <c r="O205" s="7">
        <v>-1.9E-3</v>
      </c>
      <c r="P205" s="7">
        <v>-1.9E-3</v>
      </c>
      <c r="Q205" s="33"/>
      <c r="R205" t="s">
        <v>448</v>
      </c>
      <c r="S205" t="s">
        <v>449</v>
      </c>
      <c r="T205" t="s">
        <v>450</v>
      </c>
    </row>
    <row r="206" spans="2:20">
      <c r="B206" s="33">
        <v>2</v>
      </c>
      <c r="C206" s="33"/>
      <c r="D206" t="s">
        <v>376</v>
      </c>
      <c r="E206" t="s">
        <v>414</v>
      </c>
      <c r="F206" t="s">
        <v>383</v>
      </c>
      <c r="G206" t="s">
        <v>383</v>
      </c>
      <c r="H206" t="s">
        <v>448</v>
      </c>
      <c r="J206" s="24">
        <v>34</v>
      </c>
      <c r="K206">
        <v>54.07</v>
      </c>
      <c r="L206" s="21">
        <v>50</v>
      </c>
      <c r="M206" s="21">
        <f xml:space="preserve"> (L206 - K206)/(K206-J206)</f>
        <v>-0.20279023418036873</v>
      </c>
      <c r="N206" s="21">
        <f>K206/L206</f>
        <v>1.0813999999999999</v>
      </c>
      <c r="O206" s="7">
        <v>1.78E-2</v>
      </c>
      <c r="P206" s="7">
        <v>1.78E-2</v>
      </c>
      <c r="Q206" s="33"/>
      <c r="R206" t="s">
        <v>448</v>
      </c>
      <c r="S206" t="s">
        <v>450</v>
      </c>
      <c r="T206" t="s">
        <v>450</v>
      </c>
    </row>
    <row r="207" spans="2:20">
      <c r="B207" s="33">
        <v>2</v>
      </c>
      <c r="C207" s="33"/>
      <c r="D207" t="s">
        <v>564</v>
      </c>
      <c r="E207" t="s">
        <v>135</v>
      </c>
      <c r="F207" t="s">
        <v>381</v>
      </c>
      <c r="G207" t="s">
        <v>381</v>
      </c>
      <c r="H207" t="s">
        <v>448</v>
      </c>
      <c r="J207" s="21">
        <v>95</v>
      </c>
      <c r="K207">
        <v>78.14</v>
      </c>
      <c r="L207" s="21">
        <v>120</v>
      </c>
      <c r="M207" s="21">
        <f xml:space="preserve"> (L207 - K207)/(K207-J207)</f>
        <v>-2.4827995255041517</v>
      </c>
      <c r="N207" s="21">
        <f>K207/L207</f>
        <v>0.65116666666666667</v>
      </c>
      <c r="O207" s="7">
        <v>1.8599999999999998E-2</v>
      </c>
      <c r="P207" s="7">
        <v>1.8599999999999998E-2</v>
      </c>
      <c r="Q207" s="33"/>
      <c r="R207" t="s">
        <v>450</v>
      </c>
      <c r="S207" t="s">
        <v>450</v>
      </c>
      <c r="T207" t="s">
        <v>452</v>
      </c>
    </row>
    <row r="208" spans="2:20">
      <c r="B208" s="33">
        <v>2</v>
      </c>
      <c r="C208" s="33"/>
      <c r="D208" t="s">
        <v>809</v>
      </c>
      <c r="E208" t="s">
        <v>422</v>
      </c>
      <c r="F208" t="s">
        <v>381</v>
      </c>
      <c r="G208" t="s">
        <v>381</v>
      </c>
      <c r="H208" t="s">
        <v>448</v>
      </c>
      <c r="J208" s="21"/>
      <c r="K208">
        <v>136.71</v>
      </c>
      <c r="L208" s="21"/>
      <c r="M208" s="21"/>
      <c r="N208" s="21" t="e">
        <f>K208/L208</f>
        <v>#DIV/0!</v>
      </c>
      <c r="O208" s="7">
        <v>1E-3</v>
      </c>
      <c r="P208" s="7">
        <v>1E-3</v>
      </c>
      <c r="Q208" s="34"/>
      <c r="R208" t="s">
        <v>448</v>
      </c>
      <c r="S208" t="s">
        <v>449</v>
      </c>
      <c r="T208" t="s">
        <v>450</v>
      </c>
    </row>
    <row r="209" spans="2:20">
      <c r="B209" s="33">
        <v>2</v>
      </c>
      <c r="C209" s="33"/>
      <c r="D209" t="s">
        <v>366</v>
      </c>
      <c r="E209" t="s">
        <v>422</v>
      </c>
      <c r="F209" t="s">
        <v>383</v>
      </c>
      <c r="G209" t="s">
        <v>384</v>
      </c>
      <c r="H209" t="s">
        <v>448</v>
      </c>
      <c r="J209" s="21">
        <v>95</v>
      </c>
      <c r="K209">
        <v>132.66999999999999</v>
      </c>
      <c r="L209" s="21">
        <v>110</v>
      </c>
      <c r="M209" s="21">
        <f xml:space="preserve"> (L209 - K209)/(K209-J209)</f>
        <v>-0.60180514998672674</v>
      </c>
      <c r="N209" s="21">
        <f>K209/L209</f>
        <v>1.2060909090909089</v>
      </c>
      <c r="O209" s="7">
        <v>-4.4999999999999997E-3</v>
      </c>
      <c r="P209" s="7">
        <v>-4.4999999999999997E-3</v>
      </c>
      <c r="Q209" s="33"/>
      <c r="R209" t="s">
        <v>448</v>
      </c>
      <c r="S209" t="s">
        <v>450</v>
      </c>
      <c r="T209" t="s">
        <v>452</v>
      </c>
    </row>
    <row r="210" spans="2:20">
      <c r="B210" s="33">
        <v>2</v>
      </c>
      <c r="C210" s="33"/>
      <c r="D210" t="s">
        <v>867</v>
      </c>
      <c r="E210" t="s">
        <v>379</v>
      </c>
      <c r="F210" t="s">
        <v>380</v>
      </c>
      <c r="G210" t="s">
        <v>380</v>
      </c>
      <c r="H210" t="s">
        <v>449</v>
      </c>
      <c r="I210" s="16"/>
      <c r="J210" s="21">
        <v>7</v>
      </c>
      <c r="K210">
        <v>14.04</v>
      </c>
      <c r="L210" s="21">
        <v>18</v>
      </c>
      <c r="M210" s="21">
        <f xml:space="preserve"> (L210 - K210)/(K210-J210)</f>
        <v>0.56250000000000022</v>
      </c>
      <c r="N210" s="21">
        <f>K210/L210</f>
        <v>0.77999999999999992</v>
      </c>
      <c r="O210" s="7">
        <v>3.1899999999999998E-2</v>
      </c>
      <c r="P210" s="7">
        <v>3.1899999999999998E-2</v>
      </c>
      <c r="Q210" s="34" t="s">
        <v>869</v>
      </c>
      <c r="R210" t="s">
        <v>448</v>
      </c>
      <c r="S210" t="s">
        <v>449</v>
      </c>
      <c r="T210" t="s">
        <v>450</v>
      </c>
    </row>
    <row r="211" spans="2:20">
      <c r="B211" s="33">
        <v>2</v>
      </c>
      <c r="C211" s="34"/>
      <c r="D211" t="s">
        <v>818</v>
      </c>
      <c r="E211" t="s">
        <v>819</v>
      </c>
      <c r="F211"/>
      <c r="G211"/>
      <c r="H211" t="s">
        <v>449</v>
      </c>
      <c r="I211" s="17"/>
      <c r="J211" s="24">
        <v>7.7</v>
      </c>
      <c r="K211">
        <v>25.8</v>
      </c>
      <c r="L211" s="24">
        <v>10</v>
      </c>
      <c r="M211" s="21">
        <f xml:space="preserve"> (L211 - K211)/(K211-J211)</f>
        <v>-0.8729281767955801</v>
      </c>
      <c r="N211" s="21">
        <f>K211/L211</f>
        <v>2.58</v>
      </c>
      <c r="O211" s="7">
        <v>-5.16E-2</v>
      </c>
      <c r="P211" s="7">
        <v>-5.16E-2</v>
      </c>
      <c r="Q211" s="33"/>
      <c r="R211" t="s">
        <v>448</v>
      </c>
      <c r="S211" t="s">
        <v>448</v>
      </c>
      <c r="T211" t="s">
        <v>450</v>
      </c>
    </row>
    <row r="212" spans="2:20">
      <c r="B212" s="33">
        <v>1</v>
      </c>
      <c r="C212" s="33"/>
      <c r="D212" t="s">
        <v>62</v>
      </c>
      <c r="E212" t="s">
        <v>395</v>
      </c>
      <c r="F212" t="s">
        <v>384</v>
      </c>
      <c r="G212" t="s">
        <v>384</v>
      </c>
      <c r="H212" t="s">
        <v>448</v>
      </c>
      <c r="I212" s="21"/>
      <c r="J212" s="21">
        <v>570</v>
      </c>
      <c r="K212">
        <v>906.49</v>
      </c>
      <c r="L212" s="21">
        <v>650</v>
      </c>
      <c r="M212" s="21">
        <f xml:space="preserve"> (L212 - K212)/(K212-J212)</f>
        <v>-0.76225147849861807</v>
      </c>
      <c r="N212" s="21"/>
      <c r="O212" s="7">
        <v>3.3E-3</v>
      </c>
      <c r="P212" s="7">
        <v>3.3E-3</v>
      </c>
      <c r="Q212" s="34" t="s">
        <v>134</v>
      </c>
      <c r="R212" t="s">
        <v>448</v>
      </c>
      <c r="S212" t="s">
        <v>450</v>
      </c>
      <c r="T212" t="s">
        <v>450</v>
      </c>
    </row>
    <row r="213" spans="2:20">
      <c r="B213" s="33">
        <v>1</v>
      </c>
      <c r="C213" s="33"/>
      <c r="D213" t="s">
        <v>61</v>
      </c>
      <c r="E213" t="s">
        <v>394</v>
      </c>
      <c r="F213" t="s">
        <v>380</v>
      </c>
      <c r="G213" t="s">
        <v>380</v>
      </c>
      <c r="H213" t="s">
        <v>448</v>
      </c>
      <c r="J213" s="21">
        <v>340</v>
      </c>
      <c r="K213">
        <v>139.5</v>
      </c>
      <c r="L213" s="21">
        <v>380</v>
      </c>
      <c r="M213" s="21">
        <f xml:space="preserve"> (L213 - K213)/(K213-J213)</f>
        <v>-1.199501246882793</v>
      </c>
      <c r="N213" s="21">
        <f>K213/L213</f>
        <v>0.36710526315789471</v>
      </c>
      <c r="O213" s="7">
        <v>6.8199999999999997E-2</v>
      </c>
      <c r="P213" s="7">
        <v>6.8199999999999997E-2</v>
      </c>
      <c r="Q213" s="33" t="s">
        <v>139</v>
      </c>
      <c r="R213" t="s">
        <v>449</v>
      </c>
      <c r="S213" t="s">
        <v>449</v>
      </c>
      <c r="T213" t="s">
        <v>600</v>
      </c>
    </row>
    <row r="214" spans="2:20">
      <c r="B214" s="33">
        <v>1</v>
      </c>
      <c r="C214" s="33"/>
      <c r="D214" t="s">
        <v>67</v>
      </c>
      <c r="E214" t="s">
        <v>422</v>
      </c>
      <c r="F214" t="s">
        <v>384</v>
      </c>
      <c r="G214" t="s">
        <v>384</v>
      </c>
      <c r="H214" t="s">
        <v>448</v>
      </c>
      <c r="I214" s="17"/>
      <c r="J214" s="24">
        <v>155</v>
      </c>
      <c r="K214">
        <v>206</v>
      </c>
      <c r="L214" s="21">
        <v>170</v>
      </c>
      <c r="M214" s="21">
        <f xml:space="preserve"> (L214 - K214)/(K214-J214)</f>
        <v>-0.70588235294117652</v>
      </c>
      <c r="N214" s="21">
        <f>K214/L214</f>
        <v>1.2117647058823529</v>
      </c>
      <c r="O214" s="7">
        <v>-4.4999999999999997E-3</v>
      </c>
      <c r="P214" s="7">
        <v>-4.4999999999999997E-3</v>
      </c>
      <c r="Q214" s="34"/>
      <c r="R214" t="s">
        <v>449</v>
      </c>
      <c r="S214" t="s">
        <v>448</v>
      </c>
      <c r="T214" t="s">
        <v>450</v>
      </c>
    </row>
    <row r="215" spans="2:20">
      <c r="B215" s="33">
        <v>1</v>
      </c>
      <c r="C215" s="33"/>
      <c r="D215" t="s">
        <v>470</v>
      </c>
      <c r="E215" t="s">
        <v>422</v>
      </c>
      <c r="F215" t="s">
        <v>383</v>
      </c>
      <c r="G215" t="s">
        <v>383</v>
      </c>
      <c r="H215" t="s">
        <v>448</v>
      </c>
      <c r="J215" s="21">
        <v>134</v>
      </c>
      <c r="K215">
        <v>205.73</v>
      </c>
      <c r="L215" s="21">
        <v>150</v>
      </c>
      <c r="M215" s="21">
        <f xml:space="preserve"> (L215 - K215)/(K215-J215)</f>
        <v>-0.77694130768158365</v>
      </c>
      <c r="N215" s="21">
        <f>K215/L215</f>
        <v>1.3715333333333333</v>
      </c>
      <c r="O215" s="7">
        <v>4.5999999999999999E-3</v>
      </c>
      <c r="P215" s="7">
        <v>4.5999999999999999E-3</v>
      </c>
      <c r="Q215" s="33"/>
      <c r="R215" t="s">
        <v>449</v>
      </c>
      <c r="S215" t="s">
        <v>450</v>
      </c>
      <c r="T215" t="s">
        <v>450</v>
      </c>
    </row>
    <row r="216" spans="2:20">
      <c r="B216" s="33">
        <v>1</v>
      </c>
      <c r="C216" s="33"/>
      <c r="D216" t="s">
        <v>509</v>
      </c>
      <c r="E216" t="s">
        <v>422</v>
      </c>
      <c r="F216" t="s">
        <v>381</v>
      </c>
      <c r="G216" t="s">
        <v>381</v>
      </c>
      <c r="H216" t="s">
        <v>448</v>
      </c>
      <c r="I216">
        <v>196</v>
      </c>
      <c r="J216" s="21">
        <v>184</v>
      </c>
      <c r="K216">
        <v>322.75</v>
      </c>
      <c r="L216" s="21">
        <v>210</v>
      </c>
      <c r="M216" s="21">
        <f xml:space="preserve"> (L216 - K216)/(K216-J216)</f>
        <v>-0.81261261261261264</v>
      </c>
      <c r="N216" s="21">
        <f>K216/L216</f>
        <v>1.536904761904762</v>
      </c>
      <c r="O216" s="7">
        <v>-2.2700000000000001E-2</v>
      </c>
      <c r="P216" s="7">
        <v>-2.2700000000000001E-2</v>
      </c>
      <c r="Q216" s="33"/>
      <c r="R216" t="s">
        <v>448</v>
      </c>
      <c r="S216" t="s">
        <v>450</v>
      </c>
      <c r="T216" t="s">
        <v>452</v>
      </c>
    </row>
    <row r="217" spans="2:20">
      <c r="B217" s="33">
        <v>1</v>
      </c>
      <c r="C217" s="33"/>
      <c r="D217" t="s">
        <v>204</v>
      </c>
      <c r="E217" t="s">
        <v>64</v>
      </c>
      <c r="F217" t="s">
        <v>381</v>
      </c>
      <c r="G217" t="s">
        <v>381</v>
      </c>
      <c r="H217" t="s">
        <v>448</v>
      </c>
      <c r="I217">
        <v>44.52</v>
      </c>
      <c r="J217" s="21">
        <v>41</v>
      </c>
      <c r="K217">
        <v>110.69</v>
      </c>
      <c r="L217" s="21">
        <v>49</v>
      </c>
      <c r="M217" s="21">
        <f xml:space="preserve"> (L217 - K217)/(K217-J217)</f>
        <v>-0.88520591189553732</v>
      </c>
      <c r="N217" s="21">
        <f>K217/L217</f>
        <v>2.2589795918367348</v>
      </c>
      <c r="O217" s="7">
        <v>1.7600000000000001E-2</v>
      </c>
      <c r="P217" s="7">
        <v>1.7600000000000001E-2</v>
      </c>
      <c r="Q217" s="33" t="s">
        <v>64</v>
      </c>
      <c r="R217" t="s">
        <v>448</v>
      </c>
      <c r="S217" t="s">
        <v>448</v>
      </c>
      <c r="T217" t="s">
        <v>452</v>
      </c>
    </row>
    <row r="218" spans="2:20">
      <c r="B218" s="33">
        <v>1</v>
      </c>
      <c r="C218" s="33"/>
      <c r="D218" t="s">
        <v>375</v>
      </c>
      <c r="E218" t="s">
        <v>403</v>
      </c>
      <c r="F218" t="s">
        <v>381</v>
      </c>
      <c r="G218" t="s">
        <v>381</v>
      </c>
      <c r="H218" t="s">
        <v>449</v>
      </c>
      <c r="J218" s="21">
        <v>115</v>
      </c>
      <c r="K218">
        <v>96.75</v>
      </c>
      <c r="L218" s="21">
        <v>125</v>
      </c>
      <c r="M218" s="21">
        <f xml:space="preserve"> (L218 - K218)/(K218-J218)</f>
        <v>-1.547945205479452</v>
      </c>
      <c r="N218" s="21">
        <f>K218/L218</f>
        <v>0.77400000000000002</v>
      </c>
      <c r="O218" s="7">
        <v>3.7900000000000003E-2</v>
      </c>
      <c r="P218" s="7">
        <v>3.7900000000000003E-2</v>
      </c>
      <c r="Q218" s="33"/>
      <c r="R218" t="s">
        <v>449</v>
      </c>
      <c r="S218" t="s">
        <v>449</v>
      </c>
      <c r="T218" t="s">
        <v>450</v>
      </c>
    </row>
    <row r="219" spans="2:20">
      <c r="B219" s="33">
        <v>1</v>
      </c>
      <c r="C219" s="33"/>
      <c r="D219" t="s">
        <v>182</v>
      </c>
      <c r="E219" t="s">
        <v>64</v>
      </c>
      <c r="F219" t="s">
        <v>381</v>
      </c>
      <c r="G219" t="s">
        <v>381</v>
      </c>
      <c r="H219" t="s">
        <v>448</v>
      </c>
      <c r="I219">
        <v>98</v>
      </c>
      <c r="J219" s="21">
        <v>95</v>
      </c>
      <c r="K219">
        <v>236.06</v>
      </c>
      <c r="L219" s="21">
        <v>105</v>
      </c>
      <c r="M219" s="21">
        <f xml:space="preserve"> (L219 - K219)/(K219-J219)</f>
        <v>-0.92910818091592229</v>
      </c>
      <c r="N219" s="21">
        <f>K219/L219</f>
        <v>2.2481904761904761</v>
      </c>
      <c r="O219" s="7">
        <v>8.8999999999999999E-3</v>
      </c>
      <c r="P219" s="7">
        <v>8.8999999999999999E-3</v>
      </c>
      <c r="Q219" s="33" t="s">
        <v>208</v>
      </c>
      <c r="R219" t="s">
        <v>448</v>
      </c>
      <c r="S219" t="s">
        <v>448</v>
      </c>
      <c r="T219" t="s">
        <v>452</v>
      </c>
    </row>
    <row r="220" spans="2:20">
      <c r="B220" s="33">
        <v>1</v>
      </c>
      <c r="C220" s="33"/>
      <c r="D220" t="s">
        <v>428</v>
      </c>
      <c r="E220" t="s">
        <v>388</v>
      </c>
      <c r="F220" t="s">
        <v>384</v>
      </c>
      <c r="G220" t="s">
        <v>384</v>
      </c>
      <c r="H220" t="s">
        <v>448</v>
      </c>
      <c r="J220" s="21">
        <v>40</v>
      </c>
      <c r="K220">
        <v>64.69</v>
      </c>
      <c r="L220" s="21">
        <v>45</v>
      </c>
      <c r="M220" s="21">
        <f xml:space="preserve"> (L220 - K220)/(K220-J220)</f>
        <v>-0.79748886188740375</v>
      </c>
      <c r="N220" s="21">
        <f>K220/L220</f>
        <v>1.4375555555555555</v>
      </c>
      <c r="O220" s="7">
        <v>2.6599999999999999E-2</v>
      </c>
      <c r="P220" s="7">
        <v>2.6599999999999999E-2</v>
      </c>
      <c r="Q220" s="33" t="s">
        <v>176</v>
      </c>
      <c r="R220" t="s">
        <v>448</v>
      </c>
      <c r="S220" t="s">
        <v>448</v>
      </c>
      <c r="T220" t="s">
        <v>450</v>
      </c>
    </row>
    <row r="221" spans="2:20">
      <c r="B221" s="33">
        <v>1</v>
      </c>
      <c r="C221" s="33"/>
      <c r="D221" t="s">
        <v>477</v>
      </c>
      <c r="E221" t="s">
        <v>486</v>
      </c>
      <c r="F221" t="s">
        <v>380</v>
      </c>
      <c r="G221" t="s">
        <v>380</v>
      </c>
      <c r="H221" t="s">
        <v>448</v>
      </c>
      <c r="I221" s="17"/>
      <c r="J221" s="24">
        <v>87</v>
      </c>
      <c r="K221">
        <v>128.13</v>
      </c>
      <c r="L221" s="21">
        <v>98</v>
      </c>
      <c r="M221" s="21">
        <f xml:space="preserve"> (L221 - K221)/(K221-J221)</f>
        <v>-0.73255531242402139</v>
      </c>
      <c r="N221" s="21">
        <f>K221/L221</f>
        <v>1.3074489795918367</v>
      </c>
      <c r="O221" s="7">
        <v>2.5700000000000001E-2</v>
      </c>
      <c r="P221" s="7">
        <v>2.5700000000000001E-2</v>
      </c>
      <c r="Q221" s="33"/>
      <c r="R221" t="s">
        <v>448</v>
      </c>
      <c r="S221" t="s">
        <v>449</v>
      </c>
      <c r="T221" t="s">
        <v>450</v>
      </c>
    </row>
    <row r="222" spans="2:20">
      <c r="B222" s="33">
        <v>1</v>
      </c>
      <c r="C222" s="33"/>
      <c r="D222" t="s">
        <v>115</v>
      </c>
      <c r="E222" t="s">
        <v>199</v>
      </c>
      <c r="F222" t="s">
        <v>381</v>
      </c>
      <c r="G222" t="s">
        <v>384</v>
      </c>
      <c r="H222" t="s">
        <v>449</v>
      </c>
      <c r="I222">
        <v>18.5</v>
      </c>
      <c r="J222" s="21">
        <v>18</v>
      </c>
      <c r="K222">
        <v>41.27</v>
      </c>
      <c r="L222" s="21">
        <v>20</v>
      </c>
      <c r="M222" s="21">
        <f xml:space="preserve"> (L222 - K222)/(K222-J222)</f>
        <v>-0.91405242801890851</v>
      </c>
      <c r="N222" s="21"/>
      <c r="O222" s="7">
        <v>2.86E-2</v>
      </c>
      <c r="P222" s="7">
        <v>2.86E-2</v>
      </c>
      <c r="Q222" s="34" t="s">
        <v>147</v>
      </c>
      <c r="R222" t="s">
        <v>450</v>
      </c>
      <c r="S222" t="s">
        <v>449</v>
      </c>
      <c r="T222" t="s">
        <v>452</v>
      </c>
    </row>
    <row r="223" spans="2:20">
      <c r="B223" s="33">
        <v>1</v>
      </c>
      <c r="C223" s="33"/>
      <c r="D223" t="s">
        <v>148</v>
      </c>
      <c r="E223" t="s">
        <v>379</v>
      </c>
      <c r="F223" t="s">
        <v>384</v>
      </c>
      <c r="G223" t="s">
        <v>380</v>
      </c>
      <c r="H223" t="s">
        <v>449</v>
      </c>
      <c r="J223" s="21">
        <v>8.6999999999999993</v>
      </c>
      <c r="K223">
        <v>13.57</v>
      </c>
      <c r="L223" s="21">
        <v>11</v>
      </c>
      <c r="M223" s="21">
        <f xml:space="preserve"> (L223 - K223)/(K223-J223)</f>
        <v>-0.52772073921971252</v>
      </c>
      <c r="N223" s="21">
        <f>K223/L223</f>
        <v>1.2336363636363636</v>
      </c>
      <c r="O223" s="7">
        <v>3.4000000000000002E-2</v>
      </c>
      <c r="P223" s="7">
        <v>3.4000000000000002E-2</v>
      </c>
      <c r="Q223" s="33" t="s">
        <v>144</v>
      </c>
      <c r="R223" t="s">
        <v>449</v>
      </c>
      <c r="S223" t="s">
        <v>449</v>
      </c>
      <c r="T223" t="s">
        <v>452</v>
      </c>
    </row>
    <row r="224" spans="2:20">
      <c r="B224" s="33">
        <v>1</v>
      </c>
      <c r="C224" s="33"/>
      <c r="D224" t="s">
        <v>251</v>
      </c>
      <c r="E224" t="s">
        <v>394</v>
      </c>
      <c r="F224" t="s">
        <v>384</v>
      </c>
      <c r="G224" t="s">
        <v>384</v>
      </c>
      <c r="H224" t="s">
        <v>448</v>
      </c>
      <c r="J224" s="21">
        <v>350</v>
      </c>
      <c r="K224">
        <v>886.09</v>
      </c>
      <c r="L224" s="21">
        <v>400</v>
      </c>
      <c r="M224" s="21">
        <f xml:space="preserve"> (L224 - K224)/(K224-J224)</f>
        <v>-0.90673207856889704</v>
      </c>
      <c r="N224" s="21">
        <f>K224/L224</f>
        <v>2.2152250000000002</v>
      </c>
      <c r="O224" s="7">
        <v>2.0500000000000001E-2</v>
      </c>
      <c r="P224" s="7">
        <v>2.0500000000000001E-2</v>
      </c>
      <c r="Q224" s="33" t="s">
        <v>111</v>
      </c>
      <c r="R224" t="s">
        <v>448</v>
      </c>
      <c r="S224" t="s">
        <v>450</v>
      </c>
      <c r="T224" t="s">
        <v>452</v>
      </c>
    </row>
    <row r="225" spans="2:20">
      <c r="B225" s="33">
        <v>1</v>
      </c>
      <c r="C225" s="33"/>
      <c r="D225" t="s">
        <v>224</v>
      </c>
      <c r="E225" t="s">
        <v>199</v>
      </c>
      <c r="F225" t="s">
        <v>380</v>
      </c>
      <c r="G225" t="s">
        <v>380</v>
      </c>
      <c r="H225" t="s">
        <v>449</v>
      </c>
      <c r="I225" s="17"/>
      <c r="J225" s="24">
        <v>265</v>
      </c>
      <c r="K225">
        <v>347.57</v>
      </c>
      <c r="L225" s="21">
        <v>300</v>
      </c>
      <c r="M225" s="21">
        <f xml:space="preserve"> (L225 - K225)/(K225-J225)</f>
        <v>-0.5761172338621775</v>
      </c>
      <c r="N225" s="21">
        <f>K225/L225</f>
        <v>1.1585666666666667</v>
      </c>
      <c r="O225" s="7">
        <v>1.52E-2</v>
      </c>
      <c r="P225" s="7">
        <v>1.52E-2</v>
      </c>
      <c r="Q225" s="33" t="s">
        <v>199</v>
      </c>
      <c r="R225" t="s">
        <v>448</v>
      </c>
      <c r="S225" t="s">
        <v>448</v>
      </c>
      <c r="T225" t="s">
        <v>450</v>
      </c>
    </row>
    <row r="226" spans="2:20">
      <c r="B226" s="33">
        <v>1</v>
      </c>
      <c r="C226" s="33"/>
      <c r="D226" t="s">
        <v>374</v>
      </c>
      <c r="E226" t="s">
        <v>378</v>
      </c>
      <c r="F226" t="s">
        <v>385</v>
      </c>
      <c r="G226" t="s">
        <v>385</v>
      </c>
      <c r="H226" t="s">
        <v>448</v>
      </c>
      <c r="J226" s="21">
        <v>43</v>
      </c>
      <c r="K226">
        <v>27.45</v>
      </c>
      <c r="L226" s="21">
        <v>60</v>
      </c>
      <c r="M226" s="21">
        <f xml:space="preserve"> (L226 - K226)/(K226-J226)</f>
        <v>-2.093247588424437</v>
      </c>
      <c r="N226" s="21">
        <f>K226/L226</f>
        <v>0.45749999999999996</v>
      </c>
      <c r="O226" s="7">
        <v>1.4500000000000001E-2</v>
      </c>
      <c r="P226" s="7">
        <v>1.4500000000000001E-2</v>
      </c>
      <c r="Q226" s="33"/>
      <c r="R226" t="s">
        <v>450</v>
      </c>
      <c r="S226" t="s">
        <v>448</v>
      </c>
      <c r="T226" t="s">
        <v>452</v>
      </c>
    </row>
    <row r="227" spans="2:20">
      <c r="B227" s="33">
        <v>1</v>
      </c>
      <c r="C227" s="33"/>
      <c r="D227" t="s">
        <v>284</v>
      </c>
      <c r="E227" t="s">
        <v>406</v>
      </c>
      <c r="F227" t="s">
        <v>383</v>
      </c>
      <c r="G227" t="s">
        <v>383</v>
      </c>
      <c r="H227" t="s">
        <v>448</v>
      </c>
      <c r="J227" s="21">
        <v>80</v>
      </c>
      <c r="K227">
        <v>27.78</v>
      </c>
      <c r="L227" s="21">
        <v>120</v>
      </c>
      <c r="M227" s="21">
        <f xml:space="preserve"> (L227 - K227)/(K227-J227)</f>
        <v>-1.7659900421294523</v>
      </c>
      <c r="N227" s="21">
        <f>K227/L227</f>
        <v>0.23150000000000001</v>
      </c>
      <c r="O227" s="7">
        <v>3.2500000000000001E-2</v>
      </c>
      <c r="P227" s="7">
        <v>3.2500000000000001E-2</v>
      </c>
      <c r="Q227" s="33" t="s">
        <v>285</v>
      </c>
      <c r="R227" t="s">
        <v>450</v>
      </c>
      <c r="S227" t="s">
        <v>449</v>
      </c>
      <c r="T227" t="s">
        <v>452</v>
      </c>
    </row>
    <row r="228" spans="2:20">
      <c r="B228" s="33">
        <v>1</v>
      </c>
      <c r="C228" s="33"/>
      <c r="D228" t="s">
        <v>595</v>
      </c>
      <c r="E228" t="s">
        <v>390</v>
      </c>
      <c r="F228" t="s">
        <v>383</v>
      </c>
      <c r="G228" t="s">
        <v>381</v>
      </c>
      <c r="H228" t="s">
        <v>448</v>
      </c>
      <c r="I228" s="17">
        <v>250</v>
      </c>
      <c r="J228" s="24">
        <v>240</v>
      </c>
      <c r="K228">
        <v>290.68</v>
      </c>
      <c r="L228" s="21">
        <v>280</v>
      </c>
      <c r="M228" s="21">
        <f xml:space="preserve"> (L228 - K228)/(K228-J228)</f>
        <v>-0.21073401736385172</v>
      </c>
      <c r="N228" s="21">
        <f>K228/L228</f>
        <v>1.0381428571428573</v>
      </c>
      <c r="O228" s="7">
        <v>-3.5999999999999997E-2</v>
      </c>
      <c r="P228" s="7">
        <v>-3.5999999999999997E-2</v>
      </c>
      <c r="Q228" s="62"/>
      <c r="R228" t="s">
        <v>448</v>
      </c>
      <c r="S228" t="s">
        <v>448</v>
      </c>
      <c r="T228" t="s">
        <v>450</v>
      </c>
    </row>
    <row r="229" spans="2:20">
      <c r="B229" s="33">
        <v>1</v>
      </c>
      <c r="C229" s="33"/>
      <c r="D229" t="s">
        <v>560</v>
      </c>
      <c r="E229" t="s">
        <v>580</v>
      </c>
      <c r="F229" t="s">
        <v>380</v>
      </c>
      <c r="G229" t="s">
        <v>380</v>
      </c>
      <c r="H229" t="s">
        <v>448</v>
      </c>
      <c r="I229" s="17"/>
      <c r="J229" s="24">
        <v>23</v>
      </c>
      <c r="K229">
        <v>23.16</v>
      </c>
      <c r="L229" s="21">
        <v>26</v>
      </c>
      <c r="M229" s="21">
        <f xml:space="preserve"> (L229 - K229)/(K229-J229)</f>
        <v>17.749999999999982</v>
      </c>
      <c r="N229" s="21">
        <f>K229/L229</f>
        <v>0.89076923076923076</v>
      </c>
      <c r="O229" s="7">
        <v>2.1399999999999999E-2</v>
      </c>
      <c r="P229" s="7">
        <v>2.1399999999999999E-2</v>
      </c>
      <c r="Q229" s="34" t="s">
        <v>561</v>
      </c>
      <c r="R229" t="s">
        <v>449</v>
      </c>
      <c r="S229" t="s">
        <v>450</v>
      </c>
      <c r="T229" t="s">
        <v>450</v>
      </c>
    </row>
    <row r="230" spans="2:20">
      <c r="B230" s="33">
        <v>1</v>
      </c>
      <c r="C230" s="33"/>
      <c r="D230" t="s">
        <v>715</v>
      </c>
      <c r="E230" t="s">
        <v>716</v>
      </c>
      <c r="F230" t="s">
        <v>384</v>
      </c>
      <c r="G230" t="s">
        <v>384</v>
      </c>
      <c r="H230" t="s">
        <v>449</v>
      </c>
      <c r="J230" s="21">
        <v>20</v>
      </c>
      <c r="K230">
        <v>36.46</v>
      </c>
      <c r="L230" s="21">
        <v>35</v>
      </c>
      <c r="M230" s="21">
        <f xml:space="preserve"> (L230 - K230)/(K230-J230)</f>
        <v>-8.8699878493317175E-2</v>
      </c>
      <c r="N230" s="21">
        <f>K230/L230</f>
        <v>1.0417142857142858</v>
      </c>
      <c r="O230" s="7">
        <v>3.8999999999999998E-3</v>
      </c>
      <c r="P230" s="7">
        <v>3.8999999999999998E-3</v>
      </c>
      <c r="Q230" s="33"/>
      <c r="R230" t="s">
        <v>448</v>
      </c>
      <c r="S230" t="s">
        <v>448</v>
      </c>
      <c r="T230" t="s">
        <v>450</v>
      </c>
    </row>
    <row r="231" spans="2:20">
      <c r="B231" s="33">
        <v>1</v>
      </c>
      <c r="C231" s="33"/>
      <c r="D231" t="s">
        <v>575</v>
      </c>
      <c r="E231" t="s">
        <v>580</v>
      </c>
      <c r="F231" t="s">
        <v>380</v>
      </c>
      <c r="G231" t="s">
        <v>380</v>
      </c>
      <c r="H231" t="s">
        <v>448</v>
      </c>
      <c r="J231" s="21">
        <v>85</v>
      </c>
      <c r="K231">
        <v>66.569999999999993</v>
      </c>
      <c r="L231" s="21">
        <v>120</v>
      </c>
      <c r="M231" s="21">
        <f xml:space="preserve"> (L231 - K231)/(K231-J231)</f>
        <v>-2.8990775908844268</v>
      </c>
      <c r="N231" s="21">
        <f>I231/L231</f>
        <v>0</v>
      </c>
      <c r="O231" s="7">
        <v>8.9999999999999998E-4</v>
      </c>
      <c r="P231" s="7">
        <v>8.9999999999999998E-4</v>
      </c>
      <c r="Q231" s="33"/>
      <c r="R231" t="s">
        <v>449</v>
      </c>
      <c r="S231" t="s">
        <v>450</v>
      </c>
      <c r="T231" t="s">
        <v>450</v>
      </c>
    </row>
    <row r="232" spans="2:20">
      <c r="B232" s="33">
        <v>1</v>
      </c>
      <c r="C232" s="33"/>
      <c r="D232" t="s">
        <v>95</v>
      </c>
      <c r="E232" t="s">
        <v>415</v>
      </c>
      <c r="F232" t="s">
        <v>386</v>
      </c>
      <c r="G232" t="s">
        <v>386</v>
      </c>
      <c r="H232" t="s">
        <v>448</v>
      </c>
      <c r="J232" s="21">
        <v>750</v>
      </c>
      <c r="K232">
        <v>1041.94</v>
      </c>
      <c r="L232" s="21">
        <v>850</v>
      </c>
      <c r="M232" s="21">
        <f xml:space="preserve"> (L232 - K232)/(K232-J232)</f>
        <v>-0.65746386243748722</v>
      </c>
      <c r="N232" s="21">
        <f>K232/L232</f>
        <v>1.2258117647058824</v>
      </c>
      <c r="O232" s="7">
        <v>1.3299999999999999E-2</v>
      </c>
      <c r="P232" s="7">
        <v>1.3299999999999999E-2</v>
      </c>
      <c r="Q232" s="33" t="s">
        <v>208</v>
      </c>
      <c r="R232" t="s">
        <v>448</v>
      </c>
      <c r="S232" t="s">
        <v>448</v>
      </c>
      <c r="T232" t="s">
        <v>450</v>
      </c>
    </row>
    <row r="233" spans="2:20">
      <c r="B233" s="33">
        <v>1</v>
      </c>
      <c r="C233" s="33"/>
      <c r="D233" t="s">
        <v>720</v>
      </c>
      <c r="E233" t="s">
        <v>721</v>
      </c>
      <c r="F233" t="s">
        <v>382</v>
      </c>
      <c r="G233" t="s">
        <v>382</v>
      </c>
      <c r="H233" t="s">
        <v>449</v>
      </c>
      <c r="I233" s="16"/>
      <c r="J233" s="21"/>
      <c r="K233">
        <v>54.34</v>
      </c>
      <c r="L233" s="21"/>
      <c r="M233" s="21"/>
      <c r="N233" s="21" t="e">
        <f>K233/L233</f>
        <v>#DIV/0!</v>
      </c>
      <c r="O233" s="7">
        <v>-7.4000000000000003E-3</v>
      </c>
      <c r="P233" s="7">
        <v>-7.4000000000000003E-3</v>
      </c>
      <c r="Q233" s="33"/>
      <c r="R233" t="s">
        <v>449</v>
      </c>
      <c r="S233" t="s">
        <v>449</v>
      </c>
      <c r="T233" t="s">
        <v>450</v>
      </c>
    </row>
    <row r="234" spans="2:20">
      <c r="B234" s="33">
        <v>1</v>
      </c>
      <c r="C234" s="33"/>
      <c r="D234" t="s">
        <v>42</v>
      </c>
      <c r="E234" t="s">
        <v>423</v>
      </c>
      <c r="F234" t="s">
        <v>382</v>
      </c>
      <c r="G234" t="s">
        <v>382</v>
      </c>
      <c r="H234" t="s">
        <v>448</v>
      </c>
      <c r="J234" s="21">
        <v>63.6</v>
      </c>
      <c r="K234">
        <v>69.430000000000007</v>
      </c>
      <c r="L234" s="21">
        <v>68.19</v>
      </c>
      <c r="M234" s="21">
        <f xml:space="preserve"> (L234 - K234)/(K234-J234)</f>
        <v>-0.21269296740994992</v>
      </c>
      <c r="N234" s="21">
        <f>K234/L234</f>
        <v>1.0181844845285233</v>
      </c>
      <c r="O234" s="7">
        <v>8.2000000000000007E-3</v>
      </c>
      <c r="P234" s="7">
        <v>8.2000000000000007E-3</v>
      </c>
      <c r="Q234" s="34" t="s">
        <v>298</v>
      </c>
      <c r="R234" t="s">
        <v>448</v>
      </c>
      <c r="S234" t="s">
        <v>448</v>
      </c>
      <c r="T234" t="s">
        <v>452</v>
      </c>
    </row>
    <row r="235" spans="2:20">
      <c r="B235" s="33">
        <v>1</v>
      </c>
      <c r="C235" s="33"/>
      <c r="D235" t="s">
        <v>673</v>
      </c>
      <c r="E235" t="s">
        <v>424</v>
      </c>
      <c r="F235" t="s">
        <v>385</v>
      </c>
      <c r="G235"/>
      <c r="H235" t="s">
        <v>449</v>
      </c>
      <c r="I235" s="17"/>
      <c r="J235" s="24">
        <v>49</v>
      </c>
      <c r="K235">
        <v>76.489999999999995</v>
      </c>
      <c r="L235" s="21">
        <v>52.5</v>
      </c>
      <c r="M235" s="21">
        <f xml:space="preserve"> (L235 - K235)/(K235-J235)</f>
        <v>-0.87268097489996355</v>
      </c>
      <c r="N235" s="21">
        <f>K235/L235</f>
        <v>1.4569523809523808</v>
      </c>
      <c r="O235" s="7">
        <v>2.7799999999999998E-2</v>
      </c>
      <c r="P235" s="7">
        <v>2.7799999999999998E-2</v>
      </c>
      <c r="Q235" s="34"/>
      <c r="R235" t="s">
        <v>449</v>
      </c>
      <c r="S235" t="s">
        <v>449</v>
      </c>
      <c r="T235" t="s">
        <v>450</v>
      </c>
    </row>
    <row r="236" spans="2:20">
      <c r="B236" s="33">
        <v>1</v>
      </c>
      <c r="C236" s="33"/>
      <c r="D236" t="s">
        <v>32</v>
      </c>
      <c r="E236" t="s">
        <v>418</v>
      </c>
      <c r="F236" t="s">
        <v>381</v>
      </c>
      <c r="G236" t="s">
        <v>381</v>
      </c>
      <c r="H236" t="s">
        <v>448</v>
      </c>
      <c r="J236" s="21">
        <v>39.06</v>
      </c>
      <c r="K236">
        <v>60.11</v>
      </c>
      <c r="L236" s="21">
        <v>45</v>
      </c>
      <c r="M236" s="21">
        <f xml:space="preserve"> (L236 - K236)/(K236-J236)</f>
        <v>-0.71781472684085512</v>
      </c>
      <c r="N236" s="21">
        <f>K236/L236</f>
        <v>1.3357777777777777</v>
      </c>
      <c r="O236" s="7">
        <v>4.3E-3</v>
      </c>
      <c r="P236" s="7">
        <v>4.3E-3</v>
      </c>
      <c r="Q236" s="33" t="s">
        <v>299</v>
      </c>
      <c r="R236" t="s">
        <v>450</v>
      </c>
      <c r="S236" t="s">
        <v>449</v>
      </c>
      <c r="T236" t="s">
        <v>450</v>
      </c>
    </row>
    <row r="237" spans="2:20">
      <c r="B237" s="33">
        <v>1</v>
      </c>
      <c r="C237" s="33"/>
      <c r="D237" t="s">
        <v>727</v>
      </c>
      <c r="E237" t="s">
        <v>424</v>
      </c>
      <c r="F237" t="s">
        <v>383</v>
      </c>
      <c r="G237" t="s">
        <v>383</v>
      </c>
      <c r="H237" t="s">
        <v>448</v>
      </c>
      <c r="J237" s="21">
        <v>37</v>
      </c>
      <c r="K237">
        <v>55.64</v>
      </c>
      <c r="L237" s="21">
        <v>42</v>
      </c>
      <c r="M237" s="21">
        <f xml:space="preserve"> (L237 - K237)/(K237-J237)</f>
        <v>-0.73175965665236054</v>
      </c>
      <c r="N237" s="21">
        <f>K237/L237</f>
        <v>1.3247619047619048</v>
      </c>
      <c r="O237" s="7">
        <v>4.3E-3</v>
      </c>
      <c r="P237" s="7">
        <v>4.3E-3</v>
      </c>
      <c r="Q237" s="33"/>
      <c r="R237" t="s">
        <v>448</v>
      </c>
      <c r="S237" t="s">
        <v>448</v>
      </c>
      <c r="T237" t="s">
        <v>450</v>
      </c>
    </row>
    <row r="238" spans="2:20">
      <c r="B238" s="33">
        <v>1</v>
      </c>
      <c r="C238" s="33"/>
      <c r="D238" t="s">
        <v>30</v>
      </c>
      <c r="E238" t="s">
        <v>418</v>
      </c>
      <c r="F238" t="s">
        <v>381</v>
      </c>
      <c r="G238"/>
      <c r="H238" t="s">
        <v>449</v>
      </c>
      <c r="J238" s="21">
        <v>357.04</v>
      </c>
      <c r="K238">
        <v>648.47</v>
      </c>
      <c r="L238" s="21">
        <v>410</v>
      </c>
      <c r="M238" s="21">
        <f xml:space="preserve"> (L238 - K238)/(K238-J238)</f>
        <v>-0.81827540061078141</v>
      </c>
      <c r="N238" s="21">
        <f>I238/L238</f>
        <v>0</v>
      </c>
      <c r="O238" s="7">
        <v>5.9999999999999995E-4</v>
      </c>
      <c r="P238" s="7">
        <v>5.9999999999999995E-4</v>
      </c>
      <c r="Q238" s="33"/>
      <c r="R238" t="s">
        <v>450</v>
      </c>
      <c r="S238" t="s">
        <v>450</v>
      </c>
      <c r="T238" t="s">
        <v>450</v>
      </c>
    </row>
    <row r="239" spans="2:20">
      <c r="B239" s="33">
        <v>1</v>
      </c>
      <c r="C239" s="33"/>
      <c r="D239" t="s">
        <v>29</v>
      </c>
      <c r="E239" t="s">
        <v>419</v>
      </c>
      <c r="F239" t="s">
        <v>383</v>
      </c>
      <c r="G239" t="s">
        <v>383</v>
      </c>
      <c r="H239" t="s">
        <v>448</v>
      </c>
      <c r="J239" s="21">
        <v>37.47</v>
      </c>
      <c r="K239">
        <v>62.42</v>
      </c>
      <c r="L239" s="21">
        <v>44</v>
      </c>
      <c r="M239" s="21">
        <f xml:space="preserve"> (L239 - K239)/(K239-J239)</f>
        <v>-0.73827655310621243</v>
      </c>
      <c r="N239" s="21">
        <f>K239/L239</f>
        <v>1.4186363636363637</v>
      </c>
      <c r="O239" s="7">
        <v>7.4999999999999997E-3</v>
      </c>
      <c r="P239" s="7">
        <v>7.4999999999999997E-3</v>
      </c>
      <c r="Q239" s="33" t="s">
        <v>110</v>
      </c>
      <c r="R239" t="s">
        <v>448</v>
      </c>
      <c r="S239" t="s">
        <v>450</v>
      </c>
      <c r="T239" t="s">
        <v>452</v>
      </c>
    </row>
    <row r="240" spans="2:20">
      <c r="B240" s="33">
        <v>1</v>
      </c>
      <c r="C240" s="33"/>
      <c r="D240" t="s">
        <v>27</v>
      </c>
      <c r="E240" t="s">
        <v>419</v>
      </c>
      <c r="F240" t="s">
        <v>383</v>
      </c>
      <c r="G240" t="s">
        <v>383</v>
      </c>
      <c r="H240" t="s">
        <v>448</v>
      </c>
      <c r="J240" s="21">
        <v>125</v>
      </c>
      <c r="K240">
        <v>177.12</v>
      </c>
      <c r="L240" s="21">
        <v>140</v>
      </c>
      <c r="M240" s="24">
        <f xml:space="preserve"> (L240 - K240)/(K240-J240)</f>
        <v>-0.7122026093630085</v>
      </c>
      <c r="N240" s="21">
        <f>K240/L240</f>
        <v>1.2651428571428571</v>
      </c>
      <c r="O240" s="7">
        <v>2.2499999999999999E-2</v>
      </c>
      <c r="P240" s="7">
        <v>2.2499999999999999E-2</v>
      </c>
      <c r="Q240" s="33"/>
      <c r="R240" t="s">
        <v>448</v>
      </c>
      <c r="S240" t="s">
        <v>450</v>
      </c>
      <c r="T240" t="s">
        <v>452</v>
      </c>
    </row>
    <row r="241" spans="2:20">
      <c r="B241" s="33">
        <v>1</v>
      </c>
      <c r="C241" s="33"/>
      <c r="D241" t="s">
        <v>505</v>
      </c>
      <c r="E241" t="s">
        <v>615</v>
      </c>
      <c r="F241" t="s">
        <v>387</v>
      </c>
      <c r="G241" t="s">
        <v>387</v>
      </c>
      <c r="H241" t="s">
        <v>449</v>
      </c>
      <c r="I241" s="17"/>
      <c r="J241" s="24">
        <v>83</v>
      </c>
      <c r="K241">
        <v>85.86</v>
      </c>
      <c r="L241" s="21">
        <v>95</v>
      </c>
      <c r="M241" s="21">
        <f xml:space="preserve"> (L241 - K241)/(K241-J241)</f>
        <v>3.1958041958041967</v>
      </c>
      <c r="N241" s="21"/>
      <c r="O241" s="7">
        <v>5.4999999999999997E-3</v>
      </c>
      <c r="P241" s="7">
        <v>5.4999999999999997E-3</v>
      </c>
      <c r="Q241" s="34"/>
      <c r="R241" t="s">
        <v>448</v>
      </c>
      <c r="S241" t="s">
        <v>448</v>
      </c>
      <c r="T241" t="s">
        <v>452</v>
      </c>
    </row>
    <row r="242" spans="2:20">
      <c r="B242" s="33">
        <v>1</v>
      </c>
      <c r="C242" s="33"/>
      <c r="D242" t="s">
        <v>53</v>
      </c>
      <c r="E242" t="s">
        <v>419</v>
      </c>
      <c r="F242" t="s">
        <v>383</v>
      </c>
      <c r="G242" t="s">
        <v>383</v>
      </c>
      <c r="H242" t="s">
        <v>448</v>
      </c>
      <c r="I242" s="17"/>
      <c r="J242" s="24">
        <v>82</v>
      </c>
      <c r="K242">
        <v>113.37</v>
      </c>
      <c r="L242" s="21">
        <v>100</v>
      </c>
      <c r="M242" s="21">
        <f xml:space="preserve"> (L242 - K242)/(K242-J242)</f>
        <v>-0.4262033790245458</v>
      </c>
      <c r="N242" s="21">
        <f>K242/L242</f>
        <v>1.1337000000000002</v>
      </c>
      <c r="O242" s="7">
        <v>2.7900000000000001E-2</v>
      </c>
      <c r="P242" s="7">
        <v>2.7900000000000001E-2</v>
      </c>
      <c r="Q242" s="34"/>
      <c r="R242" t="s">
        <v>448</v>
      </c>
      <c r="S242" t="s">
        <v>448</v>
      </c>
      <c r="T242" t="s">
        <v>450</v>
      </c>
    </row>
    <row r="243" spans="2:20">
      <c r="B243" s="33">
        <v>1</v>
      </c>
      <c r="C243" s="33"/>
      <c r="D243" t="s">
        <v>222</v>
      </c>
      <c r="E243" t="s">
        <v>579</v>
      </c>
      <c r="F243" t="s">
        <v>380</v>
      </c>
      <c r="G243" t="s">
        <v>380</v>
      </c>
      <c r="H243" t="s">
        <v>448</v>
      </c>
      <c r="J243" s="21">
        <v>68.56</v>
      </c>
      <c r="K243">
        <v>97.07</v>
      </c>
      <c r="L243" s="21">
        <v>75.239999999999995</v>
      </c>
      <c r="M243" s="21">
        <f xml:space="preserve"> (L243 - K243)/(K243-J243)</f>
        <v>-0.76569624693090166</v>
      </c>
      <c r="N243" s="21">
        <f>K243/L243</f>
        <v>1.2901382243487507</v>
      </c>
      <c r="O243" s="7">
        <v>2.2100000000000002E-2</v>
      </c>
      <c r="P243" s="7">
        <v>2.2100000000000002E-2</v>
      </c>
      <c r="Q243" s="33" t="s">
        <v>104</v>
      </c>
      <c r="R243" t="s">
        <v>448</v>
      </c>
      <c r="S243" t="s">
        <v>450</v>
      </c>
      <c r="T243" t="s">
        <v>452</v>
      </c>
    </row>
    <row r="244" spans="2:20">
      <c r="B244" s="33">
        <v>1</v>
      </c>
      <c r="C244" s="32">
        <v>14</v>
      </c>
      <c r="D244" t="s">
        <v>60</v>
      </c>
      <c r="E244" t="s">
        <v>388</v>
      </c>
      <c r="F244" t="s">
        <v>380</v>
      </c>
      <c r="G244" t="s">
        <v>385</v>
      </c>
      <c r="H244" t="s">
        <v>448</v>
      </c>
      <c r="J244" s="21">
        <v>30.51</v>
      </c>
      <c r="K244">
        <v>72.41</v>
      </c>
      <c r="L244" s="21">
        <v>34</v>
      </c>
      <c r="M244" s="21">
        <f xml:space="preserve"> (L244 - K244)/(K244-J244)</f>
        <v>-0.91670644391408129</v>
      </c>
      <c r="N244" s="21">
        <f>K244/L244</f>
        <v>2.1297058823529409</v>
      </c>
      <c r="O244" s="7">
        <v>1.6199999999999999E-2</v>
      </c>
      <c r="P244" s="7">
        <v>1.6199999999999999E-2</v>
      </c>
      <c r="Q244" s="33" t="s">
        <v>362</v>
      </c>
      <c r="R244" t="s">
        <v>448</v>
      </c>
      <c r="S244" t="s">
        <v>448</v>
      </c>
      <c r="T244" t="s">
        <v>450</v>
      </c>
    </row>
    <row r="245" spans="2:20">
      <c r="B245" s="33">
        <v>1</v>
      </c>
      <c r="C245" s="33"/>
      <c r="D245" t="s">
        <v>630</v>
      </c>
      <c r="E245" t="s">
        <v>606</v>
      </c>
      <c r="F245"/>
      <c r="G245"/>
      <c r="H245" t="s">
        <v>928</v>
      </c>
      <c r="J245" s="21"/>
      <c r="K245">
        <v>41.73</v>
      </c>
      <c r="L245" s="21"/>
      <c r="M245" s="21"/>
      <c r="N245" s="21" t="e">
        <f>K245/L245</f>
        <v>#DIV/0!</v>
      </c>
      <c r="O245" s="53">
        <v>0</v>
      </c>
      <c r="P245" s="53">
        <v>0</v>
      </c>
      <c r="Q245" s="33"/>
      <c r="R245" t="s">
        <v>928</v>
      </c>
      <c r="S245" t="s">
        <v>928</v>
      </c>
      <c r="T245" t="s">
        <v>928</v>
      </c>
    </row>
    <row r="246" spans="2:20">
      <c r="B246" s="33">
        <v>1</v>
      </c>
      <c r="C246" s="33"/>
      <c r="D246" t="s">
        <v>365</v>
      </c>
      <c r="E246" t="s">
        <v>422</v>
      </c>
      <c r="F246" t="s">
        <v>383</v>
      </c>
      <c r="G246" t="s">
        <v>383</v>
      </c>
      <c r="H246" t="s">
        <v>448</v>
      </c>
      <c r="J246" s="21">
        <v>165</v>
      </c>
      <c r="K246">
        <v>197.99</v>
      </c>
      <c r="L246" s="21">
        <v>180</v>
      </c>
      <c r="M246" s="21">
        <f xml:space="preserve"> (L246 - K246)/(K246-J246)</f>
        <v>-0.54531676265535023</v>
      </c>
      <c r="N246" s="21">
        <f>K246/L246</f>
        <v>1.0999444444444444</v>
      </c>
      <c r="O246" s="7">
        <v>-2.0899999999999998E-2</v>
      </c>
      <c r="P246" s="7">
        <v>-2.0899999999999998E-2</v>
      </c>
      <c r="Q246" s="33"/>
      <c r="R246" t="s">
        <v>448</v>
      </c>
      <c r="S246" t="s">
        <v>448</v>
      </c>
      <c r="T246" t="s">
        <v>452</v>
      </c>
    </row>
    <row r="247" spans="2:20">
      <c r="B247" s="33">
        <v>1</v>
      </c>
      <c r="C247" s="33"/>
      <c r="D247" t="s">
        <v>632</v>
      </c>
      <c r="E247" t="s">
        <v>581</v>
      </c>
      <c r="F247" t="s">
        <v>386</v>
      </c>
      <c r="G247" t="s">
        <v>386</v>
      </c>
      <c r="H247" t="s">
        <v>449</v>
      </c>
      <c r="J247" s="21">
        <v>70</v>
      </c>
      <c r="K247">
        <v>52.78</v>
      </c>
      <c r="L247" s="21">
        <v>100</v>
      </c>
      <c r="M247" s="21">
        <f xml:space="preserve"> (L247 - K247)/(K247-J247)</f>
        <v>-2.7421602787456445</v>
      </c>
      <c r="N247" s="21">
        <f>K247/L247</f>
        <v>0.52780000000000005</v>
      </c>
      <c r="O247" s="7">
        <v>-1.0999999999999999E-2</v>
      </c>
      <c r="P247" s="7">
        <v>-1.0999999999999999E-2</v>
      </c>
      <c r="Q247" s="33"/>
      <c r="R247" t="s">
        <v>449</v>
      </c>
      <c r="S247" t="s">
        <v>449</v>
      </c>
      <c r="T247" t="s">
        <v>450</v>
      </c>
    </row>
    <row r="248" spans="2:20">
      <c r="B248" s="33">
        <v>1</v>
      </c>
      <c r="C248" s="33"/>
      <c r="D248" t="s">
        <v>688</v>
      </c>
      <c r="E248" t="s">
        <v>412</v>
      </c>
      <c r="F248" t="s">
        <v>380</v>
      </c>
      <c r="G248" t="s">
        <v>380</v>
      </c>
      <c r="H248" t="s">
        <v>449</v>
      </c>
      <c r="J248" s="21">
        <v>72</v>
      </c>
      <c r="K248">
        <v>82.49</v>
      </c>
      <c r="L248" s="21">
        <v>85</v>
      </c>
      <c r="M248" s="21">
        <f xml:space="preserve"> (L248 - K248)/(K248-J248)</f>
        <v>0.23927550047664503</v>
      </c>
      <c r="N248" s="21">
        <f>K248/L248</f>
        <v>0.97047058823529408</v>
      </c>
      <c r="O248" s="7">
        <v>-7.4999999999999997E-3</v>
      </c>
      <c r="P248" s="7">
        <v>-7.4999999999999997E-3</v>
      </c>
      <c r="Q248" s="33"/>
      <c r="R248" t="s">
        <v>449</v>
      </c>
      <c r="S248" t="s">
        <v>449</v>
      </c>
      <c r="T248" t="s">
        <v>600</v>
      </c>
    </row>
    <row r="249" spans="2:20">
      <c r="B249" s="33">
        <v>1</v>
      </c>
      <c r="C249" s="33"/>
      <c r="D249" t="s">
        <v>706</v>
      </c>
      <c r="E249" t="s">
        <v>433</v>
      </c>
      <c r="F249" t="s">
        <v>384</v>
      </c>
      <c r="G249" t="s">
        <v>384</v>
      </c>
      <c r="H249" t="s">
        <v>448</v>
      </c>
      <c r="J249" s="21">
        <v>100</v>
      </c>
      <c r="K249">
        <v>141.11000000000001</v>
      </c>
      <c r="L249" s="21">
        <v>110</v>
      </c>
      <c r="M249" s="21">
        <f xml:space="preserve"> (L249 - K249)/(K249-J249)</f>
        <v>-0.75675018243736325</v>
      </c>
      <c r="N249" s="21">
        <f>K249/L249</f>
        <v>1.2828181818181819</v>
      </c>
      <c r="O249" s="7">
        <v>-1.1599999999999999E-2</v>
      </c>
      <c r="P249" s="7">
        <v>-1.1599999999999999E-2</v>
      </c>
      <c r="Q249" s="33"/>
      <c r="R249" t="s">
        <v>448</v>
      </c>
      <c r="S249" t="s">
        <v>449</v>
      </c>
      <c r="T249" t="s">
        <v>452</v>
      </c>
    </row>
    <row r="250" spans="2:20">
      <c r="B250" s="33">
        <v>1</v>
      </c>
      <c r="C250" s="33"/>
      <c r="D250" t="s">
        <v>717</v>
      </c>
      <c r="E250" t="s">
        <v>403</v>
      </c>
      <c r="F250" t="s">
        <v>387</v>
      </c>
      <c r="G250" t="s">
        <v>387</v>
      </c>
      <c r="H250" t="s">
        <v>449</v>
      </c>
      <c r="J250" s="21">
        <v>230</v>
      </c>
      <c r="K250">
        <v>208.72</v>
      </c>
      <c r="L250" s="21">
        <v>250</v>
      </c>
      <c r="M250" s="21">
        <f xml:space="preserve"> (L250 - K250)/(K250-J250)</f>
        <v>-1.9398496240601504</v>
      </c>
      <c r="N250" s="21">
        <f>K250/L250</f>
        <v>0.83487999999999996</v>
      </c>
      <c r="O250" s="7">
        <v>1.0200000000000001E-2</v>
      </c>
      <c r="P250" s="7">
        <v>1.0200000000000001E-2</v>
      </c>
      <c r="Q250" s="33"/>
      <c r="R250" t="s">
        <v>449</v>
      </c>
      <c r="S250" t="s">
        <v>449</v>
      </c>
      <c r="T250" t="s">
        <v>600</v>
      </c>
    </row>
    <row r="251" spans="2:20">
      <c r="B251" s="33">
        <v>1</v>
      </c>
      <c r="C251" s="33"/>
      <c r="D251" t="s">
        <v>69</v>
      </c>
      <c r="E251" t="s">
        <v>415</v>
      </c>
      <c r="F251" t="s">
        <v>380</v>
      </c>
      <c r="G251" t="s">
        <v>380</v>
      </c>
      <c r="H251" t="s">
        <v>448</v>
      </c>
      <c r="J251" s="36">
        <v>70</v>
      </c>
      <c r="K251">
        <v>45.25</v>
      </c>
      <c r="L251" s="21">
        <v>92</v>
      </c>
      <c r="M251" s="21">
        <f xml:space="preserve"> (L251 - K251)/(K251-J251)</f>
        <v>-1.8888888888888888</v>
      </c>
      <c r="N251" s="21">
        <f>K251/L251</f>
        <v>0.49184782608695654</v>
      </c>
      <c r="O251" s="7">
        <v>-1.3100000000000001E-2</v>
      </c>
      <c r="P251" s="7">
        <v>-1.3100000000000001E-2</v>
      </c>
      <c r="Q251" s="33" t="s">
        <v>234</v>
      </c>
      <c r="R251" t="s">
        <v>448</v>
      </c>
      <c r="S251" t="s">
        <v>449</v>
      </c>
      <c r="T251" t="s">
        <v>452</v>
      </c>
    </row>
    <row r="252" spans="2:20">
      <c r="B252" s="33">
        <v>1</v>
      </c>
      <c r="C252" s="33"/>
      <c r="D252" t="s">
        <v>475</v>
      </c>
      <c r="E252" t="s">
        <v>582</v>
      </c>
      <c r="F252" t="s">
        <v>381</v>
      </c>
      <c r="G252" t="s">
        <v>381</v>
      </c>
      <c r="H252" t="s">
        <v>448</v>
      </c>
      <c r="J252" s="21">
        <v>110</v>
      </c>
      <c r="K252">
        <v>87.31</v>
      </c>
      <c r="L252" s="21">
        <v>125</v>
      </c>
      <c r="M252" s="21">
        <f xml:space="preserve"> (L252 - K252)/(K252-J252)</f>
        <v>-1.6610841780520054</v>
      </c>
      <c r="N252" s="21">
        <f>K252/L252</f>
        <v>0.69847999999999999</v>
      </c>
      <c r="O252" s="7">
        <v>2.7699999999999999E-2</v>
      </c>
      <c r="P252" s="7">
        <v>2.7699999999999999E-2</v>
      </c>
      <c r="Q252" s="33"/>
      <c r="R252" t="s">
        <v>448</v>
      </c>
      <c r="S252" t="s">
        <v>448</v>
      </c>
      <c r="T252" t="s">
        <v>452</v>
      </c>
    </row>
    <row r="253" spans="2:20">
      <c r="B253" s="33">
        <v>1</v>
      </c>
      <c r="C253" s="33"/>
      <c r="D253" t="s">
        <v>202</v>
      </c>
      <c r="E253" t="s">
        <v>401</v>
      </c>
      <c r="F253" t="s">
        <v>385</v>
      </c>
      <c r="G253" t="s">
        <v>385</v>
      </c>
      <c r="H253" t="s">
        <v>448</v>
      </c>
      <c r="J253" s="21">
        <v>130.43</v>
      </c>
      <c r="K253">
        <v>208.49</v>
      </c>
      <c r="L253" s="21">
        <v>147.32</v>
      </c>
      <c r="M253" s="21">
        <f xml:space="preserve"> (L253 - K253)/(K253-J253)</f>
        <v>-0.78362797847809396</v>
      </c>
      <c r="N253" s="21">
        <f>K253/L253</f>
        <v>1.4152185718164541</v>
      </c>
      <c r="O253" s="7">
        <v>2.2499999999999999E-2</v>
      </c>
      <c r="P253" s="7">
        <v>2.2499999999999999E-2</v>
      </c>
      <c r="Q253" s="33" t="s">
        <v>203</v>
      </c>
      <c r="R253" t="s">
        <v>450</v>
      </c>
      <c r="S253" t="s">
        <v>450</v>
      </c>
      <c r="T253" t="s">
        <v>452</v>
      </c>
    </row>
    <row r="254" spans="2:20">
      <c r="B254" s="33">
        <v>1</v>
      </c>
      <c r="C254" s="33"/>
      <c r="D254" t="s">
        <v>520</v>
      </c>
      <c r="E254" t="s">
        <v>388</v>
      </c>
      <c r="F254" t="s">
        <v>383</v>
      </c>
      <c r="G254" t="s">
        <v>383</v>
      </c>
      <c r="H254" t="s">
        <v>448</v>
      </c>
      <c r="J254" s="21">
        <v>10.7</v>
      </c>
      <c r="K254">
        <v>18.78</v>
      </c>
      <c r="L254" s="21">
        <v>14</v>
      </c>
      <c r="M254" s="21">
        <f xml:space="preserve"> (L254 - K254)/(K254-J254)</f>
        <v>-0.59158415841584155</v>
      </c>
      <c r="N254" s="21">
        <f>K254/L254</f>
        <v>1.3414285714285714</v>
      </c>
      <c r="O254" s="7">
        <v>-3.8999999999999998E-3</v>
      </c>
      <c r="P254" s="7">
        <v>-3.8999999999999998E-3</v>
      </c>
      <c r="Q254" s="33"/>
      <c r="R254" t="s">
        <v>448</v>
      </c>
      <c r="S254" t="s">
        <v>448</v>
      </c>
      <c r="T254" t="s">
        <v>451</v>
      </c>
    </row>
    <row r="255" spans="2:20">
      <c r="B255" s="33">
        <v>1</v>
      </c>
      <c r="C255" s="33"/>
      <c r="D255" t="s">
        <v>742</v>
      </c>
      <c r="E255" t="s">
        <v>156</v>
      </c>
      <c r="F255" t="s">
        <v>387</v>
      </c>
      <c r="G255" t="s">
        <v>387</v>
      </c>
      <c r="H255" t="s">
        <v>449</v>
      </c>
      <c r="J255" s="21">
        <v>75</v>
      </c>
      <c r="K255">
        <v>116.7</v>
      </c>
      <c r="L255" s="21">
        <v>90</v>
      </c>
      <c r="M255" s="21">
        <f xml:space="preserve"> (L255 - K255)/(K255-J255)</f>
        <v>-0.64028776978417268</v>
      </c>
      <c r="N255" s="21">
        <f>K255/L255</f>
        <v>1.2966666666666666</v>
      </c>
      <c r="O255" s="7">
        <v>1.84E-2</v>
      </c>
      <c r="P255" s="7">
        <v>1.84E-2</v>
      </c>
      <c r="Q255" s="33"/>
      <c r="R255" t="s">
        <v>449</v>
      </c>
      <c r="S255" t="s">
        <v>449</v>
      </c>
      <c r="T255" t="s">
        <v>450</v>
      </c>
    </row>
    <row r="256" spans="2:20">
      <c r="B256" s="33">
        <v>1</v>
      </c>
      <c r="C256" s="33"/>
      <c r="D256" t="s">
        <v>140</v>
      </c>
      <c r="E256" t="s">
        <v>392</v>
      </c>
      <c r="F256" t="s">
        <v>380</v>
      </c>
      <c r="G256" t="s">
        <v>380</v>
      </c>
      <c r="H256" t="s">
        <v>449</v>
      </c>
      <c r="J256" s="21">
        <v>9.5</v>
      </c>
      <c r="K256">
        <v>12.21</v>
      </c>
      <c r="L256" s="21">
        <v>12</v>
      </c>
      <c r="M256" s="21">
        <f xml:space="preserve"> (L256 - K256)/(K256-J256)</f>
        <v>-7.7490774907749374E-2</v>
      </c>
      <c r="N256" s="21">
        <f>K256/L256</f>
        <v>1.0175000000000001</v>
      </c>
      <c r="O256" s="7">
        <v>3.1600000000000003E-2</v>
      </c>
      <c r="P256" s="7">
        <v>3.1600000000000003E-2</v>
      </c>
      <c r="Q256" s="33"/>
      <c r="R256" t="s">
        <v>448</v>
      </c>
      <c r="S256" t="s">
        <v>448</v>
      </c>
      <c r="T256" t="s">
        <v>600</v>
      </c>
    </row>
    <row r="257" spans="2:20">
      <c r="B257" s="33">
        <v>1</v>
      </c>
      <c r="C257" s="33"/>
      <c r="D257" t="s">
        <v>257</v>
      </c>
      <c r="E257" t="s">
        <v>404</v>
      </c>
      <c r="F257" t="s">
        <v>385</v>
      </c>
      <c r="G257" t="s">
        <v>387</v>
      </c>
      <c r="H257" t="s">
        <v>449</v>
      </c>
      <c r="J257" s="21">
        <v>480</v>
      </c>
      <c r="K257">
        <v>179.36</v>
      </c>
      <c r="L257" s="21">
        <v>525</v>
      </c>
      <c r="M257" s="21">
        <f xml:space="preserve"> (L257 - K257)/(K257-J257)</f>
        <v>-1.1496806812134115</v>
      </c>
      <c r="N257" s="21">
        <f>K257/L257</f>
        <v>0.34163809523809524</v>
      </c>
      <c r="O257" s="7">
        <v>-1.1299999999999999E-2</v>
      </c>
      <c r="P257" s="7">
        <v>-1.1299999999999999E-2</v>
      </c>
      <c r="Q257" s="34" t="s">
        <v>258</v>
      </c>
      <c r="R257" t="s">
        <v>450</v>
      </c>
      <c r="S257" t="s">
        <v>449</v>
      </c>
      <c r="T257" t="s">
        <v>452</v>
      </c>
    </row>
    <row r="258" spans="2:20">
      <c r="B258" s="33">
        <v>1</v>
      </c>
      <c r="C258" s="33"/>
      <c r="D258" t="s">
        <v>623</v>
      </c>
      <c r="E258" t="s">
        <v>580</v>
      </c>
      <c r="F258" t="s">
        <v>387</v>
      </c>
      <c r="G258" t="s">
        <v>387</v>
      </c>
      <c r="H258" t="s">
        <v>448</v>
      </c>
      <c r="I258">
        <v>102</v>
      </c>
      <c r="J258" s="21">
        <v>99</v>
      </c>
      <c r="K258">
        <v>68.53</v>
      </c>
      <c r="L258" s="21">
        <v>110</v>
      </c>
      <c r="M258" s="21">
        <f xml:space="preserve"> (L258 - K258)/(K258-J258)</f>
        <v>-1.3610108303249098</v>
      </c>
      <c r="N258" s="21">
        <f>K258/L258</f>
        <v>0.623</v>
      </c>
      <c r="O258" s="7">
        <v>-7.1000000000000004E-3</v>
      </c>
      <c r="P258" s="7">
        <v>-7.1000000000000004E-3</v>
      </c>
      <c r="Q258" s="34"/>
      <c r="R258" t="s">
        <v>449</v>
      </c>
      <c r="S258" t="s">
        <v>449</v>
      </c>
      <c r="T258" t="s">
        <v>452</v>
      </c>
    </row>
    <row r="259" spans="2:20">
      <c r="B259" s="33">
        <v>1</v>
      </c>
      <c r="C259" s="33"/>
      <c r="D259" t="s">
        <v>221</v>
      </c>
      <c r="E259" t="s">
        <v>403</v>
      </c>
      <c r="F259" t="s">
        <v>387</v>
      </c>
      <c r="G259" t="s">
        <v>387</v>
      </c>
      <c r="H259" t="s">
        <v>449</v>
      </c>
      <c r="J259" s="21">
        <v>130</v>
      </c>
      <c r="K259">
        <v>128.44</v>
      </c>
      <c r="L259" s="21">
        <v>140</v>
      </c>
      <c r="M259" s="21">
        <f xml:space="preserve"> (L259 - K259)/(K259-J259)</f>
        <v>-7.4102564102564008</v>
      </c>
      <c r="N259" s="21">
        <f>K259/L259</f>
        <v>0.91742857142857137</v>
      </c>
      <c r="O259" s="7">
        <v>9.7000000000000003E-3</v>
      </c>
      <c r="P259" s="7">
        <v>9.7000000000000003E-3</v>
      </c>
      <c r="Q259" s="33" t="s">
        <v>108</v>
      </c>
      <c r="R259" t="s">
        <v>450</v>
      </c>
      <c r="S259" t="s">
        <v>448</v>
      </c>
      <c r="T259" t="s">
        <v>450</v>
      </c>
    </row>
    <row r="260" spans="2:20">
      <c r="B260" s="33">
        <v>1</v>
      </c>
      <c r="C260" s="33"/>
      <c r="D260" t="s">
        <v>625</v>
      </c>
      <c r="E260" t="s">
        <v>378</v>
      </c>
      <c r="F260" t="s">
        <v>387</v>
      </c>
      <c r="G260" t="s">
        <v>387</v>
      </c>
      <c r="H260" t="s">
        <v>448</v>
      </c>
      <c r="J260" s="21"/>
      <c r="K260">
        <v>263.39</v>
      </c>
      <c r="L260" s="21"/>
      <c r="M260" s="21"/>
      <c r="N260" s="21" t="e">
        <f>K260/L260</f>
        <v>#DIV/0!</v>
      </c>
      <c r="O260" s="7">
        <v>-3.9600000000000003E-2</v>
      </c>
      <c r="P260" s="7">
        <v>-3.9600000000000003E-2</v>
      </c>
      <c r="Q260" s="33"/>
      <c r="R260" t="s">
        <v>448</v>
      </c>
      <c r="S260" t="s">
        <v>449</v>
      </c>
      <c r="T260" t="s">
        <v>452</v>
      </c>
    </row>
    <row r="261" spans="2:20">
      <c r="B261" s="33">
        <v>1</v>
      </c>
      <c r="C261" s="33"/>
      <c r="D261" t="s">
        <v>46</v>
      </c>
      <c r="E261" t="s">
        <v>412</v>
      </c>
      <c r="F261"/>
      <c r="G261"/>
      <c r="H261" t="s">
        <v>928</v>
      </c>
      <c r="I261" s="17"/>
      <c r="J261" s="24">
        <v>75</v>
      </c>
      <c r="K261">
        <v>75.42</v>
      </c>
      <c r="L261" s="21">
        <v>85</v>
      </c>
      <c r="M261" s="21">
        <f xml:space="preserve"> (L261 - K261)/(K261-J261)</f>
        <v>22.809523809523714</v>
      </c>
      <c r="N261" s="21">
        <f>K261/L261</f>
        <v>0.88729411764705879</v>
      </c>
      <c r="O261" s="7">
        <v>1.6999999999999999E-3</v>
      </c>
      <c r="P261" s="7">
        <v>1.6999999999999999E-3</v>
      </c>
      <c r="Q261" s="34" t="s">
        <v>101</v>
      </c>
      <c r="R261" t="s">
        <v>448</v>
      </c>
      <c r="S261" t="s">
        <v>449</v>
      </c>
      <c r="T261" t="s">
        <v>450</v>
      </c>
    </row>
    <row r="262" spans="2:20">
      <c r="B262" s="33">
        <v>1</v>
      </c>
      <c r="C262" s="33"/>
      <c r="D262" t="s">
        <v>696</v>
      </c>
      <c r="E262" t="s">
        <v>230</v>
      </c>
      <c r="F262" t="s">
        <v>385</v>
      </c>
      <c r="G262" t="s">
        <v>387</v>
      </c>
      <c r="H262" t="s">
        <v>449</v>
      </c>
      <c r="J262" s="21">
        <v>350</v>
      </c>
      <c r="K262">
        <v>409.12</v>
      </c>
      <c r="L262" s="21">
        <v>400</v>
      </c>
      <c r="M262" s="21">
        <f xml:space="preserve"> (L262 - K262)/(K262-J262)</f>
        <v>-0.15426251691474974</v>
      </c>
      <c r="N262" s="21">
        <f>K262/L262</f>
        <v>1.0227999999999999</v>
      </c>
      <c r="O262" s="7">
        <v>4.3999999999999997E-2</v>
      </c>
      <c r="P262" s="7">
        <v>4.3999999999999997E-2</v>
      </c>
      <c r="Q262" s="33"/>
      <c r="R262" t="s">
        <v>449</v>
      </c>
      <c r="S262" t="s">
        <v>450</v>
      </c>
      <c r="T262" t="s">
        <v>450</v>
      </c>
    </row>
    <row r="263" spans="2:20">
      <c r="B263" s="33">
        <v>1</v>
      </c>
      <c r="C263" s="33"/>
      <c r="D263" t="s">
        <v>431</v>
      </c>
      <c r="E263" t="s">
        <v>397</v>
      </c>
      <c r="F263" t="s">
        <v>384</v>
      </c>
      <c r="G263" t="s">
        <v>384</v>
      </c>
      <c r="H263" t="s">
        <v>449</v>
      </c>
      <c r="J263" s="21">
        <v>98</v>
      </c>
      <c r="K263">
        <v>75.25</v>
      </c>
      <c r="L263" s="21">
        <v>110</v>
      </c>
      <c r="M263" s="21">
        <f xml:space="preserve"> (L263 - K263)/(K263-J263)</f>
        <v>-1.5274725274725274</v>
      </c>
      <c r="N263" s="21">
        <f>K263/L263</f>
        <v>0.68409090909090908</v>
      </c>
      <c r="O263" s="7">
        <v>1.0699999999999999E-2</v>
      </c>
      <c r="P263" s="7">
        <v>1.0699999999999999E-2</v>
      </c>
      <c r="Q263" s="34"/>
      <c r="R263" t="s">
        <v>448</v>
      </c>
      <c r="S263" t="s">
        <v>448</v>
      </c>
      <c r="T263" t="s">
        <v>450</v>
      </c>
    </row>
    <row r="264" spans="2:20">
      <c r="B264" s="33">
        <v>1</v>
      </c>
      <c r="C264" s="33"/>
      <c r="D264" t="s">
        <v>636</v>
      </c>
      <c r="E264" t="s">
        <v>317</v>
      </c>
      <c r="F264" t="s">
        <v>387</v>
      </c>
      <c r="G264" t="s">
        <v>387</v>
      </c>
      <c r="H264" t="s">
        <v>449</v>
      </c>
      <c r="J264" s="21">
        <v>150</v>
      </c>
      <c r="K264">
        <v>200.63</v>
      </c>
      <c r="L264" s="21">
        <v>170</v>
      </c>
      <c r="M264" s="21">
        <f xml:space="preserve"> (L264 - K264)/(K264-J264)</f>
        <v>-0.60497728619395608</v>
      </c>
      <c r="N264" s="21">
        <f>K264/L264</f>
        <v>1.1801764705882352</v>
      </c>
      <c r="O264" s="7">
        <v>1.7399999999999999E-2</v>
      </c>
      <c r="P264" s="7">
        <v>1.7399999999999999E-2</v>
      </c>
      <c r="Q264" s="33"/>
      <c r="R264" t="s">
        <v>449</v>
      </c>
      <c r="S264" t="s">
        <v>449</v>
      </c>
      <c r="T264" t="s">
        <v>451</v>
      </c>
    </row>
    <row r="265" spans="2:20">
      <c r="B265" s="33">
        <v>1</v>
      </c>
      <c r="C265" s="34"/>
      <c r="D265" t="s">
        <v>817</v>
      </c>
      <c r="E265" t="s">
        <v>135</v>
      </c>
      <c r="F265" t="s">
        <v>381</v>
      </c>
      <c r="G265" t="s">
        <v>381</v>
      </c>
      <c r="H265" t="s">
        <v>448</v>
      </c>
      <c r="I265" s="17"/>
      <c r="J265" s="24">
        <v>33</v>
      </c>
      <c r="K265">
        <v>43.94</v>
      </c>
      <c r="L265" s="24">
        <v>45</v>
      </c>
      <c r="M265" s="21">
        <f xml:space="preserve"> (L265 - K265)/(K265-J265)</f>
        <v>9.6892138939671163E-2</v>
      </c>
      <c r="N265" s="21">
        <f>K265/L265</f>
        <v>0.97644444444444445</v>
      </c>
      <c r="O265" s="7">
        <v>6.7000000000000002E-3</v>
      </c>
      <c r="P265" s="7">
        <v>6.7000000000000002E-3</v>
      </c>
      <c r="Q265" s="33"/>
      <c r="R265" t="s">
        <v>448</v>
      </c>
      <c r="S265" t="s">
        <v>449</v>
      </c>
      <c r="T265" t="s">
        <v>450</v>
      </c>
    </row>
    <row r="266" spans="2:20">
      <c r="B266" s="33">
        <v>1</v>
      </c>
      <c r="C266" s="33"/>
      <c r="D266" t="s">
        <v>436</v>
      </c>
      <c r="E266" t="s">
        <v>395</v>
      </c>
      <c r="F266" t="s">
        <v>381</v>
      </c>
      <c r="G266" t="s">
        <v>381</v>
      </c>
      <c r="H266" t="s">
        <v>448</v>
      </c>
      <c r="J266" s="21">
        <v>32</v>
      </c>
      <c r="K266">
        <v>51.83</v>
      </c>
      <c r="L266" s="21">
        <v>40</v>
      </c>
      <c r="M266" s="21">
        <f xml:space="preserve"> (L266 - K266)/(K266-J266)</f>
        <v>-0.59657085224407458</v>
      </c>
      <c r="N266" s="21">
        <f>K266/L266</f>
        <v>1.29575</v>
      </c>
      <c r="O266" s="7">
        <v>6.7000000000000002E-3</v>
      </c>
      <c r="P266" s="7">
        <v>6.7000000000000002E-3</v>
      </c>
      <c r="Q266" s="33"/>
      <c r="R266" t="s">
        <v>448</v>
      </c>
      <c r="S266" t="s">
        <v>450</v>
      </c>
      <c r="T266" t="s">
        <v>452</v>
      </c>
    </row>
    <row r="267" spans="2:20">
      <c r="B267" s="33">
        <v>1</v>
      </c>
      <c r="C267" s="33"/>
      <c r="D267" t="s">
        <v>357</v>
      </c>
      <c r="E267" t="s">
        <v>408</v>
      </c>
      <c r="F267" t="s">
        <v>380</v>
      </c>
      <c r="G267" t="s">
        <v>380</v>
      </c>
      <c r="H267" t="s">
        <v>448</v>
      </c>
      <c r="J267" s="21">
        <v>37</v>
      </c>
      <c r="K267">
        <v>35.380000000000003</v>
      </c>
      <c r="L267" s="21">
        <v>42.5</v>
      </c>
      <c r="M267" s="21">
        <f xml:space="preserve"> (L267 - K267)/(K267-J267)</f>
        <v>-4.395061728395067</v>
      </c>
      <c r="N267" s="21">
        <f>K267/L267</f>
        <v>0.83247058823529418</v>
      </c>
      <c r="O267" s="7">
        <v>1.3100000000000001E-2</v>
      </c>
      <c r="P267" s="7">
        <v>1.3100000000000001E-2</v>
      </c>
      <c r="Q267" s="33"/>
      <c r="R267" t="s">
        <v>450</v>
      </c>
      <c r="S267" t="s">
        <v>450</v>
      </c>
      <c r="T267" t="s">
        <v>451</v>
      </c>
    </row>
    <row r="268" spans="2:20">
      <c r="B268" s="33">
        <v>1</v>
      </c>
      <c r="C268" s="33"/>
      <c r="D268" t="s">
        <v>73</v>
      </c>
      <c r="E268" t="s">
        <v>400</v>
      </c>
      <c r="F268" t="s">
        <v>381</v>
      </c>
      <c r="G268" t="s">
        <v>381</v>
      </c>
      <c r="H268" t="s">
        <v>449</v>
      </c>
      <c r="I268" s="17"/>
      <c r="J268" s="24">
        <v>20</v>
      </c>
      <c r="K268">
        <v>19.87</v>
      </c>
      <c r="L268" s="21">
        <v>24</v>
      </c>
      <c r="M268" s="21">
        <f xml:space="preserve"> (L268 - K268)/(K268-J268)</f>
        <v>-31.769230769231005</v>
      </c>
      <c r="N268" s="21"/>
      <c r="O268" s="7">
        <v>1.66E-2</v>
      </c>
      <c r="P268" s="7">
        <v>1.66E-2</v>
      </c>
      <c r="Q268" s="34" t="s">
        <v>105</v>
      </c>
      <c r="R268" t="s">
        <v>448</v>
      </c>
      <c r="S268" t="s">
        <v>448</v>
      </c>
      <c r="T268" t="s">
        <v>452</v>
      </c>
    </row>
    <row r="269" spans="2:20">
      <c r="B269" s="33">
        <v>1</v>
      </c>
      <c r="C269" s="33"/>
      <c r="D269" t="s">
        <v>853</v>
      </c>
      <c r="E269" t="s">
        <v>399</v>
      </c>
      <c r="F269" t="s">
        <v>380</v>
      </c>
      <c r="G269" t="s">
        <v>384</v>
      </c>
      <c r="H269" t="s">
        <v>448</v>
      </c>
      <c r="J269" s="21">
        <v>170</v>
      </c>
      <c r="K269">
        <v>286.54000000000002</v>
      </c>
      <c r="L269" s="21">
        <v>200</v>
      </c>
      <c r="M269" s="24">
        <f xml:space="preserve"> (L269 - K269)/(K269-J269)</f>
        <v>-0.74257765574051837</v>
      </c>
      <c r="N269" s="21">
        <f>K269/L269</f>
        <v>1.4327000000000001</v>
      </c>
      <c r="O269" s="7">
        <v>8.0999999999999996E-3</v>
      </c>
      <c r="P269" s="7">
        <v>8.0999999999999996E-3</v>
      </c>
      <c r="Q269" s="33"/>
      <c r="R269" t="s">
        <v>450</v>
      </c>
      <c r="S269" t="s">
        <v>450</v>
      </c>
      <c r="T269" t="s">
        <v>452</v>
      </c>
    </row>
    <row r="270" spans="2:20">
      <c r="B270" s="33">
        <v>1</v>
      </c>
      <c r="C270" s="33"/>
      <c r="D270" t="s">
        <v>808</v>
      </c>
      <c r="E270" t="s">
        <v>394</v>
      </c>
      <c r="F270" t="s">
        <v>384</v>
      </c>
      <c r="G270" t="s">
        <v>384</v>
      </c>
      <c r="H270" t="s">
        <v>448</v>
      </c>
      <c r="J270" s="21">
        <v>55</v>
      </c>
      <c r="K270">
        <v>71.47</v>
      </c>
      <c r="L270" s="21">
        <v>70</v>
      </c>
      <c r="M270" s="21">
        <f xml:space="preserve"> (L270 - K270)/(K270-J270)</f>
        <v>-8.9253187613843293E-2</v>
      </c>
      <c r="N270" s="21">
        <f>K270/L270</f>
        <v>1.0209999999999999</v>
      </c>
      <c r="O270" s="7">
        <v>7.1000000000000004E-3</v>
      </c>
      <c r="P270" s="7">
        <v>7.1000000000000004E-3</v>
      </c>
      <c r="Q270" s="33"/>
      <c r="R270" t="s">
        <v>450</v>
      </c>
      <c r="S270" t="s">
        <v>448</v>
      </c>
      <c r="T270" t="s">
        <v>450</v>
      </c>
    </row>
    <row r="271" spans="2:20">
      <c r="B271" s="33">
        <v>1</v>
      </c>
      <c r="C271" s="33"/>
      <c r="D271" t="s">
        <v>747</v>
      </c>
      <c r="E271" t="s">
        <v>199</v>
      </c>
      <c r="F271" t="s">
        <v>380</v>
      </c>
      <c r="G271" t="s">
        <v>380</v>
      </c>
      <c r="H271" t="s">
        <v>449</v>
      </c>
      <c r="J271" s="21">
        <v>18</v>
      </c>
      <c r="K271">
        <v>26.99</v>
      </c>
      <c r="L271" s="21">
        <v>25</v>
      </c>
      <c r="M271" s="21">
        <f xml:space="preserve"> (L271 - K271)/(K271-J271)</f>
        <v>-0.22135706340378183</v>
      </c>
      <c r="N271" s="21"/>
      <c r="O271" s="7">
        <v>-2.9600000000000001E-2</v>
      </c>
      <c r="P271" s="7">
        <v>-2.9600000000000001E-2</v>
      </c>
      <c r="Q271" s="33"/>
      <c r="R271" t="s">
        <v>450</v>
      </c>
      <c r="S271" t="s">
        <v>449</v>
      </c>
      <c r="T271" t="s">
        <v>451</v>
      </c>
    </row>
    <row r="272" spans="2:20">
      <c r="B272" s="33">
        <v>1</v>
      </c>
      <c r="C272" s="33"/>
      <c r="D272" t="s">
        <v>327</v>
      </c>
      <c r="E272" t="s">
        <v>199</v>
      </c>
      <c r="F272" t="s">
        <v>384</v>
      </c>
      <c r="G272" t="s">
        <v>380</v>
      </c>
      <c r="H272" t="s">
        <v>449</v>
      </c>
      <c r="J272" s="21">
        <v>77</v>
      </c>
      <c r="K272">
        <v>137.27000000000001</v>
      </c>
      <c r="L272" s="21">
        <v>85</v>
      </c>
      <c r="M272" s="21">
        <f xml:space="preserve"> (L272 - K272)/(K272-J272)</f>
        <v>-0.8672639787622366</v>
      </c>
      <c r="N272" s="21">
        <f>K272/L272</f>
        <v>1.6149411764705883</v>
      </c>
      <c r="O272" s="7">
        <v>2.0899999999999998E-2</v>
      </c>
      <c r="P272" s="7">
        <v>2.0899999999999998E-2</v>
      </c>
      <c r="Q272" s="33" t="s">
        <v>134</v>
      </c>
      <c r="R272" t="s">
        <v>448</v>
      </c>
      <c r="S272" t="s">
        <v>448</v>
      </c>
      <c r="T272" t="s">
        <v>450</v>
      </c>
    </row>
    <row r="273" spans="2:20">
      <c r="B273" s="33">
        <v>1</v>
      </c>
      <c r="C273" s="33"/>
      <c r="D273" t="s">
        <v>839</v>
      </c>
      <c r="E273" t="s">
        <v>390</v>
      </c>
      <c r="F273" t="s">
        <v>381</v>
      </c>
      <c r="G273" t="s">
        <v>381</v>
      </c>
      <c r="H273" t="s">
        <v>448</v>
      </c>
      <c r="J273" s="21">
        <v>60</v>
      </c>
      <c r="K273">
        <v>83.15</v>
      </c>
      <c r="L273" s="21">
        <v>72.5</v>
      </c>
      <c r="M273" s="21">
        <f xml:space="preserve"> (L273 - K273)/(K273-J273)</f>
        <v>-0.46004319654427661</v>
      </c>
      <c r="N273" s="21">
        <f>K273/L273</f>
        <v>1.1468965517241381</v>
      </c>
      <c r="O273" s="7">
        <v>1.6000000000000001E-3</v>
      </c>
      <c r="P273" s="7">
        <v>1.6000000000000001E-3</v>
      </c>
      <c r="Q273" s="33" t="s">
        <v>840</v>
      </c>
      <c r="R273" t="s">
        <v>448</v>
      </c>
      <c r="S273" t="s">
        <v>448</v>
      </c>
      <c r="T273" t="s">
        <v>450</v>
      </c>
    </row>
    <row r="274" spans="2:20">
      <c r="B274" s="33">
        <v>1</v>
      </c>
      <c r="C274" s="33"/>
      <c r="D274" t="s">
        <v>116</v>
      </c>
      <c r="E274" t="s">
        <v>396</v>
      </c>
      <c r="F274" t="s">
        <v>380</v>
      </c>
      <c r="G274" t="s">
        <v>380</v>
      </c>
      <c r="H274" t="s">
        <v>448</v>
      </c>
      <c r="J274" s="21">
        <v>155</v>
      </c>
      <c r="K274">
        <v>150.1</v>
      </c>
      <c r="L274" s="21">
        <v>180</v>
      </c>
      <c r="M274" s="21">
        <f xml:space="preserve"> (L274 - K274)/(K274-J274)</f>
        <v>-6.1020408163265243</v>
      </c>
      <c r="N274" s="21"/>
      <c r="O274" s="7">
        <v>-7.4999999999999997E-3</v>
      </c>
      <c r="P274" s="7">
        <v>-7.4999999999999997E-3</v>
      </c>
      <c r="Q274" s="33"/>
      <c r="R274" t="s">
        <v>448</v>
      </c>
      <c r="S274" t="s">
        <v>448</v>
      </c>
      <c r="T274" t="s">
        <v>450</v>
      </c>
    </row>
    <row r="275" spans="2:20">
      <c r="B275" s="33">
        <v>1</v>
      </c>
      <c r="C275" s="33"/>
      <c r="D275" t="s">
        <v>621</v>
      </c>
      <c r="E275" t="s">
        <v>608</v>
      </c>
      <c r="F275" t="s">
        <v>381</v>
      </c>
      <c r="G275" t="s">
        <v>381</v>
      </c>
      <c r="H275" t="s">
        <v>448</v>
      </c>
      <c r="J275" s="21"/>
      <c r="K275">
        <v>29.05</v>
      </c>
      <c r="L275" s="21"/>
      <c r="M275" s="21"/>
      <c r="N275" s="21" t="e">
        <f>K275/L275</f>
        <v>#DIV/0!</v>
      </c>
      <c r="O275" s="7">
        <v>-7.9000000000000008E-3</v>
      </c>
      <c r="P275" s="7">
        <v>-7.9000000000000008E-3</v>
      </c>
      <c r="Q275" s="33"/>
      <c r="R275" t="s">
        <v>448</v>
      </c>
      <c r="S275" t="s">
        <v>448</v>
      </c>
      <c r="T275" t="s">
        <v>452</v>
      </c>
    </row>
    <row r="276" spans="2:20">
      <c r="B276" s="33">
        <v>1</v>
      </c>
      <c r="C276" s="33"/>
      <c r="D276" t="s">
        <v>813</v>
      </c>
      <c r="E276" t="s">
        <v>390</v>
      </c>
      <c r="F276" t="s">
        <v>381</v>
      </c>
      <c r="G276" t="s">
        <v>381</v>
      </c>
      <c r="H276" t="s">
        <v>448</v>
      </c>
      <c r="J276" s="21">
        <v>57.5</v>
      </c>
      <c r="K276">
        <v>65.239999999999995</v>
      </c>
      <c r="L276" s="21">
        <v>68</v>
      </c>
      <c r="M276" s="21">
        <f xml:space="preserve"> (L276 - K276)/(K276-J276)</f>
        <v>0.35658914728682262</v>
      </c>
      <c r="N276" s="21">
        <f>K276/L276</f>
        <v>0.9594117647058823</v>
      </c>
      <c r="O276" s="7">
        <v>8.5000000000000006E-3</v>
      </c>
      <c r="P276" s="7">
        <v>8.5000000000000006E-3</v>
      </c>
      <c r="Q276" s="33"/>
      <c r="R276" t="s">
        <v>448</v>
      </c>
      <c r="S276" t="s">
        <v>448</v>
      </c>
      <c r="T276" t="s">
        <v>450</v>
      </c>
    </row>
    <row r="277" spans="2:20">
      <c r="B277" s="33">
        <v>1</v>
      </c>
      <c r="C277" s="33"/>
      <c r="D277" t="s">
        <v>616</v>
      </c>
      <c r="E277" t="s">
        <v>421</v>
      </c>
      <c r="F277" t="s">
        <v>386</v>
      </c>
      <c r="G277" t="s">
        <v>380</v>
      </c>
      <c r="H277" t="s">
        <v>448</v>
      </c>
      <c r="J277" s="21">
        <v>70</v>
      </c>
      <c r="K277">
        <v>58.08</v>
      </c>
      <c r="L277" s="21">
        <v>80</v>
      </c>
      <c r="M277" s="21">
        <f xml:space="preserve"> (L277 - K277)/(K277-J277)</f>
        <v>-1.8389261744966441</v>
      </c>
      <c r="N277" s="21">
        <f>K277/L277</f>
        <v>0.72599999999999998</v>
      </c>
      <c r="O277" s="7">
        <v>7.9000000000000008E-3</v>
      </c>
      <c r="P277" s="7">
        <v>7.9000000000000008E-3</v>
      </c>
      <c r="Q277" s="34"/>
      <c r="R277" t="s">
        <v>448</v>
      </c>
      <c r="S277" t="s">
        <v>448</v>
      </c>
      <c r="T277" t="s">
        <v>450</v>
      </c>
    </row>
    <row r="278" spans="2:20">
      <c r="B278" s="33">
        <v>1</v>
      </c>
      <c r="C278" s="33"/>
      <c r="D278" t="s">
        <v>740</v>
      </c>
      <c r="E278" t="s">
        <v>421</v>
      </c>
      <c r="F278" t="s">
        <v>380</v>
      </c>
      <c r="G278" t="s">
        <v>380</v>
      </c>
      <c r="H278" t="s">
        <v>448</v>
      </c>
      <c r="J278" s="21">
        <v>55</v>
      </c>
      <c r="K278">
        <v>129.66</v>
      </c>
      <c r="L278" s="21">
        <v>60</v>
      </c>
      <c r="M278" s="21">
        <f xml:space="preserve"> (L278 - K278)/(K278-J278)</f>
        <v>-0.93302973479774975</v>
      </c>
      <c r="N278" s="21"/>
      <c r="O278" s="7">
        <v>4.7999999999999996E-3</v>
      </c>
      <c r="P278" s="7">
        <v>4.7999999999999996E-3</v>
      </c>
      <c r="Q278" s="34"/>
      <c r="R278" t="s">
        <v>448</v>
      </c>
      <c r="S278" t="s">
        <v>448</v>
      </c>
      <c r="T278" t="s">
        <v>452</v>
      </c>
    </row>
    <row r="279" spans="2:20">
      <c r="B279" s="33">
        <v>1</v>
      </c>
      <c r="C279" s="33"/>
      <c r="D279" t="s">
        <v>162</v>
      </c>
      <c r="E279" t="s">
        <v>410</v>
      </c>
      <c r="F279" t="s">
        <v>384</v>
      </c>
      <c r="G279" t="s">
        <v>384</v>
      </c>
      <c r="H279" t="s">
        <v>448</v>
      </c>
      <c r="J279" s="21">
        <v>18.78</v>
      </c>
      <c r="K279">
        <v>28.34</v>
      </c>
      <c r="L279" s="21">
        <v>3</v>
      </c>
      <c r="M279" s="21">
        <f xml:space="preserve"> (L279 - K279)/(K279-J279)</f>
        <v>-2.6506276150627617</v>
      </c>
      <c r="N279" s="21">
        <f>K279/L279</f>
        <v>9.4466666666666672</v>
      </c>
      <c r="O279" s="7">
        <v>-3.8E-3</v>
      </c>
      <c r="P279" s="7">
        <v>-3.8E-3</v>
      </c>
      <c r="Q279" s="33" t="s">
        <v>197</v>
      </c>
      <c r="R279" t="s">
        <v>448</v>
      </c>
      <c r="S279" t="s">
        <v>450</v>
      </c>
      <c r="T279" t="s">
        <v>452</v>
      </c>
    </row>
    <row r="280" spans="2:20">
      <c r="B280" s="33">
        <v>1</v>
      </c>
      <c r="C280" s="33"/>
      <c r="D280" t="s">
        <v>85</v>
      </c>
      <c r="E280" t="s">
        <v>396</v>
      </c>
      <c r="F280" t="s">
        <v>384</v>
      </c>
      <c r="G280" t="s">
        <v>384</v>
      </c>
      <c r="H280" t="s">
        <v>448</v>
      </c>
      <c r="J280" s="21">
        <v>93.48</v>
      </c>
      <c r="K280">
        <v>73.709999999999994</v>
      </c>
      <c r="L280" s="21">
        <v>100</v>
      </c>
      <c r="M280" s="21">
        <f xml:space="preserve"> (L280 - K280)/(K280-J280)</f>
        <v>-1.329792615073343</v>
      </c>
      <c r="N280" s="21">
        <f>K280/L280</f>
        <v>0.73709999999999998</v>
      </c>
      <c r="O280" s="7">
        <v>3.8E-3</v>
      </c>
      <c r="P280" s="7">
        <v>3.8E-3</v>
      </c>
      <c r="Q280" s="34" t="s">
        <v>141</v>
      </c>
      <c r="R280" t="s">
        <v>448</v>
      </c>
      <c r="S280" t="s">
        <v>448</v>
      </c>
      <c r="T280" t="s">
        <v>600</v>
      </c>
    </row>
    <row r="281" spans="2:20">
      <c r="B281" s="33">
        <v>1</v>
      </c>
      <c r="C281" s="33"/>
      <c r="D281" t="s">
        <v>303</v>
      </c>
      <c r="E281" t="s">
        <v>64</v>
      </c>
      <c r="F281" t="s">
        <v>381</v>
      </c>
      <c r="G281" t="s">
        <v>381</v>
      </c>
      <c r="H281" t="s">
        <v>448</v>
      </c>
      <c r="I281" s="17"/>
      <c r="J281" s="24">
        <v>230</v>
      </c>
      <c r="K281">
        <v>533.20000000000005</v>
      </c>
      <c r="L281" s="21">
        <v>250</v>
      </c>
      <c r="M281" s="21">
        <f xml:space="preserve"> (L281 - K281)/(K281-J281)</f>
        <v>-0.93403693931398413</v>
      </c>
      <c r="N281" s="21"/>
      <c r="O281" s="7">
        <v>2.0799999999999999E-2</v>
      </c>
      <c r="P281" s="7">
        <v>2.0799999999999999E-2</v>
      </c>
      <c r="Q281" s="33" t="s">
        <v>304</v>
      </c>
      <c r="R281" t="s">
        <v>448</v>
      </c>
      <c r="S281" t="s">
        <v>448</v>
      </c>
      <c r="T281" t="s">
        <v>450</v>
      </c>
    </row>
    <row r="282" spans="2:20">
      <c r="B282" s="33">
        <v>1</v>
      </c>
      <c r="C282" s="33"/>
      <c r="D282" t="s">
        <v>20</v>
      </c>
      <c r="E282" t="s">
        <v>581</v>
      </c>
      <c r="F282" t="s">
        <v>380</v>
      </c>
      <c r="G282" t="s">
        <v>380</v>
      </c>
      <c r="H282" t="s">
        <v>449</v>
      </c>
      <c r="I282" s="17"/>
      <c r="J282" s="24">
        <v>400</v>
      </c>
      <c r="K282">
        <v>591.51</v>
      </c>
      <c r="L282" s="21">
        <v>450</v>
      </c>
      <c r="M282" s="21">
        <f xml:space="preserve"> (L282 - K282)/(K282-J282)</f>
        <v>-0.73891702783144486</v>
      </c>
      <c r="N282" s="21">
        <f>K282/L282</f>
        <v>1.3144666666666667</v>
      </c>
      <c r="O282" s="7">
        <v>-7.1000000000000004E-3</v>
      </c>
      <c r="P282" s="7">
        <v>-7.1000000000000004E-3</v>
      </c>
      <c r="Q282" s="33" t="s">
        <v>209</v>
      </c>
      <c r="R282" t="s">
        <v>450</v>
      </c>
      <c r="S282" t="s">
        <v>448</v>
      </c>
      <c r="T282" t="s">
        <v>452</v>
      </c>
    </row>
    <row r="283" spans="2:20" ht="14.25" customHeight="1">
      <c r="B283" s="33">
        <v>1</v>
      </c>
      <c r="C283" s="33"/>
      <c r="D283" t="s">
        <v>290</v>
      </c>
      <c r="E283" t="s">
        <v>455</v>
      </c>
      <c r="F283" t="s">
        <v>381</v>
      </c>
      <c r="G283" t="s">
        <v>381</v>
      </c>
      <c r="H283" t="s">
        <v>449</v>
      </c>
      <c r="J283" s="21">
        <v>57.93</v>
      </c>
      <c r="K283">
        <v>55.59</v>
      </c>
      <c r="L283" s="21">
        <v>65</v>
      </c>
      <c r="M283" s="21">
        <f xml:space="preserve"> (L283 - K283)/(K283-J283)</f>
        <v>-4.0213675213675266</v>
      </c>
      <c r="N283" s="21">
        <f>K283/L283</f>
        <v>0.85523076923076924</v>
      </c>
      <c r="O283" s="7">
        <v>3.5099999999999999E-2</v>
      </c>
      <c r="P283" s="7">
        <v>3.5099999999999999E-2</v>
      </c>
      <c r="Q283" s="34"/>
      <c r="R283" t="s">
        <v>448</v>
      </c>
      <c r="S283" t="s">
        <v>449</v>
      </c>
      <c r="T283" t="s">
        <v>452</v>
      </c>
    </row>
    <row r="284" spans="2:20">
      <c r="B284" s="33">
        <v>1</v>
      </c>
      <c r="C284" s="33"/>
      <c r="D284" t="s">
        <v>211</v>
      </c>
      <c r="E284" t="s">
        <v>135</v>
      </c>
      <c r="F284" t="s">
        <v>381</v>
      </c>
      <c r="G284" t="s">
        <v>381</v>
      </c>
      <c r="H284" t="s">
        <v>448</v>
      </c>
      <c r="J284" s="21">
        <v>600</v>
      </c>
      <c r="K284">
        <v>1068.27</v>
      </c>
      <c r="L284" s="21">
        <v>800</v>
      </c>
      <c r="M284" s="21">
        <f xml:space="preserve"> (L284 - K284)/(K284-J284)</f>
        <v>-0.57289597881564058</v>
      </c>
      <c r="N284" s="21">
        <f>K284/L284</f>
        <v>1.3353375000000001</v>
      </c>
      <c r="O284" s="7">
        <v>1.34E-2</v>
      </c>
      <c r="P284" s="7">
        <v>1.34E-2</v>
      </c>
      <c r="Q284" s="33" t="s">
        <v>212</v>
      </c>
      <c r="R284" t="s">
        <v>448</v>
      </c>
      <c r="S284" t="s">
        <v>450</v>
      </c>
      <c r="T284" t="s">
        <v>451</v>
      </c>
    </row>
    <row r="285" spans="2:20">
      <c r="B285" s="33">
        <v>1</v>
      </c>
      <c r="C285" s="33"/>
      <c r="D285" t="s">
        <v>731</v>
      </c>
      <c r="E285" t="s">
        <v>424</v>
      </c>
      <c r="F285" t="s">
        <v>382</v>
      </c>
      <c r="G285"/>
      <c r="H285" t="s">
        <v>449</v>
      </c>
      <c r="J285" s="21">
        <v>9</v>
      </c>
      <c r="K285">
        <v>26.31</v>
      </c>
      <c r="L285" s="21">
        <v>11</v>
      </c>
      <c r="M285" s="24">
        <f xml:space="preserve"> (L285 - K285)/(K285-J285)</f>
        <v>-0.88445984979780468</v>
      </c>
      <c r="N285" s="21">
        <f>K285/L285</f>
        <v>2.3918181818181816</v>
      </c>
      <c r="O285" s="7">
        <v>5.5300000000000002E-2</v>
      </c>
      <c r="P285" s="7">
        <v>5.5300000000000002E-2</v>
      </c>
      <c r="Q285" s="33" t="s">
        <v>732</v>
      </c>
      <c r="R285" t="s">
        <v>448</v>
      </c>
      <c r="S285" t="s">
        <v>448</v>
      </c>
      <c r="T285" t="s">
        <v>600</v>
      </c>
    </row>
    <row r="286" spans="2:20">
      <c r="B286" s="33">
        <v>1</v>
      </c>
      <c r="C286" s="33"/>
      <c r="D286" t="s">
        <v>538</v>
      </c>
      <c r="E286" t="s">
        <v>390</v>
      </c>
      <c r="F286" t="s">
        <v>384</v>
      </c>
      <c r="G286" t="s">
        <v>384</v>
      </c>
      <c r="H286" t="s">
        <v>448</v>
      </c>
      <c r="J286" s="21">
        <v>42</v>
      </c>
      <c r="K286">
        <v>95.8</v>
      </c>
      <c r="L286" s="21">
        <v>50</v>
      </c>
      <c r="M286" s="21">
        <f xml:space="preserve"> (L286 - K286)/(K286-J286)</f>
        <v>-0.85130111524163565</v>
      </c>
      <c r="N286" s="21">
        <f>K286/L286</f>
        <v>1.9159999999999999</v>
      </c>
      <c r="O286" s="7">
        <v>6.5000000000000002E-2</v>
      </c>
      <c r="P286" s="7">
        <v>6.5000000000000002E-2</v>
      </c>
      <c r="Q286" s="33"/>
      <c r="R286" t="s">
        <v>448</v>
      </c>
      <c r="S286" t="s">
        <v>448</v>
      </c>
      <c r="T286" t="s">
        <v>450</v>
      </c>
    </row>
    <row r="287" spans="2:20">
      <c r="B287" s="33">
        <v>1</v>
      </c>
      <c r="C287" s="33"/>
      <c r="D287" t="s">
        <v>56</v>
      </c>
      <c r="E287" t="s">
        <v>323</v>
      </c>
      <c r="F287" t="s">
        <v>384</v>
      </c>
      <c r="G287" t="s">
        <v>384</v>
      </c>
      <c r="H287" t="s">
        <v>448</v>
      </c>
      <c r="J287" s="21">
        <v>14</v>
      </c>
      <c r="K287">
        <v>24.31</v>
      </c>
      <c r="L287" s="21">
        <v>16</v>
      </c>
      <c r="M287" s="21">
        <f xml:space="preserve"> (L287 - K287)/(K287-J287)</f>
        <v>-0.80601357904946647</v>
      </c>
      <c r="N287" s="21">
        <f>K287/L287</f>
        <v>1.5193749999999999</v>
      </c>
      <c r="O287" s="7">
        <v>3.8999999999999998E-3</v>
      </c>
      <c r="P287" s="7">
        <v>3.8999999999999998E-3</v>
      </c>
      <c r="Q287" s="33" t="s">
        <v>98</v>
      </c>
      <c r="R287" t="s">
        <v>448</v>
      </c>
      <c r="S287" t="s">
        <v>449</v>
      </c>
      <c r="T287" t="s">
        <v>451</v>
      </c>
    </row>
    <row r="288" spans="2:20">
      <c r="B288" s="33">
        <v>1</v>
      </c>
      <c r="C288" s="33"/>
      <c r="D288" t="s">
        <v>535</v>
      </c>
      <c r="E288" t="s">
        <v>537</v>
      </c>
      <c r="F288" t="s">
        <v>382</v>
      </c>
      <c r="G288" t="s">
        <v>382</v>
      </c>
      <c r="H288" t="s">
        <v>448</v>
      </c>
      <c r="J288" s="21"/>
      <c r="K288">
        <v>222.56</v>
      </c>
      <c r="L288" s="21"/>
      <c r="M288" s="21"/>
      <c r="N288" s="21" t="e">
        <f>K288/L288</f>
        <v>#DIV/0!</v>
      </c>
      <c r="O288" s="7">
        <v>1.01E-2</v>
      </c>
      <c r="P288" s="7">
        <v>1.01E-2</v>
      </c>
      <c r="Q288" s="33"/>
      <c r="R288" t="s">
        <v>448</v>
      </c>
      <c r="S288" t="s">
        <v>449</v>
      </c>
      <c r="T288" t="s">
        <v>450</v>
      </c>
    </row>
    <row r="289" spans="2:20">
      <c r="B289" s="33">
        <v>1</v>
      </c>
      <c r="C289" s="33"/>
      <c r="D289" t="s">
        <v>487</v>
      </c>
      <c r="E289" t="s">
        <v>416</v>
      </c>
      <c r="F289" t="s">
        <v>381</v>
      </c>
      <c r="G289" t="s">
        <v>383</v>
      </c>
      <c r="H289" t="s">
        <v>448</v>
      </c>
      <c r="J289" s="21">
        <v>85</v>
      </c>
      <c r="K289">
        <v>135.66999999999999</v>
      </c>
      <c r="L289" s="21">
        <v>100</v>
      </c>
      <c r="M289" s="21">
        <f xml:space="preserve"> (L289 - K289)/(K289-J289)</f>
        <v>-0.70396684428655998</v>
      </c>
      <c r="N289" s="21">
        <f>K289/L289</f>
        <v>1.3566999999999998</v>
      </c>
      <c r="O289" s="7">
        <v>1.4999999999999999E-2</v>
      </c>
      <c r="P289" s="7">
        <v>1.4999999999999999E-2</v>
      </c>
      <c r="Q289" s="34"/>
      <c r="R289" t="s">
        <v>450</v>
      </c>
      <c r="S289" t="s">
        <v>450</v>
      </c>
      <c r="T289" t="s">
        <v>451</v>
      </c>
    </row>
    <row r="290" spans="2:20">
      <c r="B290" s="33">
        <v>1</v>
      </c>
      <c r="C290" s="33"/>
      <c r="D290" t="s">
        <v>469</v>
      </c>
      <c r="E290" t="s">
        <v>135</v>
      </c>
      <c r="F290" t="s">
        <v>383</v>
      </c>
      <c r="G290" t="s">
        <v>383</v>
      </c>
      <c r="H290" t="s">
        <v>448</v>
      </c>
      <c r="I290">
        <v>83</v>
      </c>
      <c r="J290" s="21">
        <v>71</v>
      </c>
      <c r="K290">
        <v>135.96</v>
      </c>
      <c r="L290" s="21">
        <v>85</v>
      </c>
      <c r="M290" s="21">
        <f xml:space="preserve"> (L290 - K290)/(K290-J290)</f>
        <v>-0.78448275862068972</v>
      </c>
      <c r="N290" s="21">
        <f>K290/L290</f>
        <v>1.5995294117647059</v>
      </c>
      <c r="O290" s="7">
        <v>1.8100000000000002E-2</v>
      </c>
      <c r="P290" s="7">
        <v>1.8100000000000002E-2</v>
      </c>
      <c r="Q290" s="34"/>
      <c r="R290" t="s">
        <v>448</v>
      </c>
      <c r="S290" t="s">
        <v>450</v>
      </c>
      <c r="T290" t="s">
        <v>452</v>
      </c>
    </row>
    <row r="291" spans="2:20">
      <c r="B291" s="33">
        <v>1</v>
      </c>
      <c r="C291" s="33"/>
      <c r="D291" t="s">
        <v>603</v>
      </c>
      <c r="E291" t="s">
        <v>230</v>
      </c>
      <c r="F291" t="s">
        <v>384</v>
      </c>
      <c r="G291" t="s">
        <v>384</v>
      </c>
      <c r="H291" t="s">
        <v>449</v>
      </c>
      <c r="J291">
        <v>46</v>
      </c>
      <c r="K291">
        <v>26.84</v>
      </c>
      <c r="L291">
        <v>55</v>
      </c>
      <c r="M291" s="21">
        <f xml:space="preserve"> (L291 - K291)/(K291-J291)</f>
        <v>-1.4697286012526096</v>
      </c>
      <c r="N291" s="21">
        <f>K291/L291</f>
        <v>0.48799999999999999</v>
      </c>
      <c r="O291" s="7">
        <v>5.9999999999999995E-4</v>
      </c>
      <c r="P291" s="7">
        <v>5.9999999999999995E-4</v>
      </c>
      <c r="Q291" s="34"/>
      <c r="R291" t="s">
        <v>448</v>
      </c>
      <c r="S291" t="s">
        <v>450</v>
      </c>
      <c r="T291" t="s">
        <v>452</v>
      </c>
    </row>
    <row r="292" spans="2:20">
      <c r="B292" s="33">
        <v>1</v>
      </c>
      <c r="C292" s="33"/>
      <c r="D292" t="s">
        <v>359</v>
      </c>
      <c r="E292" t="s">
        <v>416</v>
      </c>
      <c r="F292" t="s">
        <v>380</v>
      </c>
      <c r="G292" t="s">
        <v>384</v>
      </c>
      <c r="H292" t="s">
        <v>448</v>
      </c>
      <c r="I292" s="17"/>
      <c r="J292" s="24">
        <v>97</v>
      </c>
      <c r="K292">
        <v>143.81</v>
      </c>
      <c r="L292" s="21">
        <v>114</v>
      </c>
      <c r="M292" s="21">
        <f xml:space="preserve"> (L292 - K292)/(K292-J292)</f>
        <v>-0.63682973723563341</v>
      </c>
      <c r="N292" s="21">
        <f>K292/L292</f>
        <v>1.2614912280701756</v>
      </c>
      <c r="O292" s="7">
        <v>8.0999999999999996E-3</v>
      </c>
      <c r="P292" s="7">
        <v>8.0999999999999996E-3</v>
      </c>
      <c r="Q292" s="33"/>
      <c r="R292" t="s">
        <v>449</v>
      </c>
      <c r="S292" t="s">
        <v>449</v>
      </c>
      <c r="T292" t="s">
        <v>451</v>
      </c>
    </row>
    <row r="293" spans="2:20">
      <c r="B293" s="33">
        <v>1</v>
      </c>
      <c r="C293" s="33"/>
      <c r="D293" t="s">
        <v>698</v>
      </c>
      <c r="E293" t="s">
        <v>391</v>
      </c>
      <c r="F293" t="s">
        <v>381</v>
      </c>
      <c r="G293" t="s">
        <v>381</v>
      </c>
      <c r="H293" t="s">
        <v>448</v>
      </c>
      <c r="J293" s="24">
        <v>80</v>
      </c>
      <c r="K293">
        <v>300.58</v>
      </c>
      <c r="L293" s="21">
        <v>100</v>
      </c>
      <c r="M293" s="21">
        <f xml:space="preserve"> (L293 - K293)/(K293-J293)</f>
        <v>-0.90932994831807057</v>
      </c>
      <c r="N293" s="21">
        <f>K293/L293</f>
        <v>3.0057999999999998</v>
      </c>
      <c r="O293" s="7">
        <v>1.6E-2</v>
      </c>
      <c r="P293" s="7">
        <v>1.6E-2</v>
      </c>
      <c r="Q293" s="33"/>
      <c r="R293" t="s">
        <v>448</v>
      </c>
      <c r="S293" t="s">
        <v>448</v>
      </c>
      <c r="T293" t="s">
        <v>452</v>
      </c>
    </row>
    <row r="294" spans="2:20">
      <c r="B294" s="33">
        <v>1</v>
      </c>
      <c r="C294" s="32">
        <v>14</v>
      </c>
      <c r="D294" t="s">
        <v>189</v>
      </c>
      <c r="E294" t="s">
        <v>393</v>
      </c>
      <c r="F294" t="s">
        <v>383</v>
      </c>
      <c r="G294" t="s">
        <v>383</v>
      </c>
      <c r="H294" t="s">
        <v>448</v>
      </c>
      <c r="J294">
        <v>200</v>
      </c>
      <c r="K294">
        <v>135.35</v>
      </c>
      <c r="L294">
        <v>220</v>
      </c>
      <c r="M294" s="21">
        <f xml:space="preserve"> (L294 - K294)/(K294-J294)</f>
        <v>-1.3093580819798918</v>
      </c>
      <c r="N294" s="21">
        <f>K294/L294</f>
        <v>0.61522727272727273</v>
      </c>
      <c r="O294" s="7">
        <v>2.5999999999999999E-3</v>
      </c>
      <c r="P294" s="7">
        <v>2.5999999999999999E-3</v>
      </c>
      <c r="Q294" s="33" t="s">
        <v>192</v>
      </c>
      <c r="R294" t="s">
        <v>450</v>
      </c>
      <c r="S294" t="s">
        <v>449</v>
      </c>
      <c r="T294" t="s">
        <v>450</v>
      </c>
    </row>
    <row r="295" spans="2:20">
      <c r="B295" s="33">
        <v>1</v>
      </c>
      <c r="C295" s="33"/>
      <c r="D295" t="s">
        <v>91</v>
      </c>
      <c r="E295" t="s">
        <v>399</v>
      </c>
      <c r="F295" t="s">
        <v>380</v>
      </c>
      <c r="G295" t="s">
        <v>380</v>
      </c>
      <c r="H295" t="s">
        <v>448</v>
      </c>
      <c r="J295" s="24">
        <v>440</v>
      </c>
      <c r="K295">
        <v>706.95</v>
      </c>
      <c r="L295" s="21">
        <v>480</v>
      </c>
      <c r="M295" s="21">
        <f xml:space="preserve"> (L295 - K295)/(K295-J295)</f>
        <v>-0.85015920584379101</v>
      </c>
      <c r="N295" s="21">
        <f>K295/L295</f>
        <v>1.4728125000000001</v>
      </c>
      <c r="O295" s="7">
        <v>1.0800000000000001E-2</v>
      </c>
      <c r="P295" s="7">
        <v>1.0800000000000001E-2</v>
      </c>
      <c r="Q295" s="33"/>
      <c r="R295" t="s">
        <v>448</v>
      </c>
      <c r="S295" t="s">
        <v>450</v>
      </c>
      <c r="T295" t="s">
        <v>451</v>
      </c>
    </row>
    <row r="296" spans="2:20">
      <c r="B296" s="33">
        <v>1</v>
      </c>
      <c r="C296" s="33"/>
      <c r="D296" t="s">
        <v>494</v>
      </c>
      <c r="E296" t="s">
        <v>135</v>
      </c>
      <c r="F296" t="s">
        <v>381</v>
      </c>
      <c r="G296" t="s">
        <v>381</v>
      </c>
      <c r="H296" t="s">
        <v>448</v>
      </c>
      <c r="J296" s="21">
        <v>50</v>
      </c>
      <c r="K296">
        <v>91.7</v>
      </c>
      <c r="L296" s="21">
        <v>60</v>
      </c>
      <c r="M296" s="21">
        <f xml:space="preserve"> (L296 - K296)/(K296-J296)</f>
        <v>-0.76019184652278182</v>
      </c>
      <c r="N296" s="21">
        <f>K296/L296</f>
        <v>1.5283333333333333</v>
      </c>
      <c r="O296" s="7">
        <v>6.4199999999999993E-2</v>
      </c>
      <c r="P296" s="7">
        <v>6.4199999999999993E-2</v>
      </c>
      <c r="Q296" s="34"/>
      <c r="R296" t="s">
        <v>450</v>
      </c>
      <c r="S296" t="s">
        <v>449</v>
      </c>
      <c r="T296" t="s">
        <v>451</v>
      </c>
    </row>
    <row r="297" spans="2:20">
      <c r="B297" s="33">
        <v>1</v>
      </c>
      <c r="C297" s="32">
        <v>14</v>
      </c>
      <c r="D297" t="s">
        <v>58</v>
      </c>
      <c r="E297" t="s">
        <v>578</v>
      </c>
      <c r="F297" t="s">
        <v>380</v>
      </c>
      <c r="G297" t="s">
        <v>380</v>
      </c>
      <c r="H297" t="s">
        <v>448</v>
      </c>
      <c r="J297" s="21">
        <v>7</v>
      </c>
      <c r="K297">
        <v>16.96</v>
      </c>
      <c r="L297" s="21">
        <v>8.5</v>
      </c>
      <c r="M297" s="21">
        <f xml:space="preserve"> (L297 - K297)/(K297-J297)</f>
        <v>-0.8493975903614458</v>
      </c>
      <c r="N297" s="21">
        <f>K297/L297</f>
        <v>1.9952941176470589</v>
      </c>
      <c r="O297" s="7">
        <v>3.1600000000000003E-2</v>
      </c>
      <c r="P297" s="7">
        <v>3.1600000000000003E-2</v>
      </c>
      <c r="Q297" s="33" t="s">
        <v>136</v>
      </c>
      <c r="R297" t="s">
        <v>448</v>
      </c>
      <c r="S297" t="s">
        <v>448</v>
      </c>
      <c r="T297" t="s">
        <v>452</v>
      </c>
    </row>
    <row r="298" spans="2:20">
      <c r="B298" s="33">
        <v>1</v>
      </c>
      <c r="C298" s="33"/>
      <c r="D298" t="s">
        <v>783</v>
      </c>
      <c r="E298" t="s">
        <v>317</v>
      </c>
      <c r="F298" t="s">
        <v>380</v>
      </c>
      <c r="G298" t="s">
        <v>380</v>
      </c>
      <c r="H298" t="s">
        <v>449</v>
      </c>
      <c r="I298" s="16"/>
      <c r="J298" s="21">
        <v>60</v>
      </c>
      <c r="K298">
        <v>93.33</v>
      </c>
      <c r="L298" s="21">
        <v>100</v>
      </c>
      <c r="M298" s="21">
        <f xml:space="preserve"> (L298 - K298)/(K298-J298)</f>
        <v>0.20012001200120019</v>
      </c>
      <c r="N298" s="21">
        <f>K298/L298</f>
        <v>0.93330000000000002</v>
      </c>
      <c r="O298" s="7">
        <v>8.5999999999999993E-2</v>
      </c>
      <c r="P298" s="7">
        <v>8.5999999999999993E-2</v>
      </c>
      <c r="Q298" s="33"/>
      <c r="R298" t="s">
        <v>449</v>
      </c>
      <c r="S298" t="s">
        <v>449</v>
      </c>
      <c r="T298" t="s">
        <v>450</v>
      </c>
    </row>
    <row r="299" spans="2:20">
      <c r="B299" s="33">
        <v>1</v>
      </c>
      <c r="C299" s="33"/>
      <c r="D299" t="s">
        <v>811</v>
      </c>
      <c r="E299" t="s">
        <v>230</v>
      </c>
      <c r="F299" t="s">
        <v>380</v>
      </c>
      <c r="G299" t="s">
        <v>380</v>
      </c>
      <c r="H299" t="s">
        <v>449</v>
      </c>
      <c r="J299" s="24">
        <v>2</v>
      </c>
      <c r="K299">
        <v>6.4</v>
      </c>
      <c r="L299" s="21">
        <v>2.5</v>
      </c>
      <c r="M299" s="21">
        <f xml:space="preserve"> (L299 - K299)/(K299-J299)</f>
        <v>-0.88636363636363635</v>
      </c>
      <c r="N299" s="21">
        <f>K299/L299</f>
        <v>2.56</v>
      </c>
      <c r="O299" s="7">
        <v>3.0099999999999998E-2</v>
      </c>
      <c r="P299" s="7">
        <v>3.0099999999999998E-2</v>
      </c>
      <c r="Q299" s="33"/>
      <c r="R299" t="s">
        <v>450</v>
      </c>
      <c r="S299" t="s">
        <v>448</v>
      </c>
      <c r="T299" t="s">
        <v>450</v>
      </c>
    </row>
    <row r="300" spans="2:20">
      <c r="B300" s="33">
        <v>1</v>
      </c>
      <c r="C300" s="33"/>
      <c r="D300" t="s">
        <v>478</v>
      </c>
      <c r="E300" t="s">
        <v>416</v>
      </c>
      <c r="F300" t="s">
        <v>381</v>
      </c>
      <c r="G300" t="s">
        <v>381</v>
      </c>
      <c r="H300" t="s">
        <v>448</v>
      </c>
      <c r="J300" s="21">
        <v>350</v>
      </c>
      <c r="K300">
        <v>813.84</v>
      </c>
      <c r="L300" s="21">
        <v>375</v>
      </c>
      <c r="M300" s="21">
        <f xml:space="preserve"> (L300 - K300)/(K300-J300)</f>
        <v>-0.9461021041738531</v>
      </c>
      <c r="N300" s="21">
        <f>K300/L300</f>
        <v>2.1702400000000002</v>
      </c>
      <c r="O300" s="7">
        <v>6.9999999999999999E-4</v>
      </c>
      <c r="P300" s="7">
        <v>6.9999999999999999E-4</v>
      </c>
      <c r="Q300" s="33"/>
      <c r="R300" t="s">
        <v>450</v>
      </c>
      <c r="S300" t="s">
        <v>448</v>
      </c>
      <c r="T300" t="s">
        <v>450</v>
      </c>
    </row>
    <row r="301" spans="2:20">
      <c r="B301" s="33">
        <v>1</v>
      </c>
      <c r="C301" s="33"/>
      <c r="D301" t="s">
        <v>471</v>
      </c>
      <c r="E301" t="s">
        <v>583</v>
      </c>
      <c r="F301" t="s">
        <v>380</v>
      </c>
      <c r="G301" t="s">
        <v>380</v>
      </c>
      <c r="H301" t="s">
        <v>448</v>
      </c>
      <c r="J301" s="21"/>
      <c r="K301">
        <v>10.43</v>
      </c>
      <c r="L301" s="21"/>
      <c r="M301" s="21"/>
      <c r="N301" s="21" t="e">
        <f>K301/L301</f>
        <v>#DIV/0!</v>
      </c>
      <c r="O301" s="7">
        <v>-1.21E-2</v>
      </c>
      <c r="P301" s="7">
        <v>-1.21E-2</v>
      </c>
      <c r="Q301" s="33"/>
      <c r="R301" t="s">
        <v>450</v>
      </c>
      <c r="S301" t="s">
        <v>449</v>
      </c>
      <c r="T301" t="s">
        <v>452</v>
      </c>
    </row>
    <row r="302" spans="2:20">
      <c r="B302" s="33">
        <v>1</v>
      </c>
      <c r="C302" s="33"/>
      <c r="D302" t="s">
        <v>476</v>
      </c>
      <c r="E302" t="s">
        <v>416</v>
      </c>
      <c r="F302" t="s">
        <v>381</v>
      </c>
      <c r="G302" t="s">
        <v>381</v>
      </c>
      <c r="H302" t="s">
        <v>448</v>
      </c>
      <c r="J302" s="21"/>
      <c r="K302">
        <v>161.46</v>
      </c>
      <c r="L302" s="21"/>
      <c r="M302" s="21"/>
      <c r="N302" s="21" t="e">
        <f>K302/L302</f>
        <v>#DIV/0!</v>
      </c>
      <c r="O302" s="7">
        <v>1.84E-2</v>
      </c>
      <c r="P302" s="7">
        <v>1.84E-2</v>
      </c>
      <c r="Q302" s="33"/>
      <c r="R302" t="s">
        <v>450</v>
      </c>
      <c r="S302" t="s">
        <v>449</v>
      </c>
      <c r="T302" t="s">
        <v>450</v>
      </c>
    </row>
    <row r="303" spans="2:20">
      <c r="B303" s="33">
        <v>1</v>
      </c>
      <c r="C303" s="33"/>
      <c r="D303" t="s">
        <v>239</v>
      </c>
      <c r="E303" t="s">
        <v>707</v>
      </c>
      <c r="F303" t="s">
        <v>384</v>
      </c>
      <c r="G303" t="s">
        <v>384</v>
      </c>
      <c r="H303" t="s">
        <v>448</v>
      </c>
      <c r="J303" s="21">
        <v>70</v>
      </c>
      <c r="K303">
        <v>132.03</v>
      </c>
      <c r="L303" s="21">
        <v>85</v>
      </c>
      <c r="M303" s="21">
        <f xml:space="preserve"> (L303 - K303)/(K303-J303)</f>
        <v>-0.75818152506851522</v>
      </c>
      <c r="N303" s="21">
        <f>K303/L303</f>
        <v>1.5532941176470589</v>
      </c>
      <c r="O303" s="7">
        <v>4.4200000000000003E-2</v>
      </c>
      <c r="P303" s="7">
        <v>4.4200000000000003E-2</v>
      </c>
      <c r="Q303" s="33"/>
      <c r="R303" t="s">
        <v>449</v>
      </c>
      <c r="S303" t="s">
        <v>449</v>
      </c>
      <c r="T303" t="s">
        <v>450</v>
      </c>
    </row>
    <row r="304" spans="2:20">
      <c r="B304" s="33">
        <v>1</v>
      </c>
      <c r="C304" s="33"/>
      <c r="D304" t="s">
        <v>165</v>
      </c>
      <c r="E304" t="s">
        <v>166</v>
      </c>
      <c r="F304" t="s">
        <v>383</v>
      </c>
      <c r="G304" t="s">
        <v>383</v>
      </c>
      <c r="H304" t="s">
        <v>448</v>
      </c>
      <c r="J304" s="24">
        <v>10</v>
      </c>
      <c r="K304">
        <v>10.93</v>
      </c>
      <c r="L304" s="21">
        <v>14</v>
      </c>
      <c r="M304" s="21">
        <f xml:space="preserve"> (L304 - K304)/(K304-J304)</f>
        <v>3.3010752688172058</v>
      </c>
      <c r="N304" s="21">
        <f>K304/L304</f>
        <v>0.78071428571428569</v>
      </c>
      <c r="O304" s="7">
        <v>4.9399999999999999E-2</v>
      </c>
      <c r="P304" s="7">
        <v>4.9399999999999999E-2</v>
      </c>
      <c r="Q304" s="33" t="s">
        <v>166</v>
      </c>
      <c r="R304" t="s">
        <v>448</v>
      </c>
      <c r="S304" t="s">
        <v>448</v>
      </c>
      <c r="T304" t="s">
        <v>450</v>
      </c>
    </row>
    <row r="305" spans="2:20">
      <c r="B305" s="33">
        <v>1</v>
      </c>
      <c r="C305" s="33"/>
      <c r="D305" t="s">
        <v>190</v>
      </c>
      <c r="E305" t="s">
        <v>166</v>
      </c>
      <c r="F305" t="s">
        <v>383</v>
      </c>
      <c r="G305" t="s">
        <v>383</v>
      </c>
      <c r="H305" t="s">
        <v>448</v>
      </c>
      <c r="J305" s="21">
        <v>40.36</v>
      </c>
      <c r="K305">
        <v>58.47</v>
      </c>
      <c r="L305" s="21">
        <v>45</v>
      </c>
      <c r="M305" s="21">
        <f xml:space="preserve"> (L305 - K305)/(K305-J305)</f>
        <v>-0.7437879624516841</v>
      </c>
      <c r="N305" s="21">
        <f>K305/L305</f>
        <v>1.2993333333333332</v>
      </c>
      <c r="O305" s="7">
        <v>-2.5999999999999999E-3</v>
      </c>
      <c r="P305" s="7">
        <v>-2.5999999999999999E-3</v>
      </c>
      <c r="Q305" s="33" t="s">
        <v>191</v>
      </c>
      <c r="R305" t="s">
        <v>448</v>
      </c>
      <c r="S305" t="s">
        <v>448</v>
      </c>
      <c r="T305" t="s">
        <v>450</v>
      </c>
    </row>
    <row r="306" spans="2:20">
      <c r="B306" s="33">
        <v>1</v>
      </c>
      <c r="C306" s="33"/>
      <c r="D306" t="s">
        <v>613</v>
      </c>
      <c r="E306" t="s">
        <v>135</v>
      </c>
      <c r="F306" t="s">
        <v>381</v>
      </c>
      <c r="G306" t="s">
        <v>381</v>
      </c>
      <c r="H306" t="s">
        <v>448</v>
      </c>
      <c r="J306" s="36"/>
      <c r="K306">
        <v>228.35</v>
      </c>
      <c r="L306" s="21"/>
      <c r="M306" s="21"/>
      <c r="N306" s="21" t="e">
        <f>K306/L306</f>
        <v>#DIV/0!</v>
      </c>
      <c r="O306" s="7">
        <v>1.83E-2</v>
      </c>
      <c r="P306" s="7">
        <v>1.83E-2</v>
      </c>
      <c r="Q306" s="33"/>
      <c r="R306" t="s">
        <v>448</v>
      </c>
      <c r="S306" t="s">
        <v>450</v>
      </c>
      <c r="T306" t="s">
        <v>450</v>
      </c>
    </row>
    <row r="307" spans="2:20">
      <c r="B307" s="33">
        <v>1</v>
      </c>
      <c r="C307" s="33"/>
      <c r="D307" t="s">
        <v>228</v>
      </c>
      <c r="E307" t="s">
        <v>390</v>
      </c>
      <c r="F307" t="s">
        <v>383</v>
      </c>
      <c r="G307" t="s">
        <v>383</v>
      </c>
      <c r="H307" t="s">
        <v>448</v>
      </c>
      <c r="I307" s="17">
        <v>154</v>
      </c>
      <c r="J307" s="24">
        <v>140</v>
      </c>
      <c r="K307">
        <v>158.58000000000001</v>
      </c>
      <c r="L307" s="21">
        <v>178</v>
      </c>
      <c r="M307" s="21">
        <f xml:space="preserve"> (L307 - K307)/(K307-J307)</f>
        <v>1.0452099031216349</v>
      </c>
      <c r="N307" s="21"/>
      <c r="O307" s="7">
        <v>-2.9600000000000001E-2</v>
      </c>
      <c r="P307" s="7">
        <v>-2.9600000000000001E-2</v>
      </c>
      <c r="Q307" s="33" t="s">
        <v>109</v>
      </c>
      <c r="R307" t="s">
        <v>448</v>
      </c>
      <c r="S307" t="s">
        <v>448</v>
      </c>
      <c r="T307" t="s">
        <v>452</v>
      </c>
    </row>
    <row r="308" spans="2:20">
      <c r="B308" s="33">
        <v>1</v>
      </c>
      <c r="C308" s="32">
        <v>14</v>
      </c>
      <c r="D308" t="s">
        <v>635</v>
      </c>
      <c r="E308" t="s">
        <v>744</v>
      </c>
      <c r="F308" t="s">
        <v>385</v>
      </c>
      <c r="G308" t="s">
        <v>385</v>
      </c>
      <c r="H308" t="s">
        <v>449</v>
      </c>
      <c r="I308" s="17">
        <v>70</v>
      </c>
      <c r="J308" s="24">
        <v>69</v>
      </c>
      <c r="K308">
        <v>96.27</v>
      </c>
      <c r="L308" s="21">
        <v>73</v>
      </c>
      <c r="M308" s="21">
        <f xml:space="preserve"> (L308 - K308)/(K308-J308)</f>
        <v>-0.85331866519985333</v>
      </c>
      <c r="N308" s="21">
        <f>K308/L308</f>
        <v>1.3187671232876712</v>
      </c>
      <c r="O308" s="7">
        <v>1.89E-2</v>
      </c>
      <c r="P308" s="7">
        <v>1.89E-2</v>
      </c>
      <c r="Q308" s="62"/>
      <c r="R308" t="s">
        <v>448</v>
      </c>
      <c r="S308" t="s">
        <v>449</v>
      </c>
      <c r="T308" t="s">
        <v>452</v>
      </c>
    </row>
    <row r="309" spans="2:20">
      <c r="B309" s="33">
        <v>1</v>
      </c>
      <c r="C309" s="33"/>
      <c r="D309" t="s">
        <v>347</v>
      </c>
      <c r="E309" t="s">
        <v>399</v>
      </c>
      <c r="F309" t="s">
        <v>383</v>
      </c>
      <c r="G309" t="s">
        <v>383</v>
      </c>
      <c r="H309" t="s">
        <v>448</v>
      </c>
      <c r="I309">
        <v>99.6</v>
      </c>
      <c r="J309" s="21">
        <v>95</v>
      </c>
      <c r="K309">
        <v>291.44</v>
      </c>
      <c r="L309" s="21">
        <v>102</v>
      </c>
      <c r="M309" s="21">
        <f xml:space="preserve"> (L309 - K309)/(K309-J309)</f>
        <v>-0.96436570963143964</v>
      </c>
      <c r="N309" s="21">
        <f>K309/L309</f>
        <v>2.8572549019607845</v>
      </c>
      <c r="O309" s="7">
        <v>4.7000000000000002E-3</v>
      </c>
      <c r="P309" s="7">
        <v>4.7000000000000002E-3</v>
      </c>
      <c r="Q309" s="33"/>
      <c r="R309" t="s">
        <v>448</v>
      </c>
      <c r="S309" t="s">
        <v>450</v>
      </c>
      <c r="T309" t="s">
        <v>450</v>
      </c>
    </row>
    <row r="310" spans="2:20">
      <c r="B310" s="33">
        <v>1</v>
      </c>
      <c r="C310" s="33"/>
      <c r="D310" t="s">
        <v>328</v>
      </c>
      <c r="E310" t="s">
        <v>412</v>
      </c>
      <c r="F310" t="s">
        <v>380</v>
      </c>
      <c r="G310" t="s">
        <v>380</v>
      </c>
      <c r="H310" t="s">
        <v>449</v>
      </c>
      <c r="I310" s="17"/>
      <c r="J310" s="24">
        <v>140</v>
      </c>
      <c r="K310">
        <v>225.99</v>
      </c>
      <c r="L310" s="21">
        <v>200</v>
      </c>
      <c r="M310" s="21">
        <f xml:space="preserve"> (L310 - K310)/(K310-J310)</f>
        <v>-0.30224444702872433</v>
      </c>
      <c r="N310" s="21"/>
      <c r="O310" s="7">
        <v>2.7799999999999998E-2</v>
      </c>
      <c r="P310" s="7">
        <v>2.7799999999999998E-2</v>
      </c>
      <c r="Q310" s="33" t="s">
        <v>101</v>
      </c>
      <c r="R310" t="s">
        <v>450</v>
      </c>
      <c r="S310" t="s">
        <v>448</v>
      </c>
      <c r="T310" t="s">
        <v>450</v>
      </c>
    </row>
    <row r="311" spans="2:20">
      <c r="B311" s="33">
        <v>1</v>
      </c>
      <c r="C311" s="33"/>
      <c r="D311" t="s">
        <v>497</v>
      </c>
      <c r="E311" t="s">
        <v>403</v>
      </c>
      <c r="F311" t="s">
        <v>385</v>
      </c>
      <c r="G311" t="s">
        <v>385</v>
      </c>
      <c r="H311" t="s">
        <v>449</v>
      </c>
      <c r="J311" s="21"/>
      <c r="K311">
        <v>31.5</v>
      </c>
      <c r="L311" s="21"/>
      <c r="M311" s="21"/>
      <c r="N311" s="21" t="e">
        <f>K311/L311</f>
        <v>#DIV/0!</v>
      </c>
      <c r="O311" s="7">
        <v>4.5999999999999999E-3</v>
      </c>
      <c r="P311" s="7">
        <v>4.5999999999999999E-3</v>
      </c>
      <c r="Q311" s="34"/>
      <c r="R311" t="s">
        <v>449</v>
      </c>
      <c r="S311" t="s">
        <v>449</v>
      </c>
      <c r="T311" t="s">
        <v>451</v>
      </c>
    </row>
    <row r="312" spans="2:20">
      <c r="B312" s="33">
        <v>1</v>
      </c>
      <c r="C312" s="33"/>
      <c r="D312" t="s">
        <v>506</v>
      </c>
      <c r="E312" t="s">
        <v>407</v>
      </c>
      <c r="F312" t="s">
        <v>386</v>
      </c>
      <c r="G312" t="s">
        <v>386</v>
      </c>
      <c r="H312" t="s">
        <v>449</v>
      </c>
      <c r="J312" s="21">
        <v>6</v>
      </c>
      <c r="K312">
        <v>281.16000000000003</v>
      </c>
      <c r="L312" s="21">
        <v>12</v>
      </c>
      <c r="M312" s="21">
        <f xml:space="preserve"> (L312 - K312)/(K312-J312)</f>
        <v>-0.97819450501526384</v>
      </c>
      <c r="N312" s="21">
        <f>K312/L312</f>
        <v>23.430000000000003</v>
      </c>
      <c r="O312" s="7">
        <v>-3.7000000000000002E-3</v>
      </c>
      <c r="P312" s="7">
        <v>-3.7000000000000002E-3</v>
      </c>
      <c r="Q312" s="33"/>
      <c r="R312" t="s">
        <v>449</v>
      </c>
      <c r="S312" t="s">
        <v>449</v>
      </c>
      <c r="T312" t="s">
        <v>451</v>
      </c>
    </row>
    <row r="313" spans="2:20">
      <c r="B313" s="33">
        <v>1</v>
      </c>
      <c r="C313" s="33"/>
      <c r="D313" t="s">
        <v>713</v>
      </c>
      <c r="E313" t="s">
        <v>455</v>
      </c>
      <c r="F313" t="s">
        <v>381</v>
      </c>
      <c r="G313" t="s">
        <v>381</v>
      </c>
      <c r="H313" t="s">
        <v>449</v>
      </c>
      <c r="I313" s="17"/>
      <c r="J313" s="24">
        <v>70</v>
      </c>
      <c r="K313">
        <v>131.88</v>
      </c>
      <c r="L313" s="21">
        <v>85</v>
      </c>
      <c r="M313" s="21">
        <f xml:space="preserve"> (L313 - K313)/(K313-J313)</f>
        <v>-0.75759534583063992</v>
      </c>
      <c r="N313" s="21">
        <f>K313/L313</f>
        <v>1.5515294117647058</v>
      </c>
      <c r="O313" s="7">
        <v>2.1600000000000001E-2</v>
      </c>
      <c r="P313" s="7">
        <v>2.1600000000000001E-2</v>
      </c>
      <c r="Q313" s="34"/>
      <c r="R313" t="s">
        <v>448</v>
      </c>
      <c r="S313" t="s">
        <v>448</v>
      </c>
      <c r="T313" t="s">
        <v>452</v>
      </c>
    </row>
    <row r="314" spans="2:20">
      <c r="B314" s="33">
        <v>1</v>
      </c>
      <c r="C314" s="33"/>
      <c r="D314" t="s">
        <v>168</v>
      </c>
      <c r="E314" t="s">
        <v>578</v>
      </c>
      <c r="F314" t="s">
        <v>387</v>
      </c>
      <c r="G314" t="s">
        <v>387</v>
      </c>
      <c r="H314" t="s">
        <v>448</v>
      </c>
      <c r="J314" s="21">
        <v>82.55</v>
      </c>
      <c r="K314">
        <v>102.15</v>
      </c>
      <c r="L314" s="21">
        <v>108</v>
      </c>
      <c r="M314" s="21">
        <f xml:space="preserve"> (L314 - K314)/(K314-J314)</f>
        <v>0.29846938775510162</v>
      </c>
      <c r="N314" s="21">
        <f>K314/L314</f>
        <v>0.94583333333333341</v>
      </c>
      <c r="O314" s="7">
        <v>-3.8999999999999998E-3</v>
      </c>
      <c r="P314" s="7">
        <v>-3.8999999999999998E-3</v>
      </c>
      <c r="Q314" s="33" t="s">
        <v>226</v>
      </c>
      <c r="R314" t="s">
        <v>449</v>
      </c>
      <c r="S314" t="s">
        <v>450</v>
      </c>
      <c r="T314" t="s">
        <v>452</v>
      </c>
    </row>
    <row r="315" spans="2:20">
      <c r="B315" s="33">
        <v>1</v>
      </c>
      <c r="C315" s="34"/>
      <c r="D315" t="s">
        <v>825</v>
      </c>
      <c r="E315" t="s">
        <v>425</v>
      </c>
      <c r="F315" t="s">
        <v>381</v>
      </c>
      <c r="G315" t="s">
        <v>381</v>
      </c>
      <c r="H315" t="s">
        <v>448</v>
      </c>
      <c r="I315" s="17"/>
      <c r="J315" s="24">
        <v>30</v>
      </c>
      <c r="K315">
        <v>40.229999999999997</v>
      </c>
      <c r="L315" s="24">
        <v>40</v>
      </c>
      <c r="M315" s="21">
        <f xml:space="preserve"> (L315 - K315)/(K315-J315)</f>
        <v>-2.2482893450635089E-2</v>
      </c>
      <c r="N315" s="21">
        <f>K315/L315</f>
        <v>1.0057499999999999</v>
      </c>
      <c r="O315" s="7">
        <v>3.2800000000000003E-2</v>
      </c>
      <c r="P315" s="7">
        <v>3.2800000000000003E-2</v>
      </c>
      <c r="Q315" s="33"/>
      <c r="R315" t="s">
        <v>450</v>
      </c>
      <c r="S315" t="s">
        <v>449</v>
      </c>
      <c r="T315" t="s">
        <v>451</v>
      </c>
    </row>
    <row r="316" spans="2:20">
      <c r="B316" s="33">
        <v>1</v>
      </c>
      <c r="C316" s="33"/>
      <c r="D316" t="s">
        <v>289</v>
      </c>
      <c r="E316" t="s">
        <v>455</v>
      </c>
      <c r="F316" t="s">
        <v>387</v>
      </c>
      <c r="G316" t="s">
        <v>387</v>
      </c>
      <c r="H316" t="s">
        <v>449</v>
      </c>
      <c r="I316">
        <v>280</v>
      </c>
      <c r="J316" s="21">
        <v>270</v>
      </c>
      <c r="K316">
        <v>459.55</v>
      </c>
      <c r="L316" s="21">
        <v>320</v>
      </c>
      <c r="M316" s="21">
        <f xml:space="preserve"> (L316 - K316)/(K316-J316)</f>
        <v>-0.73621735689791612</v>
      </c>
      <c r="N316" s="21">
        <f>K316/L316</f>
        <v>1.4360937499999999</v>
      </c>
      <c r="O316" s="7">
        <v>2.9000000000000001E-2</v>
      </c>
      <c r="P316" s="7">
        <v>2.9000000000000001E-2</v>
      </c>
      <c r="Q316" s="33"/>
      <c r="R316" t="s">
        <v>450</v>
      </c>
      <c r="S316" t="s">
        <v>449</v>
      </c>
      <c r="T316" t="s">
        <v>450</v>
      </c>
    </row>
    <row r="317" spans="2:20">
      <c r="B317" s="33">
        <v>1</v>
      </c>
      <c r="C317" s="33"/>
      <c r="D317" t="s">
        <v>686</v>
      </c>
      <c r="E317" t="s">
        <v>583</v>
      </c>
      <c r="F317" t="s">
        <v>380</v>
      </c>
      <c r="G317" t="s">
        <v>380</v>
      </c>
      <c r="H317" t="s">
        <v>448</v>
      </c>
      <c r="I317">
        <v>40</v>
      </c>
      <c r="J317" s="21">
        <v>40</v>
      </c>
      <c r="K317">
        <v>36.89</v>
      </c>
      <c r="L317" s="21">
        <v>55</v>
      </c>
      <c r="M317" s="21">
        <f xml:space="preserve"> (L317 - K317)/(K317-J317)</f>
        <v>-5.8231511254019299</v>
      </c>
      <c r="N317" s="21">
        <f>K317/L317</f>
        <v>0.67072727272727273</v>
      </c>
      <c r="O317" s="7">
        <v>-7.4999999999999997E-3</v>
      </c>
      <c r="P317" s="7">
        <v>-7.4999999999999997E-3</v>
      </c>
      <c r="Q317" s="34"/>
      <c r="R317" t="s">
        <v>448</v>
      </c>
      <c r="S317" t="s">
        <v>450</v>
      </c>
      <c r="T317" t="s">
        <v>450</v>
      </c>
    </row>
    <row r="318" spans="2:20">
      <c r="B318" s="33">
        <v>1</v>
      </c>
      <c r="C318" s="33"/>
      <c r="D318" t="s">
        <v>169</v>
      </c>
      <c r="E318" t="s">
        <v>378</v>
      </c>
      <c r="F318" t="s">
        <v>381</v>
      </c>
      <c r="G318" t="s">
        <v>381</v>
      </c>
      <c r="H318" t="s">
        <v>448</v>
      </c>
      <c r="J318" s="21">
        <v>8</v>
      </c>
      <c r="K318">
        <v>9.0399999999999991</v>
      </c>
      <c r="L318" s="21">
        <v>12</v>
      </c>
      <c r="M318" s="21">
        <f xml:space="preserve"> (L318 - K318)/(K318-J318)</f>
        <v>2.8461538461538494</v>
      </c>
      <c r="N318" s="21">
        <f>K318/L318</f>
        <v>0.7533333333333333</v>
      </c>
      <c r="O318" s="7">
        <v>9.9000000000000008E-3</v>
      </c>
      <c r="P318" s="7">
        <v>9.9000000000000008E-3</v>
      </c>
      <c r="Q318" s="33" t="s">
        <v>177</v>
      </c>
      <c r="R318" t="s">
        <v>449</v>
      </c>
      <c r="S318" t="s">
        <v>450</v>
      </c>
      <c r="T318" t="s">
        <v>452</v>
      </c>
    </row>
    <row r="319" spans="2:20">
      <c r="B319" s="33">
        <v>1</v>
      </c>
      <c r="C319" s="33"/>
      <c r="D319" t="s">
        <v>543</v>
      </c>
      <c r="E319" t="s">
        <v>397</v>
      </c>
      <c r="F319" t="s">
        <v>381</v>
      </c>
      <c r="G319" t="s">
        <v>381</v>
      </c>
      <c r="H319" t="s">
        <v>449</v>
      </c>
      <c r="J319" s="21">
        <v>50</v>
      </c>
      <c r="K319">
        <v>72.819999999999993</v>
      </c>
      <c r="L319" s="21">
        <v>55</v>
      </c>
      <c r="M319" s="21">
        <f xml:space="preserve"> (L319 - K319)/(K319-J319)</f>
        <v>-0.78089395267309369</v>
      </c>
      <c r="N319" s="21"/>
      <c r="O319" s="7">
        <v>1.44E-2</v>
      </c>
      <c r="P319" s="7">
        <v>1.44E-2</v>
      </c>
      <c r="Q319" s="33"/>
      <c r="R319" t="s">
        <v>448</v>
      </c>
      <c r="S319" t="s">
        <v>450</v>
      </c>
      <c r="T319" t="s">
        <v>451</v>
      </c>
    </row>
    <row r="320" spans="2:20">
      <c r="B320" s="33">
        <v>1</v>
      </c>
      <c r="C320" s="33"/>
      <c r="D320" t="s">
        <v>647</v>
      </c>
      <c r="E320" t="s">
        <v>378</v>
      </c>
      <c r="F320" t="s">
        <v>385</v>
      </c>
      <c r="G320" t="s">
        <v>385</v>
      </c>
      <c r="H320" t="s">
        <v>448</v>
      </c>
      <c r="J320" s="21">
        <v>14</v>
      </c>
      <c r="K320">
        <v>18.95</v>
      </c>
      <c r="L320" s="21">
        <v>22</v>
      </c>
      <c r="M320" s="21">
        <f xml:space="preserve"> (L320 - K320)/(K320-J320)</f>
        <v>0.61616161616161635</v>
      </c>
      <c r="N320" s="21">
        <f>K320/L320</f>
        <v>0.86136363636363633</v>
      </c>
      <c r="O320" s="7">
        <v>-7.5700000000000003E-2</v>
      </c>
      <c r="P320" s="7">
        <v>-7.5700000000000003E-2</v>
      </c>
      <c r="Q320" s="33"/>
      <c r="R320" t="s">
        <v>450</v>
      </c>
      <c r="S320" t="s">
        <v>449</v>
      </c>
      <c r="T320" t="s">
        <v>452</v>
      </c>
    </row>
    <row r="321" spans="2:20">
      <c r="B321" s="33">
        <v>1</v>
      </c>
      <c r="C321" s="34"/>
      <c r="D321" t="s">
        <v>544</v>
      </c>
      <c r="E321" t="s">
        <v>390</v>
      </c>
      <c r="F321" t="s">
        <v>383</v>
      </c>
      <c r="G321" t="s">
        <v>383</v>
      </c>
      <c r="H321" t="s">
        <v>448</v>
      </c>
      <c r="I321" s="17">
        <v>164</v>
      </c>
      <c r="J321" s="24">
        <v>160</v>
      </c>
      <c r="K321">
        <v>193.8</v>
      </c>
      <c r="L321" s="24">
        <v>180</v>
      </c>
      <c r="M321" s="21">
        <f xml:space="preserve"> (L321 - K321)/(K321-J321)</f>
        <v>-0.40828402366863925</v>
      </c>
      <c r="N321" s="21">
        <f>K321/L321</f>
        <v>1.0766666666666667</v>
      </c>
      <c r="O321" s="7">
        <v>-1.21E-2</v>
      </c>
      <c r="P321" s="7">
        <v>-1.21E-2</v>
      </c>
      <c r="Q321" s="33"/>
      <c r="R321" t="s">
        <v>448</v>
      </c>
      <c r="S321" t="s">
        <v>450</v>
      </c>
      <c r="T321" t="s">
        <v>600</v>
      </c>
    </row>
    <row r="322" spans="2:20">
      <c r="B322" s="33">
        <v>1</v>
      </c>
      <c r="C322" s="33"/>
      <c r="D322" t="s">
        <v>593</v>
      </c>
      <c r="E322" t="s">
        <v>166</v>
      </c>
      <c r="F322" t="s">
        <v>381</v>
      </c>
      <c r="G322" t="s">
        <v>381</v>
      </c>
      <c r="H322" t="s">
        <v>448</v>
      </c>
      <c r="J322" s="21">
        <v>160</v>
      </c>
      <c r="K322">
        <v>120.26</v>
      </c>
      <c r="L322" s="21">
        <v>180</v>
      </c>
      <c r="M322" s="21">
        <f xml:space="preserve"> (L322 - K322)/(K322-J322)</f>
        <v>-1.5032712632108707</v>
      </c>
      <c r="N322" s="21"/>
      <c r="O322" s="7">
        <v>2.0000000000000001E-4</v>
      </c>
      <c r="P322" s="7">
        <v>2.0000000000000001E-4</v>
      </c>
      <c r="Q322" s="33"/>
      <c r="R322" t="s">
        <v>449</v>
      </c>
      <c r="S322" t="s">
        <v>450</v>
      </c>
      <c r="T322" t="s">
        <v>450</v>
      </c>
    </row>
    <row r="323" spans="2:20">
      <c r="B323" s="33">
        <v>1</v>
      </c>
      <c r="C323" s="33"/>
      <c r="D323" s="17" t="s">
        <v>512</v>
      </c>
      <c r="E323" t="s">
        <v>399</v>
      </c>
      <c r="F323" t="s">
        <v>384</v>
      </c>
      <c r="G323" t="s">
        <v>381</v>
      </c>
      <c r="H323" t="s">
        <v>448</v>
      </c>
      <c r="J323" s="21">
        <v>150</v>
      </c>
      <c r="K323">
        <v>195.3</v>
      </c>
      <c r="L323" s="21">
        <v>250</v>
      </c>
      <c r="M323" s="21">
        <f xml:space="preserve"> (L323 - K323)/(K323-J323)</f>
        <v>1.2075055187637964</v>
      </c>
      <c r="N323" s="21">
        <f>K323/L323</f>
        <v>0.78120000000000001</v>
      </c>
      <c r="O323" s="7">
        <v>1.5100000000000001E-2</v>
      </c>
      <c r="P323" s="7">
        <v>1.5100000000000001E-2</v>
      </c>
      <c r="Q323" s="33"/>
      <c r="R323" t="s">
        <v>448</v>
      </c>
      <c r="S323" t="s">
        <v>448</v>
      </c>
      <c r="T323" t="s">
        <v>450</v>
      </c>
    </row>
    <row r="324" spans="2:20">
      <c r="B324" s="33">
        <v>1</v>
      </c>
      <c r="C324" s="33"/>
      <c r="D324" t="s">
        <v>695</v>
      </c>
      <c r="E324" t="s">
        <v>156</v>
      </c>
      <c r="F324" t="s">
        <v>381</v>
      </c>
      <c r="G324" t="s">
        <v>381</v>
      </c>
      <c r="H324" t="s">
        <v>449</v>
      </c>
      <c r="I324" s="41"/>
      <c r="J324" s="21">
        <v>18.5</v>
      </c>
      <c r="K324">
        <v>11.89</v>
      </c>
      <c r="L324" s="21">
        <v>22</v>
      </c>
      <c r="M324" s="21">
        <f xml:space="preserve"> (L324 - K324)/(K324-J324)</f>
        <v>-1.5295007564296521</v>
      </c>
      <c r="N324" s="21">
        <f>K324/L324</f>
        <v>0.54045454545454552</v>
      </c>
      <c r="O324" s="7">
        <v>2.92E-2</v>
      </c>
      <c r="P324" s="7">
        <v>2.92E-2</v>
      </c>
      <c r="Q324" s="33"/>
      <c r="R324" t="s">
        <v>450</v>
      </c>
      <c r="S324" t="s">
        <v>450</v>
      </c>
      <c r="T324" t="s">
        <v>450</v>
      </c>
    </row>
    <row r="325" spans="2:20">
      <c r="B325" s="33">
        <v>1</v>
      </c>
      <c r="C325" s="33"/>
      <c r="D325" t="s">
        <v>779</v>
      </c>
      <c r="E325" t="s">
        <v>513</v>
      </c>
      <c r="F325" t="s">
        <v>384</v>
      </c>
      <c r="G325" t="s">
        <v>384</v>
      </c>
      <c r="H325" t="s">
        <v>448</v>
      </c>
      <c r="I325" s="16"/>
      <c r="J325" s="21">
        <v>1.7</v>
      </c>
      <c r="K325">
        <v>2.73</v>
      </c>
      <c r="L325" s="21">
        <v>4</v>
      </c>
      <c r="M325" s="21">
        <f xml:space="preserve"> (L325 - K325)/(K325-J325)</f>
        <v>1.233009708737864</v>
      </c>
      <c r="N325" s="21">
        <f>K325/L325</f>
        <v>0.6825</v>
      </c>
      <c r="O325" s="7">
        <v>0.12330000000000001</v>
      </c>
      <c r="P325" s="7">
        <v>0.12330000000000001</v>
      </c>
      <c r="Q325" s="34"/>
      <c r="R325" t="s">
        <v>449</v>
      </c>
      <c r="S325" t="s">
        <v>449</v>
      </c>
      <c r="T325" t="s">
        <v>600</v>
      </c>
    </row>
    <row r="326" spans="2:20">
      <c r="B326" s="33">
        <v>1</v>
      </c>
      <c r="C326" s="33"/>
      <c r="D326" t="s">
        <v>22</v>
      </c>
      <c r="E326" t="s">
        <v>390</v>
      </c>
      <c r="F326"/>
      <c r="G326"/>
      <c r="H326" t="s">
        <v>928</v>
      </c>
      <c r="I326" s="138"/>
      <c r="J326" s="24">
        <v>31</v>
      </c>
      <c r="K326">
        <v>0</v>
      </c>
      <c r="L326" s="21">
        <v>35</v>
      </c>
      <c r="M326" s="21">
        <f xml:space="preserve"> (L326 - K326)/(K326-J326)</f>
        <v>-1.1290322580645162</v>
      </c>
      <c r="N326" s="21">
        <f>K326/L326</f>
        <v>0</v>
      </c>
      <c r="O326" s="7">
        <v>-3.2199999999999999E-2</v>
      </c>
      <c r="P326" s="7">
        <v>-3.2199999999999999E-2</v>
      </c>
      <c r="Q326" s="33" t="s">
        <v>181</v>
      </c>
      <c r="R326" t="s">
        <v>448</v>
      </c>
      <c r="S326" t="s">
        <v>450</v>
      </c>
      <c r="T326" t="s">
        <v>450</v>
      </c>
    </row>
    <row r="327" spans="2:20">
      <c r="B327" s="33">
        <v>1</v>
      </c>
      <c r="C327" s="33"/>
      <c r="D327" t="s">
        <v>33</v>
      </c>
      <c r="E327" t="s">
        <v>390</v>
      </c>
      <c r="F327" t="s">
        <v>381</v>
      </c>
      <c r="G327" t="s">
        <v>383</v>
      </c>
      <c r="H327" t="s">
        <v>448</v>
      </c>
      <c r="I327">
        <v>110</v>
      </c>
      <c r="J327" s="21">
        <v>100</v>
      </c>
      <c r="K327">
        <v>164</v>
      </c>
      <c r="L327" s="21">
        <v>120</v>
      </c>
      <c r="M327" s="21">
        <f xml:space="preserve"> (L327 - K327)/(K327-J327)</f>
        <v>-0.6875</v>
      </c>
      <c r="N327" s="21">
        <f>K327/L327</f>
        <v>1.3666666666666667</v>
      </c>
      <c r="O327" s="7">
        <v>-3.9199999999999999E-2</v>
      </c>
      <c r="P327" s="7">
        <v>-3.9199999999999999E-2</v>
      </c>
      <c r="Q327" s="33" t="s">
        <v>109</v>
      </c>
      <c r="R327" t="s">
        <v>448</v>
      </c>
      <c r="S327" t="s">
        <v>448</v>
      </c>
      <c r="T327" t="s">
        <v>452</v>
      </c>
    </row>
    <row r="328" spans="2:20">
      <c r="B328" s="33">
        <v>1</v>
      </c>
      <c r="C328" s="33"/>
      <c r="D328" t="s">
        <v>34</v>
      </c>
      <c r="E328" t="s">
        <v>582</v>
      </c>
      <c r="F328" t="s">
        <v>380</v>
      </c>
      <c r="G328" t="s">
        <v>380</v>
      </c>
      <c r="H328" t="s">
        <v>448</v>
      </c>
      <c r="J328" s="21"/>
      <c r="K328">
        <v>191.73</v>
      </c>
      <c r="L328" s="21"/>
      <c r="M328" s="21"/>
      <c r="N328" s="21" t="e">
        <f>K328/L328</f>
        <v>#DIV/0!</v>
      </c>
      <c r="O328" s="7">
        <v>2.7699999999999999E-2</v>
      </c>
      <c r="P328" s="7">
        <v>2.7699999999999999E-2</v>
      </c>
      <c r="Q328" s="33"/>
      <c r="R328" t="s">
        <v>448</v>
      </c>
      <c r="S328" t="s">
        <v>450</v>
      </c>
      <c r="T328" t="s">
        <v>450</v>
      </c>
    </row>
    <row r="329" spans="2:20">
      <c r="B329" s="33">
        <v>1</v>
      </c>
      <c r="C329" s="33"/>
      <c r="D329" t="s">
        <v>558</v>
      </c>
      <c r="E329" t="s">
        <v>390</v>
      </c>
      <c r="F329" t="s">
        <v>381</v>
      </c>
      <c r="G329" t="s">
        <v>381</v>
      </c>
      <c r="H329" t="s">
        <v>448</v>
      </c>
      <c r="I329">
        <v>14</v>
      </c>
      <c r="J329" s="21">
        <v>13</v>
      </c>
      <c r="K329">
        <v>24.49</v>
      </c>
      <c r="L329" s="21">
        <v>16</v>
      </c>
      <c r="M329" s="21">
        <f xml:space="preserve"> (L329 - K329)/(K329-J329)</f>
        <v>-0.73890339425587459</v>
      </c>
      <c r="N329" s="21">
        <f>K329/L329</f>
        <v>1.5306249999999999</v>
      </c>
      <c r="O329" s="7">
        <v>7.2900000000000006E-2</v>
      </c>
      <c r="P329" s="7">
        <v>7.2900000000000006E-2</v>
      </c>
      <c r="Q329" s="34"/>
      <c r="R329" t="s">
        <v>448</v>
      </c>
      <c r="S329" t="s">
        <v>450</v>
      </c>
      <c r="T329" t="s">
        <v>450</v>
      </c>
    </row>
    <row r="330" spans="2:20">
      <c r="B330" s="33">
        <v>1</v>
      </c>
      <c r="C330" s="60">
        <v>6</v>
      </c>
      <c r="D330" t="s">
        <v>41</v>
      </c>
      <c r="E330" t="s">
        <v>392</v>
      </c>
      <c r="F330" t="s">
        <v>383</v>
      </c>
      <c r="G330" t="s">
        <v>383</v>
      </c>
      <c r="H330" t="s">
        <v>449</v>
      </c>
      <c r="J330" s="21">
        <v>94.5</v>
      </c>
      <c r="K330">
        <v>118.13</v>
      </c>
      <c r="L330" s="21">
        <v>105</v>
      </c>
      <c r="M330" s="21">
        <f xml:space="preserve"> (L330 - K330)/(K330-J330)</f>
        <v>-0.55564959796868374</v>
      </c>
      <c r="N330" s="21">
        <f>K330/L330</f>
        <v>1.1250476190476191</v>
      </c>
      <c r="O330" s="7">
        <v>6.4999999999999997E-3</v>
      </c>
      <c r="P330" s="7">
        <v>6.4999999999999997E-3</v>
      </c>
      <c r="Q330" s="34" t="s">
        <v>104</v>
      </c>
      <c r="R330" t="s">
        <v>448</v>
      </c>
      <c r="S330" t="s">
        <v>448</v>
      </c>
      <c r="T330" t="s">
        <v>450</v>
      </c>
    </row>
    <row r="331" spans="2:20">
      <c r="B331" s="33">
        <v>1</v>
      </c>
      <c r="C331" s="60">
        <v>6</v>
      </c>
      <c r="D331" t="s">
        <v>65</v>
      </c>
      <c r="E331" t="s">
        <v>395</v>
      </c>
      <c r="F331" t="s">
        <v>381</v>
      </c>
      <c r="G331" t="s">
        <v>380</v>
      </c>
      <c r="H331" t="s">
        <v>448</v>
      </c>
      <c r="J331" s="21"/>
      <c r="K331">
        <v>114.19</v>
      </c>
      <c r="L331" s="21"/>
      <c r="M331" s="21"/>
      <c r="N331" s="21" t="e">
        <f>K331/L331</f>
        <v>#DIV/0!</v>
      </c>
      <c r="O331" s="7">
        <v>1.8200000000000001E-2</v>
      </c>
      <c r="P331" s="7">
        <v>1.8200000000000001E-2</v>
      </c>
      <c r="Q331" s="33"/>
      <c r="R331" t="s">
        <v>448</v>
      </c>
      <c r="S331" t="s">
        <v>448</v>
      </c>
      <c r="T331" t="s">
        <v>452</v>
      </c>
    </row>
    <row r="332" spans="2:20">
      <c r="B332" s="33">
        <v>1</v>
      </c>
      <c r="C332" s="33"/>
      <c r="D332" t="s">
        <v>118</v>
      </c>
      <c r="E332" t="s">
        <v>395</v>
      </c>
      <c r="F332" t="s">
        <v>381</v>
      </c>
      <c r="G332" t="s">
        <v>381</v>
      </c>
      <c r="H332" t="s">
        <v>448</v>
      </c>
      <c r="J332" s="21">
        <v>3</v>
      </c>
      <c r="K332">
        <v>13.34</v>
      </c>
      <c r="L332" s="21">
        <v>5.5</v>
      </c>
      <c r="M332" s="21">
        <f xml:space="preserve"> (L332 - K332)/(K332-J332)</f>
        <v>-0.75822050290135401</v>
      </c>
      <c r="N332" s="21">
        <f>K332/L332</f>
        <v>2.4254545454545453</v>
      </c>
      <c r="O332" s="7">
        <v>1.35E-2</v>
      </c>
      <c r="P332" s="7">
        <v>1.35E-2</v>
      </c>
      <c r="Q332" s="33" t="s">
        <v>134</v>
      </c>
      <c r="R332" t="s">
        <v>448</v>
      </c>
      <c r="S332" t="s">
        <v>448</v>
      </c>
      <c r="T332" t="s">
        <v>600</v>
      </c>
    </row>
    <row r="333" spans="2:20">
      <c r="B333" s="33">
        <v>1</v>
      </c>
      <c r="C333" s="33"/>
      <c r="D333" t="s">
        <v>432</v>
      </c>
      <c r="E333" t="s">
        <v>378</v>
      </c>
      <c r="F333" t="s">
        <v>383</v>
      </c>
      <c r="G333" t="s">
        <v>383</v>
      </c>
      <c r="H333" t="s">
        <v>448</v>
      </c>
      <c r="J333" s="21">
        <v>95</v>
      </c>
      <c r="K333">
        <v>235.07</v>
      </c>
      <c r="L333" s="21">
        <v>140</v>
      </c>
      <c r="M333" s="21">
        <f xml:space="preserve"> (L333 - K333)/(K333-J333)</f>
        <v>-0.6787320625401585</v>
      </c>
      <c r="N333" s="21">
        <f>K333/L333</f>
        <v>1.6790714285714285</v>
      </c>
      <c r="O333" s="7">
        <v>-6.4100000000000004E-2</v>
      </c>
      <c r="P333" s="7">
        <v>-6.4100000000000004E-2</v>
      </c>
      <c r="Q333" s="34"/>
      <c r="R333" t="s">
        <v>449</v>
      </c>
      <c r="S333" t="s">
        <v>449</v>
      </c>
      <c r="T333" t="s">
        <v>450</v>
      </c>
    </row>
    <row r="334" spans="2:20">
      <c r="B334" s="33">
        <v>1</v>
      </c>
      <c r="C334" s="33"/>
      <c r="D334" t="s">
        <v>690</v>
      </c>
      <c r="E334" t="s">
        <v>317</v>
      </c>
      <c r="F334" t="s">
        <v>387</v>
      </c>
      <c r="G334" t="s">
        <v>387</v>
      </c>
      <c r="H334" t="s">
        <v>449</v>
      </c>
      <c r="J334" s="21">
        <v>86</v>
      </c>
      <c r="K334">
        <v>148.74</v>
      </c>
      <c r="L334" s="21">
        <v>100</v>
      </c>
      <c r="M334" s="21">
        <f xml:space="preserve"> (L334 - K334)/(K334-J334)</f>
        <v>-0.7768568696206567</v>
      </c>
      <c r="N334" s="21">
        <f>K334/L334</f>
        <v>1.4874000000000001</v>
      </c>
      <c r="O334" s="7">
        <v>2.1999999999999999E-2</v>
      </c>
      <c r="P334" s="7">
        <v>2.1999999999999999E-2</v>
      </c>
      <c r="Q334" s="33"/>
      <c r="R334" t="s">
        <v>448</v>
      </c>
      <c r="S334" t="s">
        <v>450</v>
      </c>
      <c r="T334" t="s">
        <v>452</v>
      </c>
    </row>
    <row r="335" spans="2:20">
      <c r="B335" s="33">
        <v>1</v>
      </c>
      <c r="C335" s="33"/>
      <c r="D335" t="s">
        <v>167</v>
      </c>
      <c r="E335" t="s">
        <v>414</v>
      </c>
      <c r="F335" t="s">
        <v>381</v>
      </c>
      <c r="G335" t="s">
        <v>381</v>
      </c>
      <c r="H335" t="s">
        <v>448</v>
      </c>
      <c r="J335">
        <v>17</v>
      </c>
      <c r="K335">
        <v>25.36</v>
      </c>
      <c r="L335">
        <v>20</v>
      </c>
      <c r="M335" s="21">
        <f xml:space="preserve"> (L335 - K335)/(K335-J335)</f>
        <v>-0.64114832535885169</v>
      </c>
      <c r="N335" s="21">
        <f>K335/L335</f>
        <v>1.268</v>
      </c>
      <c r="O335" s="7">
        <v>-1.2999999999999999E-3</v>
      </c>
      <c r="P335" s="7">
        <v>-1.2999999999999999E-3</v>
      </c>
      <c r="Q335" s="33" t="s">
        <v>210</v>
      </c>
      <c r="R335" t="s">
        <v>448</v>
      </c>
      <c r="S335" t="s">
        <v>448</v>
      </c>
      <c r="T335" t="s">
        <v>452</v>
      </c>
    </row>
    <row r="336" spans="2:20">
      <c r="B336" s="33">
        <v>1</v>
      </c>
      <c r="C336" s="33"/>
      <c r="D336" t="s">
        <v>457</v>
      </c>
      <c r="E336" t="s">
        <v>392</v>
      </c>
      <c r="F336" t="s">
        <v>380</v>
      </c>
      <c r="G336" t="s">
        <v>380</v>
      </c>
      <c r="H336" t="s">
        <v>449</v>
      </c>
      <c r="J336" s="21">
        <v>52</v>
      </c>
      <c r="K336">
        <v>78.33</v>
      </c>
      <c r="L336" s="21">
        <v>65</v>
      </c>
      <c r="M336" s="21">
        <f xml:space="preserve"> (L336 - K336)/(K336-J336)</f>
        <v>-0.50626661602734524</v>
      </c>
      <c r="N336" s="21">
        <f>K336/L336</f>
        <v>1.2050769230769232</v>
      </c>
      <c r="O336" s="7">
        <v>2.8E-3</v>
      </c>
      <c r="P336" s="7">
        <v>2.8E-3</v>
      </c>
      <c r="Q336" s="34"/>
      <c r="R336" t="s">
        <v>449</v>
      </c>
      <c r="S336" t="s">
        <v>448</v>
      </c>
      <c r="T336" t="s">
        <v>451</v>
      </c>
    </row>
    <row r="337" spans="2:20">
      <c r="B337" s="33">
        <v>1</v>
      </c>
      <c r="C337" s="33"/>
      <c r="D337" t="s">
        <v>294</v>
      </c>
      <c r="E337" t="s">
        <v>388</v>
      </c>
      <c r="F337" t="s">
        <v>384</v>
      </c>
      <c r="G337" t="s">
        <v>383</v>
      </c>
      <c r="H337" t="s">
        <v>448</v>
      </c>
      <c r="I337">
        <v>127</v>
      </c>
      <c r="J337" s="21">
        <v>125</v>
      </c>
      <c r="K337">
        <v>232.53</v>
      </c>
      <c r="L337" s="21">
        <v>140</v>
      </c>
      <c r="M337" s="21">
        <f xml:space="preserve"> (L337 - K337)/(K337-J337)</f>
        <v>-0.86050404538268388</v>
      </c>
      <c r="N337" s="21"/>
      <c r="O337" s="7">
        <v>2.6499999999999999E-2</v>
      </c>
      <c r="P337" s="7">
        <v>2.6499999999999999E-2</v>
      </c>
      <c r="Q337" s="33"/>
      <c r="R337" t="s">
        <v>448</v>
      </c>
      <c r="S337" t="s">
        <v>450</v>
      </c>
      <c r="T337" t="s">
        <v>452</v>
      </c>
    </row>
    <row r="338" spans="2:20">
      <c r="B338" s="33">
        <v>1</v>
      </c>
      <c r="C338" s="33"/>
      <c r="D338" t="s">
        <v>188</v>
      </c>
      <c r="E338" t="s">
        <v>415</v>
      </c>
      <c r="F338"/>
      <c r="G338"/>
      <c r="H338" t="s">
        <v>928</v>
      </c>
      <c r="I338" s="17">
        <v>10</v>
      </c>
      <c r="J338" s="24">
        <v>8.5</v>
      </c>
      <c r="K338">
        <v>13.78</v>
      </c>
      <c r="L338" s="21">
        <v>12</v>
      </c>
      <c r="M338" s="21">
        <f xml:space="preserve"> (L338 - K338)/(K338-J338)</f>
        <v>-0.33712121212121204</v>
      </c>
      <c r="N338" s="21"/>
      <c r="O338" s="53">
        <v>0</v>
      </c>
      <c r="P338" s="53">
        <v>0</v>
      </c>
      <c r="Q338" s="33" t="s">
        <v>300</v>
      </c>
      <c r="R338" t="s">
        <v>928</v>
      </c>
      <c r="S338" t="s">
        <v>928</v>
      </c>
      <c r="T338" t="s">
        <v>928</v>
      </c>
    </row>
    <row r="339" spans="2:20">
      <c r="B339" s="33">
        <v>1</v>
      </c>
      <c r="C339" s="33"/>
      <c r="D339" t="s">
        <v>576</v>
      </c>
      <c r="E339" t="s">
        <v>414</v>
      </c>
      <c r="F339" t="s">
        <v>381</v>
      </c>
      <c r="G339" t="s">
        <v>381</v>
      </c>
      <c r="H339" t="s">
        <v>448</v>
      </c>
      <c r="J339" s="21">
        <v>32</v>
      </c>
      <c r="K339">
        <v>47.16</v>
      </c>
      <c r="L339" s="21">
        <v>35</v>
      </c>
      <c r="M339" s="21">
        <f xml:space="preserve"> (L339 - K339)/(K339-J339)</f>
        <v>-0.80211081794195249</v>
      </c>
      <c r="N339" s="21">
        <f>K339/L339</f>
        <v>1.3474285714285714</v>
      </c>
      <c r="O339" s="7">
        <v>5.9999999999999995E-4</v>
      </c>
      <c r="P339" s="7">
        <v>5.9999999999999995E-4</v>
      </c>
      <c r="Q339" s="33"/>
      <c r="R339" t="s">
        <v>450</v>
      </c>
      <c r="S339" t="s">
        <v>450</v>
      </c>
      <c r="T339" t="s">
        <v>450</v>
      </c>
    </row>
    <row r="340" spans="2:20">
      <c r="B340" s="33">
        <v>1</v>
      </c>
      <c r="C340" s="33"/>
      <c r="D340" t="s">
        <v>461</v>
      </c>
      <c r="E340" t="s">
        <v>402</v>
      </c>
      <c r="F340" t="s">
        <v>384</v>
      </c>
      <c r="G340" t="s">
        <v>384</v>
      </c>
      <c r="H340" t="s">
        <v>448</v>
      </c>
      <c r="I340" s="17"/>
      <c r="J340" s="24">
        <v>7.3</v>
      </c>
      <c r="K340">
        <v>12.16</v>
      </c>
      <c r="L340" s="21">
        <v>9</v>
      </c>
      <c r="M340" s="21">
        <f xml:space="preserve"> (L340 - K340)/(K340-J340)</f>
        <v>-0.65020576131687247</v>
      </c>
      <c r="N340" s="21">
        <f>K340/L340</f>
        <v>1.3511111111111112</v>
      </c>
      <c r="O340" s="7">
        <v>3.7499999999999999E-2</v>
      </c>
      <c r="P340" s="7">
        <v>3.7499999999999999E-2</v>
      </c>
      <c r="Q340" s="33"/>
      <c r="R340" t="s">
        <v>448</v>
      </c>
      <c r="S340" t="s">
        <v>448</v>
      </c>
      <c r="T340" t="s">
        <v>452</v>
      </c>
    </row>
    <row r="341" spans="2:20">
      <c r="B341" s="33">
        <v>1</v>
      </c>
      <c r="C341" s="33"/>
      <c r="D341" t="s">
        <v>443</v>
      </c>
      <c r="E341" t="s">
        <v>399</v>
      </c>
      <c r="F341" t="s">
        <v>380</v>
      </c>
      <c r="G341" t="s">
        <v>380</v>
      </c>
      <c r="H341" t="s">
        <v>448</v>
      </c>
      <c r="J341" s="21">
        <v>147</v>
      </c>
      <c r="K341">
        <v>275.16000000000003</v>
      </c>
      <c r="L341" s="21">
        <v>160</v>
      </c>
      <c r="M341" s="21">
        <f xml:space="preserve"> (L341 - K341)/(K341-J341)</f>
        <v>-0.89856429463171039</v>
      </c>
      <c r="N341" s="21">
        <f>K341/L341</f>
        <v>1.7197500000000001</v>
      </c>
      <c r="O341" s="7">
        <v>1.24E-2</v>
      </c>
      <c r="P341" s="7">
        <v>1.24E-2</v>
      </c>
      <c r="Q341" s="33"/>
      <c r="R341" t="s">
        <v>450</v>
      </c>
      <c r="S341" t="s">
        <v>449</v>
      </c>
      <c r="T341" t="s">
        <v>450</v>
      </c>
    </row>
    <row r="342" spans="2:20">
      <c r="B342" s="33">
        <v>1</v>
      </c>
      <c r="C342" s="33"/>
      <c r="D342" t="s">
        <v>344</v>
      </c>
      <c r="E342" t="s">
        <v>399</v>
      </c>
      <c r="F342" t="s">
        <v>380</v>
      </c>
      <c r="G342" t="s">
        <v>380</v>
      </c>
      <c r="H342" t="s">
        <v>448</v>
      </c>
      <c r="J342" s="21">
        <v>206</v>
      </c>
      <c r="K342">
        <v>353.12</v>
      </c>
      <c r="L342" s="21">
        <v>230</v>
      </c>
      <c r="M342" s="21">
        <f xml:space="preserve"> (L342 - K342)/(K342-J342)</f>
        <v>-0.83686786296900495</v>
      </c>
      <c r="N342" s="21"/>
      <c r="O342" s="7">
        <v>1.6500000000000001E-2</v>
      </c>
      <c r="P342" s="7">
        <v>1.6500000000000001E-2</v>
      </c>
      <c r="Q342" s="33"/>
      <c r="R342" t="s">
        <v>448</v>
      </c>
      <c r="S342" t="s">
        <v>450</v>
      </c>
      <c r="T342" t="s">
        <v>451</v>
      </c>
    </row>
    <row r="343" spans="2:20">
      <c r="B343" s="33">
        <v>1</v>
      </c>
      <c r="C343" s="33"/>
      <c r="D343" t="s">
        <v>371</v>
      </c>
      <c r="E343" t="s">
        <v>413</v>
      </c>
      <c r="F343" t="s">
        <v>381</v>
      </c>
      <c r="G343" t="s">
        <v>381</v>
      </c>
      <c r="H343" t="s">
        <v>448</v>
      </c>
      <c r="J343" s="21"/>
      <c r="K343">
        <v>161.69999999999999</v>
      </c>
      <c r="L343" s="21"/>
      <c r="M343" s="21"/>
      <c r="N343" s="21" t="e">
        <f>K343/L343</f>
        <v>#DIV/0!</v>
      </c>
      <c r="O343" s="7">
        <v>1.09E-2</v>
      </c>
      <c r="P343" s="7">
        <v>1.09E-2</v>
      </c>
      <c r="Q343" s="33" t="s">
        <v>372</v>
      </c>
      <c r="R343" t="s">
        <v>448</v>
      </c>
      <c r="S343" t="s">
        <v>450</v>
      </c>
      <c r="T343" t="s">
        <v>600</v>
      </c>
    </row>
    <row r="344" spans="2:20">
      <c r="B344" s="33">
        <v>1</v>
      </c>
      <c r="C344" s="32">
        <v>14</v>
      </c>
      <c r="D344" t="s">
        <v>774</v>
      </c>
      <c r="E344" t="s">
        <v>424</v>
      </c>
      <c r="F344" t="s">
        <v>382</v>
      </c>
      <c r="G344" t="s">
        <v>381</v>
      </c>
      <c r="H344" t="s">
        <v>448</v>
      </c>
      <c r="J344" s="21">
        <v>52</v>
      </c>
      <c r="K344">
        <v>68.150000000000006</v>
      </c>
      <c r="L344" s="21">
        <v>60</v>
      </c>
      <c r="M344" s="21">
        <f xml:space="preserve"> (L344 - K344)/(K344-J344)</f>
        <v>-0.50464396284829738</v>
      </c>
      <c r="N344" s="21">
        <f>K344/L344</f>
        <v>1.1358333333333335</v>
      </c>
      <c r="O344" s="7">
        <v>1.1900000000000001E-2</v>
      </c>
      <c r="P344" s="7">
        <v>1.1900000000000001E-2</v>
      </c>
      <c r="Q344" s="33" t="s">
        <v>878</v>
      </c>
      <c r="R344" t="s">
        <v>448</v>
      </c>
      <c r="S344" t="s">
        <v>450</v>
      </c>
      <c r="T344" t="s">
        <v>452</v>
      </c>
    </row>
    <row r="345" spans="2:20">
      <c r="B345" s="33">
        <v>1</v>
      </c>
      <c r="C345" s="33"/>
      <c r="D345" t="s">
        <v>81</v>
      </c>
      <c r="E345" t="s">
        <v>135</v>
      </c>
      <c r="F345" t="s">
        <v>381</v>
      </c>
      <c r="G345" t="s">
        <v>381</v>
      </c>
      <c r="H345" t="s">
        <v>448</v>
      </c>
      <c r="I345" s="17"/>
      <c r="J345" s="24">
        <v>70</v>
      </c>
      <c r="K345">
        <v>59.29</v>
      </c>
      <c r="L345" s="21">
        <v>90</v>
      </c>
      <c r="M345" s="21">
        <f xml:space="preserve"> (L345 - K345)/(K345-J345)</f>
        <v>-2.8674136321195145</v>
      </c>
      <c r="N345" s="21">
        <f>K345/L345</f>
        <v>0.6587777777777778</v>
      </c>
      <c r="O345" s="7">
        <v>2.24E-2</v>
      </c>
      <c r="P345" s="7">
        <v>2.24E-2</v>
      </c>
      <c r="Q345" s="34" t="s">
        <v>142</v>
      </c>
      <c r="R345" t="s">
        <v>448</v>
      </c>
      <c r="S345" t="s">
        <v>450</v>
      </c>
      <c r="T345" t="s">
        <v>452</v>
      </c>
    </row>
    <row r="346" spans="2:20">
      <c r="B346" s="33">
        <v>1</v>
      </c>
      <c r="C346" s="33"/>
      <c r="D346" t="s">
        <v>704</v>
      </c>
      <c r="E346" t="s">
        <v>459</v>
      </c>
      <c r="F346"/>
      <c r="G346"/>
      <c r="H346" t="s">
        <v>449</v>
      </c>
      <c r="J346" s="21">
        <v>60</v>
      </c>
      <c r="K346">
        <v>57.66</v>
      </c>
      <c r="L346" s="21">
        <v>67.5</v>
      </c>
      <c r="M346" s="21">
        <f xml:space="preserve"> (L346 - K346)/(K346-J346)</f>
        <v>-4.2051282051282008</v>
      </c>
      <c r="N346" s="21"/>
      <c r="O346" s="7">
        <v>-2.9999999999999997E-4</v>
      </c>
      <c r="P346" s="7">
        <v>-2.9999999999999997E-4</v>
      </c>
      <c r="Q346" s="34"/>
      <c r="R346" t="s">
        <v>450</v>
      </c>
      <c r="S346" t="s">
        <v>449</v>
      </c>
      <c r="T346" t="s">
        <v>450</v>
      </c>
    </row>
    <row r="347" spans="2:20">
      <c r="B347" s="33">
        <v>1</v>
      </c>
      <c r="C347" s="33"/>
      <c r="D347" t="s">
        <v>536</v>
      </c>
      <c r="E347" t="s">
        <v>485</v>
      </c>
      <c r="F347"/>
      <c r="G347"/>
      <c r="H347" t="s">
        <v>448</v>
      </c>
      <c r="J347" s="21"/>
      <c r="K347">
        <v>67.28</v>
      </c>
      <c r="L347" s="21"/>
      <c r="M347" s="21"/>
      <c r="N347" s="21" t="e">
        <f>K347/L347</f>
        <v>#DIV/0!</v>
      </c>
      <c r="O347" s="7">
        <v>2.6100000000000002E-2</v>
      </c>
      <c r="P347" s="7">
        <v>2.6100000000000002E-2</v>
      </c>
      <c r="Q347" s="33"/>
      <c r="R347" t="s">
        <v>448</v>
      </c>
      <c r="S347" t="s">
        <v>450</v>
      </c>
      <c r="T347" t="s">
        <v>450</v>
      </c>
    </row>
    <row r="348" spans="2:20">
      <c r="B348" s="33">
        <v>1</v>
      </c>
      <c r="C348" s="33"/>
      <c r="D348" t="s">
        <v>484</v>
      </c>
      <c r="E348" t="s">
        <v>485</v>
      </c>
      <c r="F348"/>
      <c r="G348"/>
      <c r="H348" t="s">
        <v>448</v>
      </c>
      <c r="J348" s="21"/>
      <c r="K348">
        <v>48.3</v>
      </c>
      <c r="L348" s="21"/>
      <c r="M348" s="21"/>
      <c r="N348" s="21" t="e">
        <f>K348/L348</f>
        <v>#DIV/0!</v>
      </c>
      <c r="O348" s="7">
        <v>3.2000000000000002E-3</v>
      </c>
      <c r="P348" s="7">
        <v>3.2000000000000002E-3</v>
      </c>
      <c r="Q348" s="33"/>
      <c r="R348" t="s">
        <v>448</v>
      </c>
      <c r="S348" t="s">
        <v>448</v>
      </c>
      <c r="T348" t="s">
        <v>450</v>
      </c>
    </row>
    <row r="349" spans="2:20">
      <c r="B349" s="33">
        <v>1</v>
      </c>
      <c r="C349" s="33"/>
      <c r="D349" s="17" t="s">
        <v>891</v>
      </c>
      <c r="E349" t="s">
        <v>892</v>
      </c>
      <c r="F349" t="s">
        <v>380</v>
      </c>
      <c r="G349" t="s">
        <v>380</v>
      </c>
      <c r="H349" t="s">
        <v>449</v>
      </c>
      <c r="J349" s="21">
        <v>205</v>
      </c>
      <c r="K349">
        <v>184.15</v>
      </c>
      <c r="L349" s="21">
        <v>250</v>
      </c>
      <c r="M349" s="21">
        <f xml:space="preserve"> (L349 - K349)/(K349-J349)</f>
        <v>-3.1582733812949648</v>
      </c>
      <c r="N349" s="21">
        <f>K349/L349</f>
        <v>0.73660000000000003</v>
      </c>
      <c r="O349" s="7">
        <v>1.23E-2</v>
      </c>
      <c r="P349" s="7">
        <v>1.23E-2</v>
      </c>
      <c r="Q349" s="34"/>
      <c r="R349" t="s">
        <v>449</v>
      </c>
      <c r="S349" t="s">
        <v>449</v>
      </c>
      <c r="T349" t="s">
        <v>600</v>
      </c>
    </row>
    <row r="350" spans="2:20">
      <c r="B350" s="33">
        <v>0</v>
      </c>
      <c r="C350" s="32">
        <v>14</v>
      </c>
      <c r="D350" t="s">
        <v>198</v>
      </c>
      <c r="E350" t="s">
        <v>220</v>
      </c>
      <c r="F350" t="s">
        <v>380</v>
      </c>
      <c r="G350" t="s">
        <v>381</v>
      </c>
      <c r="H350" t="s">
        <v>448</v>
      </c>
      <c r="J350">
        <v>27</v>
      </c>
      <c r="K350">
        <v>17.71</v>
      </c>
      <c r="L350">
        <v>36.619999999999997</v>
      </c>
      <c r="M350" s="21">
        <f xml:space="preserve"> (L350 - K350)/(K350-J350)</f>
        <v>-2.0355220667384284</v>
      </c>
      <c r="N350" s="21">
        <f>K350/L350</f>
        <v>0.48361551064991815</v>
      </c>
      <c r="O350" s="7">
        <v>4.8999999999999998E-3</v>
      </c>
      <c r="P350" s="7">
        <v>4.8999999999999998E-3</v>
      </c>
      <c r="Q350" s="33" t="s">
        <v>220</v>
      </c>
      <c r="R350" t="s">
        <v>448</v>
      </c>
      <c r="S350" t="s">
        <v>448</v>
      </c>
      <c r="T350" t="s">
        <v>452</v>
      </c>
    </row>
    <row r="351" spans="2:20">
      <c r="B351" s="33">
        <v>0</v>
      </c>
      <c r="C351" s="33"/>
      <c r="D351" t="s">
        <v>429</v>
      </c>
      <c r="E351" t="s">
        <v>433</v>
      </c>
      <c r="F351" t="s">
        <v>381</v>
      </c>
      <c r="G351" t="s">
        <v>380</v>
      </c>
      <c r="H351" t="s">
        <v>448</v>
      </c>
      <c r="J351" s="21">
        <v>49.9</v>
      </c>
      <c r="K351">
        <v>7.54</v>
      </c>
      <c r="L351" s="21">
        <v>52.25</v>
      </c>
      <c r="M351" s="21">
        <f xml:space="preserve"> (L351 - K351)/(K351-J351)</f>
        <v>-1.0554768649669499</v>
      </c>
      <c r="N351" s="21">
        <f>K351/L351</f>
        <v>0.14430622009569377</v>
      </c>
      <c r="O351" s="7">
        <v>-2.5000000000000001E-3</v>
      </c>
      <c r="P351" s="7">
        <v>-2.5000000000000001E-3</v>
      </c>
      <c r="Q351" s="33"/>
      <c r="R351" t="s">
        <v>448</v>
      </c>
      <c r="S351" t="s">
        <v>449</v>
      </c>
      <c r="T351" t="s">
        <v>452</v>
      </c>
    </row>
    <row r="352" spans="2:20" ht="17.25" customHeight="1">
      <c r="B352" s="33">
        <v>0</v>
      </c>
      <c r="C352" s="32">
        <v>14</v>
      </c>
      <c r="D352" t="s">
        <v>352</v>
      </c>
      <c r="E352" t="s">
        <v>135</v>
      </c>
      <c r="F352" t="s">
        <v>386</v>
      </c>
      <c r="G352" t="s">
        <v>386</v>
      </c>
      <c r="H352" t="s">
        <v>448</v>
      </c>
      <c r="J352" s="21">
        <v>27.5</v>
      </c>
      <c r="K352">
        <v>29.96</v>
      </c>
      <c r="L352" s="21">
        <v>32.5</v>
      </c>
      <c r="M352" s="21">
        <f xml:space="preserve"> (L352 - K352)/(K352-J352)</f>
        <v>1.0325203252032513</v>
      </c>
      <c r="N352" s="21">
        <f>K352/L352</f>
        <v>0.92184615384615387</v>
      </c>
      <c r="O352" s="7">
        <v>1.3100000000000001E-2</v>
      </c>
      <c r="P352" s="7">
        <v>1.3100000000000001E-2</v>
      </c>
      <c r="Q352" s="33"/>
      <c r="R352" t="s">
        <v>448</v>
      </c>
      <c r="S352" t="s">
        <v>448</v>
      </c>
      <c r="T352" t="s">
        <v>452</v>
      </c>
    </row>
    <row r="353" spans="2:20">
      <c r="B353" s="33">
        <v>0</v>
      </c>
      <c r="C353" s="33"/>
      <c r="D353" t="s">
        <v>640</v>
      </c>
      <c r="E353" t="s">
        <v>412</v>
      </c>
      <c r="F353" t="s">
        <v>387</v>
      </c>
      <c r="G353" t="s">
        <v>387</v>
      </c>
      <c r="H353" t="s">
        <v>449</v>
      </c>
      <c r="I353" s="17"/>
      <c r="J353" s="24">
        <v>81</v>
      </c>
      <c r="K353">
        <v>86.2</v>
      </c>
      <c r="L353" s="21">
        <v>90</v>
      </c>
      <c r="M353" s="21">
        <f xml:space="preserve"> (L353 - K353)/(K353-J353)</f>
        <v>0.73076923076922984</v>
      </c>
      <c r="N353" s="21">
        <f>K353/L353</f>
        <v>0.95777777777777784</v>
      </c>
      <c r="O353" s="7">
        <v>-1.38E-2</v>
      </c>
      <c r="P353" s="7">
        <v>-1.38E-2</v>
      </c>
      <c r="Q353" s="34"/>
      <c r="R353" t="s">
        <v>450</v>
      </c>
      <c r="S353" t="s">
        <v>449</v>
      </c>
      <c r="T353" t="s">
        <v>451</v>
      </c>
    </row>
    <row r="354" spans="2:20">
      <c r="B354" s="33">
        <v>0</v>
      </c>
      <c r="C354" s="33"/>
      <c r="D354" t="s">
        <v>705</v>
      </c>
      <c r="E354" t="s">
        <v>378</v>
      </c>
      <c r="F354" t="s">
        <v>380</v>
      </c>
      <c r="G354" t="s">
        <v>380</v>
      </c>
      <c r="H354" t="s">
        <v>448</v>
      </c>
      <c r="J354" s="21"/>
      <c r="K354">
        <v>13.68</v>
      </c>
      <c r="L354" s="21"/>
      <c r="M354" s="21"/>
      <c r="N354" s="21" t="e">
        <f>K354/L354</f>
        <v>#DIV/0!</v>
      </c>
      <c r="O354" s="7">
        <v>-5.2400000000000002E-2</v>
      </c>
      <c r="P354" s="7">
        <v>-5.2400000000000002E-2</v>
      </c>
      <c r="Q354" s="33"/>
      <c r="R354" t="s">
        <v>449</v>
      </c>
      <c r="S354" t="s">
        <v>449</v>
      </c>
      <c r="T354" t="s">
        <v>450</v>
      </c>
    </row>
    <row r="355" spans="2:20">
      <c r="B355" s="33">
        <v>0</v>
      </c>
      <c r="C355" s="33"/>
      <c r="D355" t="s">
        <v>45</v>
      </c>
      <c r="E355" t="s">
        <v>404</v>
      </c>
      <c r="F355" t="s">
        <v>381</v>
      </c>
      <c r="G355" t="s">
        <v>380</v>
      </c>
      <c r="H355" t="s">
        <v>449</v>
      </c>
      <c r="I355" s="17">
        <v>21.3</v>
      </c>
      <c r="J355" s="24">
        <v>19</v>
      </c>
      <c r="K355">
        <v>27.28</v>
      </c>
      <c r="L355" s="21">
        <v>35</v>
      </c>
      <c r="M355" s="21">
        <f xml:space="preserve"> (L355 - K355)/(K355-J355)</f>
        <v>0.93236714975845381</v>
      </c>
      <c r="N355" s="21">
        <f>K355/L355</f>
        <v>0.77942857142857147</v>
      </c>
      <c r="O355" s="7">
        <v>2.8E-3</v>
      </c>
      <c r="P355" s="7">
        <v>2.8E-3</v>
      </c>
      <c r="Q355" s="33" t="s">
        <v>216</v>
      </c>
      <c r="R355" t="s">
        <v>448</v>
      </c>
      <c r="S355" t="s">
        <v>448</v>
      </c>
      <c r="T355" t="s">
        <v>452</v>
      </c>
    </row>
    <row r="356" spans="2:20">
      <c r="B356" s="33">
        <v>0</v>
      </c>
      <c r="C356" s="33"/>
      <c r="D356" t="s">
        <v>563</v>
      </c>
      <c r="E356" t="s">
        <v>425</v>
      </c>
      <c r="F356" t="s">
        <v>387</v>
      </c>
      <c r="G356" t="s">
        <v>387</v>
      </c>
      <c r="H356" t="s">
        <v>448</v>
      </c>
      <c r="J356" s="21">
        <v>150</v>
      </c>
      <c r="K356">
        <v>96.38</v>
      </c>
      <c r="L356" s="21">
        <v>170</v>
      </c>
      <c r="M356" s="21">
        <f xml:space="preserve"> (L356 - K356)/(K356-J356)</f>
        <v>-1.372995151063036</v>
      </c>
      <c r="N356" s="21">
        <f>K356/L356</f>
        <v>0.56694117647058817</v>
      </c>
      <c r="O356" s="7">
        <v>-3.0000000000000001E-3</v>
      </c>
      <c r="P356" s="7">
        <v>-3.0000000000000001E-3</v>
      </c>
      <c r="Q356" s="33"/>
      <c r="R356" t="s">
        <v>448</v>
      </c>
      <c r="S356" t="s">
        <v>448</v>
      </c>
      <c r="T356" t="s">
        <v>450</v>
      </c>
    </row>
    <row r="357" spans="2:20">
      <c r="B357" s="33">
        <v>0</v>
      </c>
      <c r="C357" s="42">
        <v>7</v>
      </c>
      <c r="D357" t="s">
        <v>233</v>
      </c>
      <c r="E357" t="s">
        <v>220</v>
      </c>
      <c r="F357" t="s">
        <v>380</v>
      </c>
      <c r="G357" t="s">
        <v>380</v>
      </c>
      <c r="H357" t="s">
        <v>448</v>
      </c>
      <c r="J357" s="24">
        <v>105</v>
      </c>
      <c r="K357">
        <v>156.65</v>
      </c>
      <c r="L357" s="21">
        <v>175</v>
      </c>
      <c r="M357" s="21">
        <f xml:space="preserve"> (L357 - K357)/(K357-J357)</f>
        <v>0.35527589545014504</v>
      </c>
      <c r="N357" s="21">
        <f>K357/L357</f>
        <v>0.89514285714285713</v>
      </c>
      <c r="O357" s="7">
        <v>4.6699999999999998E-2</v>
      </c>
      <c r="P357" s="7">
        <v>4.6699999999999998E-2</v>
      </c>
      <c r="Q357" s="33" t="s">
        <v>253</v>
      </c>
      <c r="R357" t="s">
        <v>448</v>
      </c>
      <c r="S357" t="s">
        <v>448</v>
      </c>
      <c r="T357" t="s">
        <v>600</v>
      </c>
    </row>
    <row r="358" spans="2:20">
      <c r="B358" s="33">
        <v>0</v>
      </c>
      <c r="C358" s="33"/>
      <c r="D358" t="s">
        <v>540</v>
      </c>
      <c r="E358" t="s">
        <v>64</v>
      </c>
      <c r="F358" t="s">
        <v>380</v>
      </c>
      <c r="G358" t="s">
        <v>380</v>
      </c>
      <c r="H358" t="s">
        <v>448</v>
      </c>
      <c r="J358" s="21"/>
      <c r="K358">
        <v>262.83</v>
      </c>
      <c r="L358" s="21"/>
      <c r="M358" s="21"/>
      <c r="N358" s="21"/>
      <c r="O358" s="7">
        <v>1.1900000000000001E-2</v>
      </c>
      <c r="P358" s="7">
        <v>1.1900000000000001E-2</v>
      </c>
      <c r="Q358" s="33"/>
      <c r="R358" t="s">
        <v>448</v>
      </c>
      <c r="S358" t="s">
        <v>448</v>
      </c>
      <c r="T358" t="s">
        <v>450</v>
      </c>
    </row>
    <row r="359" spans="2:20">
      <c r="B359" s="33">
        <v>0</v>
      </c>
      <c r="C359" s="33"/>
      <c r="D359" t="s">
        <v>672</v>
      </c>
      <c r="E359" t="s">
        <v>392</v>
      </c>
      <c r="F359" t="s">
        <v>380</v>
      </c>
      <c r="G359" t="s">
        <v>380</v>
      </c>
      <c r="H359" t="s">
        <v>449</v>
      </c>
      <c r="J359" s="21">
        <v>238</v>
      </c>
      <c r="K359">
        <v>210.01</v>
      </c>
      <c r="L359" s="21">
        <v>260</v>
      </c>
      <c r="M359" s="21">
        <f xml:space="preserve"> (L359 - K359)/(K359-J359)</f>
        <v>-1.7859949982136474</v>
      </c>
      <c r="N359" s="21">
        <f>K359/L359</f>
        <v>0.80773076923076914</v>
      </c>
      <c r="O359" s="7">
        <v>-1.6299999999999999E-2</v>
      </c>
      <c r="P359" s="7">
        <v>-1.6299999999999999E-2</v>
      </c>
      <c r="Q359" s="33"/>
      <c r="R359" t="s">
        <v>448</v>
      </c>
      <c r="S359" t="s">
        <v>450</v>
      </c>
      <c r="T359" t="s">
        <v>452</v>
      </c>
    </row>
    <row r="360" spans="2:20">
      <c r="B360" s="33">
        <v>0</v>
      </c>
      <c r="C360" s="33"/>
      <c r="D360" t="s">
        <v>624</v>
      </c>
      <c r="E360" t="s">
        <v>398</v>
      </c>
      <c r="F360" t="s">
        <v>384</v>
      </c>
      <c r="G360" t="s">
        <v>384</v>
      </c>
      <c r="H360" t="s">
        <v>448</v>
      </c>
      <c r="J360" s="21">
        <v>110</v>
      </c>
      <c r="K360">
        <v>146.34</v>
      </c>
      <c r="L360" s="21">
        <v>120</v>
      </c>
      <c r="M360" s="21">
        <f xml:space="preserve"> (L360 - K360)/(K360-J360)</f>
        <v>-0.72482113373692902</v>
      </c>
      <c r="N360" s="21">
        <f>K360/L360</f>
        <v>1.2195</v>
      </c>
      <c r="O360" s="7">
        <v>4.2299999999999997E-2</v>
      </c>
      <c r="P360" s="7">
        <v>4.2299999999999997E-2</v>
      </c>
      <c r="Q360" s="33"/>
      <c r="R360" t="s">
        <v>450</v>
      </c>
      <c r="S360" t="s">
        <v>450</v>
      </c>
      <c r="T360" t="s">
        <v>450</v>
      </c>
    </row>
    <row r="361" spans="2:20">
      <c r="B361" s="33">
        <v>0</v>
      </c>
      <c r="C361" s="32">
        <v>14</v>
      </c>
      <c r="D361" t="s">
        <v>17</v>
      </c>
      <c r="E361" t="s">
        <v>388</v>
      </c>
      <c r="F361" t="s">
        <v>383</v>
      </c>
      <c r="G361" t="s">
        <v>383</v>
      </c>
      <c r="H361" t="s">
        <v>448</v>
      </c>
      <c r="J361" s="21">
        <v>56</v>
      </c>
      <c r="K361">
        <v>60.71</v>
      </c>
      <c r="L361" s="21">
        <v>70</v>
      </c>
      <c r="M361" s="21">
        <f xml:space="preserve"> (L361 - K361)/(K361-J361)</f>
        <v>1.9723991507430993</v>
      </c>
      <c r="N361" s="21">
        <f>K361/L361</f>
        <v>0.86728571428571433</v>
      </c>
      <c r="O361" s="7">
        <v>1.2800000000000001E-2</v>
      </c>
      <c r="P361" s="7">
        <v>1.2800000000000001E-2</v>
      </c>
      <c r="Q361" s="33" t="s">
        <v>97</v>
      </c>
      <c r="R361" t="s">
        <v>448</v>
      </c>
      <c r="S361" t="s">
        <v>450</v>
      </c>
      <c r="T361" t="s">
        <v>450</v>
      </c>
    </row>
    <row r="362" spans="2:20">
      <c r="B362" s="33">
        <v>0</v>
      </c>
      <c r="C362" s="33"/>
      <c r="D362" t="s">
        <v>255</v>
      </c>
      <c r="E362" t="s">
        <v>397</v>
      </c>
      <c r="F362" t="s">
        <v>386</v>
      </c>
      <c r="G362" t="s">
        <v>386</v>
      </c>
      <c r="H362" t="s">
        <v>449</v>
      </c>
      <c r="I362">
        <v>15</v>
      </c>
      <c r="J362" s="21">
        <v>20</v>
      </c>
      <c r="K362">
        <v>14.91</v>
      </c>
      <c r="L362" s="21">
        <v>25</v>
      </c>
      <c r="M362" s="21">
        <f xml:space="preserve"> (L362 - K362)/(K362-J362)</f>
        <v>-1.9823182711198428</v>
      </c>
      <c r="N362" s="21">
        <f>K362/L362</f>
        <v>0.59640000000000004</v>
      </c>
      <c r="O362" s="7">
        <v>0.26640000000000003</v>
      </c>
      <c r="P362" s="7">
        <v>0.26640000000000003</v>
      </c>
      <c r="Q362" s="34" t="s">
        <v>256</v>
      </c>
      <c r="R362" t="s">
        <v>450</v>
      </c>
      <c r="S362" t="s">
        <v>449</v>
      </c>
      <c r="T362" t="s">
        <v>452</v>
      </c>
    </row>
    <row r="363" spans="2:20">
      <c r="B363" s="33">
        <v>0</v>
      </c>
      <c r="C363" s="33"/>
      <c r="D363" t="s">
        <v>87</v>
      </c>
      <c r="E363" t="s">
        <v>397</v>
      </c>
      <c r="F363" t="s">
        <v>385</v>
      </c>
      <c r="G363" t="s">
        <v>385</v>
      </c>
      <c r="H363" t="s">
        <v>449</v>
      </c>
      <c r="J363" s="21">
        <v>400</v>
      </c>
      <c r="K363">
        <v>368.01</v>
      </c>
      <c r="L363" s="21">
        <v>500</v>
      </c>
      <c r="M363" s="21">
        <f xml:space="preserve"> (L363 - K363)/(K363-J363)</f>
        <v>-4.1259768677711772</v>
      </c>
      <c r="N363" s="21">
        <f>K363/L363</f>
        <v>0.73602000000000001</v>
      </c>
      <c r="O363" s="7">
        <v>8.9999999999999998E-4</v>
      </c>
      <c r="P363" s="7">
        <v>8.9999999999999998E-4</v>
      </c>
      <c r="Q363" s="34" t="s">
        <v>136</v>
      </c>
      <c r="R363" t="s">
        <v>449</v>
      </c>
      <c r="S363" t="s">
        <v>449</v>
      </c>
      <c r="T363" t="s">
        <v>450</v>
      </c>
    </row>
    <row r="364" spans="2:20">
      <c r="B364" s="33">
        <v>0</v>
      </c>
      <c r="C364" s="33"/>
      <c r="D364" t="s">
        <v>463</v>
      </c>
      <c r="E364" t="s">
        <v>392</v>
      </c>
      <c r="F364" t="s">
        <v>380</v>
      </c>
      <c r="G364" t="s">
        <v>380</v>
      </c>
      <c r="H364" t="s">
        <v>449</v>
      </c>
      <c r="J364" s="21">
        <v>100</v>
      </c>
      <c r="K364">
        <v>39.96</v>
      </c>
      <c r="L364" s="21">
        <v>110</v>
      </c>
      <c r="M364" s="21">
        <f xml:space="preserve"> (L364 - K364)/(K364-J364)</f>
        <v>-1.1665556295802797</v>
      </c>
      <c r="N364" s="21">
        <f>K364/L364</f>
        <v>0.3632727272727273</v>
      </c>
      <c r="O364" s="7">
        <v>-9.7000000000000003E-3</v>
      </c>
      <c r="P364" s="7">
        <v>-9.7000000000000003E-3</v>
      </c>
      <c r="Q364" s="33"/>
      <c r="R364" t="s">
        <v>450</v>
      </c>
      <c r="S364" t="s">
        <v>448</v>
      </c>
      <c r="T364" t="s">
        <v>450</v>
      </c>
    </row>
    <row r="365" spans="2:20">
      <c r="B365" s="33">
        <v>0</v>
      </c>
      <c r="C365" s="33"/>
      <c r="D365" t="s">
        <v>539</v>
      </c>
      <c r="E365" t="s">
        <v>407</v>
      </c>
      <c r="F365" t="s">
        <v>387</v>
      </c>
      <c r="G365" t="s">
        <v>387</v>
      </c>
      <c r="H365" t="s">
        <v>449</v>
      </c>
      <c r="J365" s="21">
        <v>350</v>
      </c>
      <c r="K365">
        <v>320.85000000000002</v>
      </c>
      <c r="L365" s="21">
        <v>425</v>
      </c>
      <c r="M365" s="21">
        <f xml:space="preserve"> (L365 - K365)/(K365-J365)</f>
        <v>-3.5728987993138959</v>
      </c>
      <c r="N365" s="21">
        <f>K365/L365</f>
        <v>0.75494117647058834</v>
      </c>
      <c r="O365" s="7">
        <v>2.0999999999999999E-3</v>
      </c>
      <c r="P365" s="7">
        <v>2.0999999999999999E-3</v>
      </c>
      <c r="Q365" s="33"/>
      <c r="R365" t="s">
        <v>448</v>
      </c>
      <c r="S365" t="s">
        <v>448</v>
      </c>
      <c r="T365" t="s">
        <v>450</v>
      </c>
    </row>
    <row r="366" spans="2:20">
      <c r="B366" s="33">
        <v>0</v>
      </c>
      <c r="C366" s="33"/>
      <c r="D366" t="s">
        <v>465</v>
      </c>
      <c r="E366" t="s">
        <v>466</v>
      </c>
      <c r="F366" t="s">
        <v>385</v>
      </c>
      <c r="G366" t="s">
        <v>385</v>
      </c>
      <c r="H366" t="s">
        <v>449</v>
      </c>
      <c r="J366" s="21"/>
      <c r="K366">
        <v>474.53</v>
      </c>
      <c r="L366" s="21"/>
      <c r="M366" s="21"/>
      <c r="N366" s="21"/>
      <c r="O366" s="7">
        <v>-9.7999999999999997E-3</v>
      </c>
      <c r="P366" s="7">
        <v>-9.7999999999999997E-3</v>
      </c>
      <c r="Q366" s="34"/>
      <c r="R366" t="s">
        <v>449</v>
      </c>
      <c r="S366" t="s">
        <v>450</v>
      </c>
      <c r="T366" t="s">
        <v>600</v>
      </c>
    </row>
    <row r="367" spans="2:20">
      <c r="B367" s="33">
        <v>0</v>
      </c>
      <c r="C367" s="33"/>
      <c r="D367" t="s">
        <v>604</v>
      </c>
      <c r="E367" t="s">
        <v>606</v>
      </c>
      <c r="F367" t="s">
        <v>386</v>
      </c>
      <c r="G367" t="s">
        <v>386</v>
      </c>
      <c r="H367" t="s">
        <v>449</v>
      </c>
      <c r="I367" s="17">
        <v>300</v>
      </c>
      <c r="J367" s="24">
        <v>280</v>
      </c>
      <c r="K367">
        <v>265.86</v>
      </c>
      <c r="L367" s="21">
        <v>320</v>
      </c>
      <c r="M367" s="21">
        <f xml:space="preserve"> (L367 - K367)/(K367-J367)</f>
        <v>-3.8288543140028315</v>
      </c>
      <c r="N367" s="21">
        <f>I367/L367</f>
        <v>0.9375</v>
      </c>
      <c r="O367" s="7">
        <v>2.7300000000000001E-2</v>
      </c>
      <c r="P367" s="7">
        <v>2.7300000000000001E-2</v>
      </c>
      <c r="Q367" s="34"/>
      <c r="R367" t="s">
        <v>448</v>
      </c>
      <c r="S367" t="s">
        <v>448</v>
      </c>
      <c r="T367" t="s">
        <v>452</v>
      </c>
    </row>
    <row r="368" spans="2:20">
      <c r="B368" s="33">
        <v>0</v>
      </c>
      <c r="C368" s="33"/>
      <c r="D368" t="s">
        <v>86</v>
      </c>
      <c r="E368" t="s">
        <v>392</v>
      </c>
      <c r="F368" t="s">
        <v>385</v>
      </c>
      <c r="G368" t="s">
        <v>385</v>
      </c>
      <c r="H368" t="s">
        <v>449</v>
      </c>
      <c r="J368" s="21">
        <v>138.63999999999999</v>
      </c>
      <c r="K368">
        <v>99.35</v>
      </c>
      <c r="L368" s="21">
        <v>145</v>
      </c>
      <c r="M368" s="21">
        <f xml:space="preserve"> (L368 - K368)/(K368-J368)</f>
        <v>-1.1618732501908886</v>
      </c>
      <c r="N368" s="21">
        <f>K368/L368</f>
        <v>0.68517241379310345</v>
      </c>
      <c r="O368" s="7">
        <v>5.5999999999999999E-3</v>
      </c>
      <c r="P368" s="7">
        <v>5.5999999999999999E-3</v>
      </c>
      <c r="Q368" s="34" t="s">
        <v>104</v>
      </c>
      <c r="R368" t="s">
        <v>448</v>
      </c>
      <c r="S368" t="s">
        <v>448</v>
      </c>
      <c r="T368" t="s">
        <v>452</v>
      </c>
    </row>
    <row r="369" spans="2:20">
      <c r="B369" s="33">
        <v>0</v>
      </c>
      <c r="C369" s="33"/>
      <c r="D369" t="s">
        <v>684</v>
      </c>
      <c r="E369" t="s">
        <v>608</v>
      </c>
      <c r="F369"/>
      <c r="G369"/>
      <c r="H369" t="s">
        <v>928</v>
      </c>
      <c r="J369" s="21">
        <v>32.5</v>
      </c>
      <c r="K369">
        <v>24.57</v>
      </c>
      <c r="L369" s="21">
        <v>41</v>
      </c>
      <c r="M369" s="21">
        <f xml:space="preserve"> (L369 - K369)/(K369-J369)</f>
        <v>-2.0718789407313998</v>
      </c>
      <c r="N369" s="21">
        <f>K369/L369</f>
        <v>0.59926829268292681</v>
      </c>
      <c r="O369" s="53">
        <v>0</v>
      </c>
      <c r="P369" s="53">
        <v>0</v>
      </c>
      <c r="Q369" s="33"/>
      <c r="R369" t="s">
        <v>928</v>
      </c>
      <c r="S369" t="s">
        <v>928</v>
      </c>
      <c r="T369" t="s">
        <v>928</v>
      </c>
    </row>
    <row r="370" spans="2:20">
      <c r="B370" s="33">
        <v>0</v>
      </c>
      <c r="C370" s="33"/>
      <c r="D370" t="s">
        <v>454</v>
      </c>
      <c r="E370" t="s">
        <v>459</v>
      </c>
      <c r="F370" t="s">
        <v>385</v>
      </c>
      <c r="G370" t="s">
        <v>387</v>
      </c>
      <c r="H370" t="s">
        <v>449</v>
      </c>
      <c r="K370">
        <v>27.68</v>
      </c>
      <c r="M370" s="21"/>
      <c r="N370" s="21"/>
      <c r="O370" s="53">
        <v>0</v>
      </c>
      <c r="P370" s="53">
        <v>0</v>
      </c>
      <c r="Q370" s="33"/>
      <c r="R370" t="s">
        <v>449</v>
      </c>
      <c r="S370" t="s">
        <v>448</v>
      </c>
      <c r="T370" t="s">
        <v>452</v>
      </c>
    </row>
    <row r="371" spans="2:20">
      <c r="B371" s="33">
        <v>0</v>
      </c>
      <c r="C371" s="33"/>
      <c r="D371" t="s">
        <v>722</v>
      </c>
      <c r="E371" t="s">
        <v>723</v>
      </c>
      <c r="F371" t="s">
        <v>382</v>
      </c>
      <c r="G371" t="s">
        <v>382</v>
      </c>
      <c r="H371" t="s">
        <v>448</v>
      </c>
      <c r="J371" s="21"/>
      <c r="K371">
        <v>93.45</v>
      </c>
      <c r="L371" s="21"/>
      <c r="M371" s="21"/>
      <c r="N371" s="21"/>
      <c r="O371" s="7">
        <v>1.37E-2</v>
      </c>
      <c r="P371" s="7">
        <v>1.37E-2</v>
      </c>
      <c r="Q371" s="33"/>
      <c r="R371" t="s">
        <v>448</v>
      </c>
      <c r="S371" t="s">
        <v>449</v>
      </c>
      <c r="T371" t="s">
        <v>452</v>
      </c>
    </row>
    <row r="372" spans="2:20">
      <c r="B372" s="33">
        <v>0</v>
      </c>
      <c r="C372" s="33"/>
      <c r="D372" t="s">
        <v>884</v>
      </c>
      <c r="E372" t="s">
        <v>396</v>
      </c>
      <c r="F372" t="s">
        <v>384</v>
      </c>
      <c r="G372" t="s">
        <v>384</v>
      </c>
      <c r="H372" t="s">
        <v>448</v>
      </c>
      <c r="J372" s="21">
        <v>35</v>
      </c>
      <c r="K372">
        <v>52.89</v>
      </c>
      <c r="L372" s="21">
        <v>45</v>
      </c>
      <c r="M372" s="21">
        <f xml:space="preserve"> (L372 - K372)/(K372-J372)</f>
        <v>-0.44102850754611517</v>
      </c>
      <c r="N372" s="21">
        <f>K372/L372</f>
        <v>1.1753333333333333</v>
      </c>
      <c r="O372" s="7">
        <v>-1.0999999999999999E-2</v>
      </c>
      <c r="P372" s="7">
        <v>-1.0999999999999999E-2</v>
      </c>
      <c r="Q372" s="33"/>
      <c r="R372" t="s">
        <v>448</v>
      </c>
      <c r="S372" t="s">
        <v>450</v>
      </c>
      <c r="T372" t="s">
        <v>452</v>
      </c>
    </row>
    <row r="373" spans="2:20">
      <c r="B373" s="33">
        <v>0</v>
      </c>
      <c r="C373" s="33"/>
      <c r="D373" t="s">
        <v>841</v>
      </c>
      <c r="E373" t="s">
        <v>378</v>
      </c>
      <c r="F373" t="s">
        <v>380</v>
      </c>
      <c r="G373" t="s">
        <v>380</v>
      </c>
      <c r="H373" t="s">
        <v>448</v>
      </c>
      <c r="J373" s="21">
        <v>50</v>
      </c>
      <c r="K373">
        <v>33.36</v>
      </c>
      <c r="L373" s="21">
        <v>65</v>
      </c>
      <c r="M373" s="21">
        <f xml:space="preserve"> (L373 - K373)/(K373-J373)</f>
        <v>-1.9014423076923077</v>
      </c>
      <c r="N373" s="21">
        <f>K373/L373</f>
        <v>0.51323076923076927</v>
      </c>
      <c r="O373" s="7">
        <v>1.2800000000000001E-2</v>
      </c>
      <c r="P373" s="7">
        <v>1.2800000000000001E-2</v>
      </c>
      <c r="Q373" s="33"/>
      <c r="R373" t="s">
        <v>450</v>
      </c>
      <c r="S373" t="s">
        <v>449</v>
      </c>
      <c r="T373" t="s">
        <v>451</v>
      </c>
    </row>
    <row r="374" spans="2:20">
      <c r="B374" s="33">
        <v>0</v>
      </c>
      <c r="C374" s="33"/>
      <c r="D374" t="s">
        <v>691</v>
      </c>
      <c r="E374" t="s">
        <v>412</v>
      </c>
      <c r="F374" t="s">
        <v>380</v>
      </c>
      <c r="G374" t="s">
        <v>380</v>
      </c>
      <c r="H374" t="s">
        <v>449</v>
      </c>
      <c r="J374" s="21">
        <v>98</v>
      </c>
      <c r="K374">
        <v>66.930000000000007</v>
      </c>
      <c r="L374" s="21">
        <v>125</v>
      </c>
      <c r="M374" s="21">
        <f xml:space="preserve"> (L374 - K374)/(K374-J374)</f>
        <v>-1.8690054715159319</v>
      </c>
      <c r="N374" s="21">
        <f>K374/L374</f>
        <v>0.53544000000000003</v>
      </c>
      <c r="O374" s="7">
        <v>7.5899999999999995E-2</v>
      </c>
      <c r="P374" s="7">
        <v>7.5899999999999995E-2</v>
      </c>
      <c r="Q374" s="33"/>
      <c r="R374" t="s">
        <v>450</v>
      </c>
      <c r="S374" t="s">
        <v>449</v>
      </c>
      <c r="T374" t="s">
        <v>600</v>
      </c>
    </row>
    <row r="375" spans="2:20">
      <c r="B375" s="33">
        <v>0</v>
      </c>
      <c r="C375" s="33"/>
      <c r="D375" t="s">
        <v>832</v>
      </c>
      <c r="E375" t="s">
        <v>64</v>
      </c>
      <c r="F375" t="s">
        <v>380</v>
      </c>
      <c r="G375" t="s">
        <v>380</v>
      </c>
      <c r="H375" t="s">
        <v>448</v>
      </c>
      <c r="J375" s="21">
        <v>50</v>
      </c>
      <c r="K375">
        <v>86.49</v>
      </c>
      <c r="L375" s="21">
        <v>90</v>
      </c>
      <c r="M375" s="21">
        <f xml:space="preserve"> (L375 - K375)/(K375-J375)</f>
        <v>9.6190737188270911E-2</v>
      </c>
      <c r="N375" s="21">
        <f>K375/L375</f>
        <v>0.96099999999999997</v>
      </c>
      <c r="O375" s="7">
        <v>1.61E-2</v>
      </c>
      <c r="P375" s="7">
        <v>1.61E-2</v>
      </c>
      <c r="Q375" s="33" t="s">
        <v>833</v>
      </c>
      <c r="R375" t="s">
        <v>449</v>
      </c>
      <c r="S375" t="s">
        <v>449</v>
      </c>
      <c r="T375" t="s">
        <v>450</v>
      </c>
    </row>
    <row r="376" spans="2:20">
      <c r="B376" s="33">
        <v>0</v>
      </c>
      <c r="C376" s="33"/>
      <c r="D376" t="s">
        <v>648</v>
      </c>
      <c r="E376" t="s">
        <v>378</v>
      </c>
      <c r="F376" t="s">
        <v>380</v>
      </c>
      <c r="G376" t="s">
        <v>380</v>
      </c>
      <c r="H376" t="s">
        <v>448</v>
      </c>
      <c r="I376" s="17">
        <v>170</v>
      </c>
      <c r="J376" s="24">
        <v>170</v>
      </c>
      <c r="K376">
        <v>319.89999999999998</v>
      </c>
      <c r="L376" s="21">
        <v>183</v>
      </c>
      <c r="M376" s="21">
        <f xml:space="preserve"> (L376 - K376)/(K376-J376)</f>
        <v>-0.91327551701134091</v>
      </c>
      <c r="N376" s="21"/>
      <c r="O376" s="7">
        <v>-3.3999999999999998E-3</v>
      </c>
      <c r="P376" s="7">
        <v>-3.3999999999999998E-3</v>
      </c>
      <c r="Q376" s="34"/>
      <c r="R376" t="s">
        <v>448</v>
      </c>
      <c r="S376" t="s">
        <v>448</v>
      </c>
      <c r="T376" t="s">
        <v>452</v>
      </c>
    </row>
    <row r="377" spans="2:20">
      <c r="B377" s="33">
        <v>0</v>
      </c>
      <c r="C377" s="33"/>
      <c r="D377" t="s">
        <v>180</v>
      </c>
      <c r="E377" t="s">
        <v>390</v>
      </c>
      <c r="F377" t="s">
        <v>381</v>
      </c>
      <c r="G377" t="s">
        <v>381</v>
      </c>
      <c r="H377" t="s">
        <v>448</v>
      </c>
      <c r="I377" s="17">
        <v>47</v>
      </c>
      <c r="J377" s="24">
        <v>45</v>
      </c>
      <c r="K377">
        <v>45.37</v>
      </c>
      <c r="L377" s="21">
        <v>50</v>
      </c>
      <c r="M377" s="21">
        <f xml:space="preserve"> (L377 - K377)/(K377-J377)</f>
        <v>12.513513513513606</v>
      </c>
      <c r="N377" s="21">
        <f>K377/L377</f>
        <v>0.90739999999999998</v>
      </c>
      <c r="O377" s="7">
        <v>5.7999999999999996E-3</v>
      </c>
      <c r="P377" s="7">
        <v>5.7999999999999996E-3</v>
      </c>
      <c r="Q377" s="33" t="s">
        <v>305</v>
      </c>
      <c r="R377" t="s">
        <v>448</v>
      </c>
      <c r="S377" t="s">
        <v>449</v>
      </c>
      <c r="T377" t="s">
        <v>450</v>
      </c>
    </row>
    <row r="378" spans="2:20">
      <c r="B378" s="33">
        <v>0</v>
      </c>
      <c r="C378" s="33"/>
      <c r="D378" t="s">
        <v>462</v>
      </c>
      <c r="E378" t="s">
        <v>220</v>
      </c>
      <c r="F378" t="s">
        <v>381</v>
      </c>
      <c r="G378" t="s">
        <v>381</v>
      </c>
      <c r="H378" t="s">
        <v>448</v>
      </c>
      <c r="J378" s="21">
        <v>84</v>
      </c>
      <c r="K378">
        <v>71.12</v>
      </c>
      <c r="L378" s="21">
        <v>100</v>
      </c>
      <c r="M378" s="21">
        <f xml:space="preserve"> (L378 - K378)/(K378-J378)</f>
        <v>-2.2422360248447211</v>
      </c>
      <c r="N378" s="21">
        <f>K378/L378</f>
        <v>0.71120000000000005</v>
      </c>
      <c r="O378" s="7">
        <v>1.14E-2</v>
      </c>
      <c r="P378" s="7">
        <v>1.14E-2</v>
      </c>
      <c r="Q378" s="33"/>
      <c r="R378" t="s">
        <v>448</v>
      </c>
      <c r="S378" t="s">
        <v>449</v>
      </c>
      <c r="T378" t="s">
        <v>600</v>
      </c>
    </row>
    <row r="379" spans="2:20">
      <c r="B379" s="33">
        <v>0</v>
      </c>
      <c r="C379" s="33"/>
      <c r="D379" t="s">
        <v>812</v>
      </c>
      <c r="E379" t="s">
        <v>513</v>
      </c>
      <c r="F379" t="s">
        <v>380</v>
      </c>
      <c r="G379" t="s">
        <v>380</v>
      </c>
      <c r="H379" t="s">
        <v>448</v>
      </c>
      <c r="J379" s="24">
        <v>45</v>
      </c>
      <c r="K379">
        <v>37.56</v>
      </c>
      <c r="L379" s="21">
        <v>60</v>
      </c>
      <c r="M379" s="21">
        <f xml:space="preserve"> (L379 - K379)/(K379-J379)</f>
        <v>-3.0161290322580649</v>
      </c>
      <c r="N379" s="21">
        <f>K379/L379</f>
        <v>0.626</v>
      </c>
      <c r="O379" s="7">
        <v>-1.55E-2</v>
      </c>
      <c r="P379" s="7">
        <v>-1.55E-2</v>
      </c>
      <c r="Q379" s="33"/>
      <c r="R379" t="s">
        <v>449</v>
      </c>
      <c r="S379" t="s">
        <v>450</v>
      </c>
      <c r="T379" t="s">
        <v>451</v>
      </c>
    </row>
    <row r="380" spans="2:20">
      <c r="B380" s="33">
        <v>0</v>
      </c>
      <c r="C380" s="33"/>
      <c r="D380" t="s">
        <v>370</v>
      </c>
      <c r="E380" t="s">
        <v>402</v>
      </c>
      <c r="F380" t="s">
        <v>381</v>
      </c>
      <c r="G380" t="s">
        <v>381</v>
      </c>
      <c r="H380" t="s">
        <v>448</v>
      </c>
      <c r="I380" s="17"/>
      <c r="J380" s="24">
        <v>14</v>
      </c>
      <c r="K380">
        <v>18.670000000000002</v>
      </c>
      <c r="L380" s="24">
        <v>18</v>
      </c>
      <c r="M380" s="21">
        <f xml:space="preserve"> (L380 - K380)/(K380-J380)</f>
        <v>-0.14346895074946497</v>
      </c>
      <c r="N380" s="21">
        <f>K380/L380</f>
        <v>1.0372222222222223</v>
      </c>
      <c r="O380" s="7">
        <v>1.0500000000000001E-2</v>
      </c>
      <c r="P380" s="7">
        <v>1.0500000000000001E-2</v>
      </c>
      <c r="Q380" s="34"/>
      <c r="R380" t="s">
        <v>448</v>
      </c>
      <c r="S380" t="s">
        <v>450</v>
      </c>
      <c r="T380" t="s">
        <v>450</v>
      </c>
    </row>
    <row r="381" spans="2:20">
      <c r="B381" s="33">
        <v>0</v>
      </c>
      <c r="C381" s="33"/>
      <c r="D381" t="s">
        <v>873</v>
      </c>
      <c r="E381" t="s">
        <v>412</v>
      </c>
      <c r="F381" t="s">
        <v>380</v>
      </c>
      <c r="G381" t="s">
        <v>380</v>
      </c>
      <c r="H381" t="s">
        <v>449</v>
      </c>
      <c r="I381" s="17"/>
      <c r="J381" s="24"/>
      <c r="K381">
        <v>478.02</v>
      </c>
      <c r="L381" s="21"/>
      <c r="M381" s="21"/>
      <c r="N381" s="21"/>
      <c r="O381" s="7">
        <v>1.5100000000000001E-2</v>
      </c>
      <c r="P381" s="7">
        <v>1.5100000000000001E-2</v>
      </c>
      <c r="Q381" s="34"/>
      <c r="R381" t="s">
        <v>449</v>
      </c>
      <c r="S381" t="s">
        <v>450</v>
      </c>
      <c r="T381" t="s">
        <v>452</v>
      </c>
    </row>
    <row r="382" spans="2:20">
      <c r="B382" s="33">
        <v>0</v>
      </c>
      <c r="C382" s="33"/>
      <c r="D382" t="s">
        <v>885</v>
      </c>
      <c r="E382" t="s">
        <v>396</v>
      </c>
      <c r="F382" t="s">
        <v>381</v>
      </c>
      <c r="G382" t="s">
        <v>381</v>
      </c>
      <c r="H382" t="s">
        <v>448</v>
      </c>
      <c r="J382" s="21"/>
      <c r="K382">
        <v>16.510000000000002</v>
      </c>
      <c r="L382" s="21"/>
      <c r="M382" s="21"/>
      <c r="N382" s="21"/>
      <c r="O382" s="7">
        <v>-2.3E-3</v>
      </c>
      <c r="P382" s="7">
        <v>-2.3E-3</v>
      </c>
      <c r="Q382" s="33"/>
      <c r="R382" t="s">
        <v>448</v>
      </c>
      <c r="S382" t="s">
        <v>448</v>
      </c>
      <c r="T382" t="s">
        <v>450</v>
      </c>
    </row>
    <row r="383" spans="2:20">
      <c r="B383" s="33">
        <v>0</v>
      </c>
      <c r="C383" s="33"/>
      <c r="D383" t="s">
        <v>612</v>
      </c>
      <c r="E383" t="s">
        <v>64</v>
      </c>
      <c r="F383" t="s">
        <v>380</v>
      </c>
      <c r="G383" t="s">
        <v>380</v>
      </c>
      <c r="H383" t="s">
        <v>448</v>
      </c>
      <c r="J383" s="21"/>
      <c r="K383">
        <v>357.04</v>
      </c>
      <c r="L383" s="21"/>
      <c r="M383" s="21"/>
      <c r="N383" s="21"/>
      <c r="O383" s="7">
        <v>1.6E-2</v>
      </c>
      <c r="P383" s="7">
        <v>1.6E-2</v>
      </c>
      <c r="Q383" s="33"/>
      <c r="R383" t="s">
        <v>448</v>
      </c>
      <c r="S383" t="s">
        <v>448</v>
      </c>
      <c r="T383" t="s">
        <v>450</v>
      </c>
    </row>
    <row r="384" spans="2:20">
      <c r="B384" s="33">
        <v>0</v>
      </c>
      <c r="C384" s="33"/>
      <c r="D384" t="s">
        <v>354</v>
      </c>
      <c r="E384" t="s">
        <v>407</v>
      </c>
      <c r="F384" t="s">
        <v>385</v>
      </c>
      <c r="G384" t="s">
        <v>385</v>
      </c>
      <c r="H384" t="s">
        <v>449</v>
      </c>
      <c r="J384" s="21">
        <v>77.819999999999993</v>
      </c>
      <c r="K384">
        <v>62.77</v>
      </c>
      <c r="L384" s="21">
        <v>84.95</v>
      </c>
      <c r="M384" s="21">
        <f xml:space="preserve"> (L384 - K384)/(K384-J384)</f>
        <v>-1.4737541528239213</v>
      </c>
      <c r="N384" s="21">
        <f>K384/L384</f>
        <v>0.73890523837551503</v>
      </c>
      <c r="O384" s="7">
        <v>1.43E-2</v>
      </c>
      <c r="P384" s="7">
        <v>1.43E-2</v>
      </c>
      <c r="Q384" s="33"/>
      <c r="R384" t="s">
        <v>449</v>
      </c>
      <c r="S384" t="s">
        <v>450</v>
      </c>
      <c r="T384" t="s">
        <v>450</v>
      </c>
    </row>
    <row r="385" spans="1:20">
      <c r="B385" s="33">
        <v>0</v>
      </c>
      <c r="C385" s="33"/>
      <c r="D385" t="s">
        <v>137</v>
      </c>
      <c r="E385" t="s">
        <v>409</v>
      </c>
      <c r="F385" t="s">
        <v>380</v>
      </c>
      <c r="G385" t="s">
        <v>380</v>
      </c>
      <c r="H385" t="s">
        <v>448</v>
      </c>
      <c r="J385" s="21">
        <v>33</v>
      </c>
      <c r="K385">
        <v>18.27</v>
      </c>
      <c r="L385" s="21">
        <v>38</v>
      </c>
      <c r="M385" s="21">
        <f xml:space="preserve"> (L385 - K385)/(K385-J385)</f>
        <v>-1.3394433129667345</v>
      </c>
      <c r="N385" s="21">
        <f>K385/L385</f>
        <v>0.48078947368421049</v>
      </c>
      <c r="O385" s="7">
        <v>2.07E-2</v>
      </c>
      <c r="P385" s="7">
        <v>2.07E-2</v>
      </c>
      <c r="Q385" s="33" t="s">
        <v>138</v>
      </c>
      <c r="R385" t="s">
        <v>449</v>
      </c>
      <c r="S385" t="s">
        <v>450</v>
      </c>
      <c r="T385" t="s">
        <v>452</v>
      </c>
    </row>
    <row r="386" spans="1:20">
      <c r="B386" s="33">
        <v>0</v>
      </c>
      <c r="C386" s="33"/>
      <c r="D386" t="s">
        <v>627</v>
      </c>
      <c r="E386" t="s">
        <v>466</v>
      </c>
      <c r="F386" t="s">
        <v>380</v>
      </c>
      <c r="G386" t="s">
        <v>380</v>
      </c>
      <c r="H386" t="s">
        <v>449</v>
      </c>
      <c r="J386" s="21"/>
      <c r="K386">
        <v>264.27999999999997</v>
      </c>
      <c r="L386" s="21"/>
      <c r="M386" s="21"/>
      <c r="N386" s="21"/>
      <c r="O386" s="7">
        <v>-0.1226</v>
      </c>
      <c r="P386" s="7">
        <v>-0.1226</v>
      </c>
      <c r="Q386" s="34"/>
      <c r="R386" t="s">
        <v>449</v>
      </c>
      <c r="S386" t="s">
        <v>449</v>
      </c>
      <c r="T386" t="s">
        <v>450</v>
      </c>
    </row>
    <row r="387" spans="1:20">
      <c r="B387" s="33">
        <v>0</v>
      </c>
      <c r="C387" s="33"/>
      <c r="D387" t="s">
        <v>515</v>
      </c>
      <c r="E387" t="s">
        <v>64</v>
      </c>
      <c r="F387" t="s">
        <v>381</v>
      </c>
      <c r="G387" t="s">
        <v>381</v>
      </c>
      <c r="H387" t="s">
        <v>448</v>
      </c>
      <c r="I387">
        <v>325</v>
      </c>
      <c r="J387" s="21">
        <v>300</v>
      </c>
      <c r="K387">
        <v>894.41</v>
      </c>
      <c r="L387" s="21">
        <v>350</v>
      </c>
      <c r="M387" s="21">
        <f xml:space="preserve"> (L387 - K387)/(K387-J387)</f>
        <v>-0.91588297639676319</v>
      </c>
      <c r="N387" s="21">
        <f>K387/L387</f>
        <v>2.5554571428571426</v>
      </c>
      <c r="O387" s="7">
        <v>1.9900000000000001E-2</v>
      </c>
      <c r="P387" s="7">
        <v>1.9900000000000001E-2</v>
      </c>
      <c r="Q387" s="33"/>
      <c r="R387" t="s">
        <v>448</v>
      </c>
      <c r="S387" t="s">
        <v>449</v>
      </c>
      <c r="T387" t="s">
        <v>452</v>
      </c>
    </row>
    <row r="388" spans="1:20">
      <c r="B388" s="33">
        <v>0</v>
      </c>
      <c r="C388" s="33"/>
      <c r="D388" t="s">
        <v>343</v>
      </c>
      <c r="E388" t="s">
        <v>416</v>
      </c>
      <c r="F388" t="s">
        <v>380</v>
      </c>
      <c r="G388" t="s">
        <v>380</v>
      </c>
      <c r="H388" t="s">
        <v>448</v>
      </c>
      <c r="J388" s="21">
        <v>124.02</v>
      </c>
      <c r="K388">
        <v>86.25</v>
      </c>
      <c r="L388" s="21">
        <v>140</v>
      </c>
      <c r="M388" s="21">
        <f xml:space="preserve"> (L388 - K388)/(K388-J388)</f>
        <v>-1.4230871061689172</v>
      </c>
      <c r="N388" s="21">
        <f>K388/L388</f>
        <v>0.6160714285714286</v>
      </c>
      <c r="O388" s="7">
        <v>6.4000000000000003E-3</v>
      </c>
      <c r="P388" s="7">
        <v>6.4000000000000003E-3</v>
      </c>
      <c r="Q388" s="33"/>
      <c r="R388" t="s">
        <v>449</v>
      </c>
      <c r="S388" t="s">
        <v>449</v>
      </c>
      <c r="T388" t="s">
        <v>451</v>
      </c>
    </row>
    <row r="389" spans="1:20">
      <c r="B389" s="33">
        <v>0</v>
      </c>
      <c r="C389" s="33"/>
      <c r="D389" t="s">
        <v>326</v>
      </c>
      <c r="E389" t="s">
        <v>64</v>
      </c>
      <c r="F389" t="s">
        <v>381</v>
      </c>
      <c r="G389" t="s">
        <v>381</v>
      </c>
      <c r="H389" t="s">
        <v>448</v>
      </c>
      <c r="J389" s="21">
        <v>330</v>
      </c>
      <c r="K389">
        <v>680.77</v>
      </c>
      <c r="L389" s="21">
        <v>380</v>
      </c>
      <c r="M389" s="21">
        <f xml:space="preserve"> (L389 - K389)/(K389-J389)</f>
        <v>-0.85745645294637507</v>
      </c>
      <c r="N389" s="21">
        <f>K389/L389</f>
        <v>1.7914999999999999</v>
      </c>
      <c r="O389" s="7">
        <v>2.1000000000000001E-2</v>
      </c>
      <c r="P389" s="7">
        <v>2.1000000000000001E-2</v>
      </c>
      <c r="Q389" s="33" t="s">
        <v>64</v>
      </c>
      <c r="R389" t="s">
        <v>448</v>
      </c>
      <c r="S389" t="s">
        <v>448</v>
      </c>
      <c r="T389" t="s">
        <v>452</v>
      </c>
    </row>
    <row r="390" spans="1:20">
      <c r="B390" s="33">
        <v>0</v>
      </c>
      <c r="C390" s="60">
        <v>6</v>
      </c>
      <c r="D390" t="s">
        <v>523</v>
      </c>
      <c r="E390" t="s">
        <v>415</v>
      </c>
      <c r="F390" t="s">
        <v>387</v>
      </c>
      <c r="G390" t="s">
        <v>387</v>
      </c>
      <c r="H390" t="s">
        <v>448</v>
      </c>
      <c r="J390" s="24">
        <v>350</v>
      </c>
      <c r="K390">
        <v>710.5</v>
      </c>
      <c r="L390" s="21">
        <v>476</v>
      </c>
      <c r="M390" s="21">
        <f xml:space="preserve"> (L390 - K390)/(K390-J390)</f>
        <v>-0.65048543689320393</v>
      </c>
      <c r="N390" s="21">
        <f>K390/L390</f>
        <v>1.4926470588235294</v>
      </c>
      <c r="O390" s="7">
        <v>1E-4</v>
      </c>
      <c r="P390" s="7">
        <v>1E-4</v>
      </c>
      <c r="Q390" s="34"/>
      <c r="R390" t="s">
        <v>450</v>
      </c>
      <c r="S390" t="s">
        <v>449</v>
      </c>
      <c r="T390" t="s">
        <v>452</v>
      </c>
    </row>
    <row r="391" spans="1:20">
      <c r="B391" s="33">
        <v>0</v>
      </c>
      <c r="C391" s="33"/>
      <c r="D391" t="s">
        <v>490</v>
      </c>
      <c r="E391" t="s">
        <v>64</v>
      </c>
      <c r="F391" t="s">
        <v>384</v>
      </c>
      <c r="G391" t="s">
        <v>384</v>
      </c>
      <c r="H391" t="s">
        <v>448</v>
      </c>
      <c r="J391" s="21">
        <v>100</v>
      </c>
      <c r="K391">
        <v>120.42</v>
      </c>
      <c r="L391" s="21">
        <v>116</v>
      </c>
      <c r="M391" s="21">
        <f xml:space="preserve"> (L391 - K391)/(K391-J391)</f>
        <v>-0.21645445641527922</v>
      </c>
      <c r="N391" s="21">
        <f>K391/L391</f>
        <v>1.038103448275862</v>
      </c>
      <c r="O391" s="7">
        <v>1.5800000000000002E-2</v>
      </c>
      <c r="P391" s="7">
        <v>1.5800000000000002E-2</v>
      </c>
      <c r="Q391" s="33"/>
      <c r="R391" t="s">
        <v>449</v>
      </c>
      <c r="S391" t="s">
        <v>449</v>
      </c>
      <c r="T391" t="s">
        <v>450</v>
      </c>
    </row>
    <row r="392" spans="1:20">
      <c r="B392" s="33">
        <v>0</v>
      </c>
      <c r="C392" s="33"/>
      <c r="D392" t="s">
        <v>592</v>
      </c>
      <c r="E392" t="s">
        <v>466</v>
      </c>
      <c r="F392" t="s">
        <v>380</v>
      </c>
      <c r="G392" t="s">
        <v>380</v>
      </c>
      <c r="H392" t="s">
        <v>449</v>
      </c>
      <c r="J392" s="21"/>
      <c r="K392">
        <v>153.52000000000001</v>
      </c>
      <c r="L392" s="21"/>
      <c r="M392" s="21"/>
      <c r="N392" s="21"/>
      <c r="O392" s="7">
        <v>1.6400000000000001E-2</v>
      </c>
      <c r="P392" s="7">
        <v>1.6400000000000001E-2</v>
      </c>
      <c r="Q392" s="33"/>
      <c r="R392" t="s">
        <v>449</v>
      </c>
      <c r="S392" t="s">
        <v>450</v>
      </c>
      <c r="T392" t="s">
        <v>600</v>
      </c>
    </row>
    <row r="393" spans="1:20">
      <c r="B393" s="33">
        <v>0</v>
      </c>
      <c r="C393" s="33"/>
      <c r="D393" t="s">
        <v>434</v>
      </c>
      <c r="E393" t="s">
        <v>406</v>
      </c>
      <c r="F393" t="s">
        <v>381</v>
      </c>
      <c r="G393" t="s">
        <v>381</v>
      </c>
      <c r="H393" t="s">
        <v>448</v>
      </c>
      <c r="J393" s="21">
        <v>41</v>
      </c>
      <c r="K393">
        <v>384.03</v>
      </c>
      <c r="L393" s="21">
        <v>50</v>
      </c>
      <c r="M393" s="21">
        <f xml:space="preserve"> (L393 - K393)/(K393-J393)</f>
        <v>-0.97376322770603152</v>
      </c>
      <c r="N393" s="21">
        <f>K393/L393</f>
        <v>7.6805999999999992</v>
      </c>
      <c r="O393" s="7">
        <v>3.7400000000000003E-2</v>
      </c>
      <c r="P393" s="7">
        <v>3.7400000000000003E-2</v>
      </c>
      <c r="Q393" s="33"/>
      <c r="R393" t="s">
        <v>448</v>
      </c>
      <c r="S393" t="s">
        <v>448</v>
      </c>
      <c r="T393" t="s">
        <v>452</v>
      </c>
    </row>
    <row r="394" spans="1:20">
      <c r="A394" s="21"/>
      <c r="B394" s="33">
        <v>0</v>
      </c>
      <c r="C394" s="33"/>
      <c r="D394" t="s">
        <v>245</v>
      </c>
      <c r="E394" t="s">
        <v>421</v>
      </c>
      <c r="F394" t="s">
        <v>380</v>
      </c>
      <c r="G394" t="s">
        <v>380</v>
      </c>
      <c r="H394" t="s">
        <v>448</v>
      </c>
      <c r="J394" s="21">
        <v>60</v>
      </c>
      <c r="K394">
        <v>58.84</v>
      </c>
      <c r="L394" s="21">
        <v>80</v>
      </c>
      <c r="M394" s="21">
        <f xml:space="preserve"> (L394 - K394)/(K394-J394)</f>
        <v>-18.241379310344879</v>
      </c>
      <c r="N394" s="21">
        <f>K394/L394</f>
        <v>0.73550000000000004</v>
      </c>
      <c r="O394" s="7">
        <v>-1.7399999999999999E-2</v>
      </c>
      <c r="P394" s="7">
        <v>-1.7399999999999999E-2</v>
      </c>
      <c r="Q394" s="34"/>
      <c r="R394" t="s">
        <v>448</v>
      </c>
      <c r="S394" t="s">
        <v>450</v>
      </c>
      <c r="T394" t="s">
        <v>452</v>
      </c>
    </row>
    <row r="395" spans="1:20">
      <c r="B395" s="33">
        <v>0</v>
      </c>
      <c r="C395" s="33"/>
      <c r="D395" t="s">
        <v>917</v>
      </c>
      <c r="E395" t="s">
        <v>388</v>
      </c>
      <c r="F395" t="s">
        <v>381</v>
      </c>
      <c r="G395" t="s">
        <v>381</v>
      </c>
      <c r="H395" t="s">
        <v>448</v>
      </c>
      <c r="J395" s="21">
        <v>70</v>
      </c>
      <c r="K395">
        <v>89.28</v>
      </c>
      <c r="L395" s="21">
        <v>80</v>
      </c>
      <c r="M395" s="21">
        <f xml:space="preserve"> (L395 - K395)/(K395-J395)</f>
        <v>-0.48132780082987553</v>
      </c>
      <c r="N395" s="21">
        <f>K395/L395</f>
        <v>1.1160000000000001</v>
      </c>
      <c r="O395" s="7">
        <v>1.78E-2</v>
      </c>
      <c r="P395" s="7">
        <v>1.78E-2</v>
      </c>
      <c r="Q395" s="34"/>
      <c r="R395" t="s">
        <v>448</v>
      </c>
      <c r="S395" t="s">
        <v>450</v>
      </c>
      <c r="T395" t="s">
        <v>452</v>
      </c>
    </row>
    <row r="396" spans="1:20">
      <c r="B396" s="33">
        <v>0</v>
      </c>
      <c r="C396" s="33"/>
      <c r="D396" t="s">
        <v>456</v>
      </c>
      <c r="E396" t="s">
        <v>378</v>
      </c>
      <c r="F396" t="s">
        <v>385</v>
      </c>
      <c r="G396" t="s">
        <v>385</v>
      </c>
      <c r="H396" t="s">
        <v>448</v>
      </c>
      <c r="J396" s="21">
        <v>205</v>
      </c>
      <c r="K396">
        <v>202.99</v>
      </c>
      <c r="L396" s="21">
        <v>220</v>
      </c>
      <c r="M396" s="21">
        <f xml:space="preserve"> (L396 - K396)/(K396-J396)</f>
        <v>-8.4626865671642122</v>
      </c>
      <c r="N396" s="21">
        <f>K396/L396</f>
        <v>0.92268181818181827</v>
      </c>
      <c r="O396" s="7">
        <v>-6.4000000000000003E-3</v>
      </c>
      <c r="P396" s="7">
        <v>-6.4000000000000003E-3</v>
      </c>
      <c r="Q396" s="33"/>
      <c r="R396" t="s">
        <v>448</v>
      </c>
      <c r="S396" t="s">
        <v>448</v>
      </c>
      <c r="T396" t="s">
        <v>452</v>
      </c>
    </row>
    <row r="397" spans="1:20">
      <c r="B397" s="33">
        <v>0</v>
      </c>
      <c r="C397" s="33"/>
      <c r="D397" t="s">
        <v>689</v>
      </c>
      <c r="E397" t="s">
        <v>404</v>
      </c>
      <c r="F397" t="s">
        <v>385</v>
      </c>
      <c r="G397" t="s">
        <v>387</v>
      </c>
      <c r="H397" t="s">
        <v>449</v>
      </c>
      <c r="J397" s="21">
        <v>32</v>
      </c>
      <c r="K397">
        <v>53.22</v>
      </c>
      <c r="L397" s="21">
        <v>44</v>
      </c>
      <c r="M397" s="21">
        <f xml:space="preserve"> (L397 - K397)/(K397-J397)</f>
        <v>-0.43449575871819035</v>
      </c>
      <c r="N397" s="21">
        <f>K397/L397</f>
        <v>1.2095454545454545</v>
      </c>
      <c r="O397" s="7">
        <v>-1.0699999999999999E-2</v>
      </c>
      <c r="P397" s="7">
        <v>-1.0699999999999999E-2</v>
      </c>
      <c r="Q397" s="33"/>
      <c r="R397" t="s">
        <v>450</v>
      </c>
      <c r="S397" t="s">
        <v>448</v>
      </c>
      <c r="T397" t="s">
        <v>450</v>
      </c>
    </row>
    <row r="398" spans="1:20">
      <c r="B398" s="33">
        <v>0</v>
      </c>
      <c r="C398" s="33"/>
      <c r="D398" t="s">
        <v>530</v>
      </c>
      <c r="E398" t="s">
        <v>422</v>
      </c>
      <c r="F398" t="s">
        <v>387</v>
      </c>
      <c r="G398" t="s">
        <v>387</v>
      </c>
      <c r="H398" t="s">
        <v>448</v>
      </c>
      <c r="J398" s="21">
        <v>220</v>
      </c>
      <c r="K398">
        <v>214.94</v>
      </c>
      <c r="L398" s="21">
        <v>240</v>
      </c>
      <c r="M398" s="21">
        <f xml:space="preserve"> (L398 - K398)/(K398-J398)</f>
        <v>-4.9525691699604728</v>
      </c>
      <c r="N398" s="21">
        <f>K398/L398</f>
        <v>0.89558333333333329</v>
      </c>
      <c r="O398" s="7">
        <v>1.7899999999999999E-2</v>
      </c>
      <c r="P398" s="7">
        <v>1.7899999999999999E-2</v>
      </c>
      <c r="Q398" s="33"/>
      <c r="R398" t="s">
        <v>449</v>
      </c>
      <c r="S398" t="s">
        <v>449</v>
      </c>
      <c r="T398" t="s">
        <v>451</v>
      </c>
    </row>
    <row r="399" spans="1:20">
      <c r="B399" s="33">
        <v>0</v>
      </c>
      <c r="C399" s="42">
        <v>7</v>
      </c>
      <c r="D399" t="s">
        <v>866</v>
      </c>
      <c r="E399" t="s">
        <v>716</v>
      </c>
      <c r="F399" t="s">
        <v>380</v>
      </c>
      <c r="G399" t="s">
        <v>386</v>
      </c>
      <c r="H399" t="s">
        <v>449</v>
      </c>
      <c r="J399" s="21">
        <v>87</v>
      </c>
      <c r="K399">
        <v>106.08</v>
      </c>
      <c r="L399" s="21">
        <v>97</v>
      </c>
      <c r="M399" s="21">
        <f xml:space="preserve"> (L399 - K399)/(K399-J399)</f>
        <v>-0.47589098532494756</v>
      </c>
      <c r="N399" s="21">
        <f>K399/L399</f>
        <v>1.0936082474226805</v>
      </c>
      <c r="O399" s="7">
        <v>1.49E-2</v>
      </c>
      <c r="P399" s="7">
        <v>1.49E-2</v>
      </c>
      <c r="Q399" s="34"/>
      <c r="R399" t="s">
        <v>448</v>
      </c>
      <c r="S399" t="s">
        <v>448</v>
      </c>
      <c r="T399" t="s">
        <v>452</v>
      </c>
    </row>
    <row r="400" spans="1:20">
      <c r="B400" s="33">
        <v>0</v>
      </c>
      <c r="C400" s="33"/>
      <c r="D400" t="s">
        <v>739</v>
      </c>
      <c r="E400" t="s">
        <v>582</v>
      </c>
      <c r="F400" t="s">
        <v>380</v>
      </c>
      <c r="G400" t="s">
        <v>380</v>
      </c>
      <c r="H400" t="s">
        <v>448</v>
      </c>
      <c r="J400" s="21">
        <v>375</v>
      </c>
      <c r="K400">
        <v>183.89</v>
      </c>
      <c r="L400" s="21">
        <v>425</v>
      </c>
      <c r="M400" s="21">
        <f xml:space="preserve"> (L400 - K400)/(K400-J400)</f>
        <v>-1.2616294280780702</v>
      </c>
      <c r="N400" s="21">
        <f>K400/L400</f>
        <v>0.43268235294117646</v>
      </c>
      <c r="O400" s="7">
        <v>4.1500000000000002E-2</v>
      </c>
      <c r="P400" s="7">
        <v>4.1500000000000002E-2</v>
      </c>
      <c r="Q400" s="34"/>
      <c r="R400" t="s">
        <v>448</v>
      </c>
      <c r="S400" t="s">
        <v>448</v>
      </c>
      <c r="T400" t="s">
        <v>450</v>
      </c>
    </row>
    <row r="401" spans="2:20">
      <c r="B401" s="33">
        <v>0</v>
      </c>
      <c r="C401" s="33"/>
      <c r="D401" t="s">
        <v>887</v>
      </c>
      <c r="E401" t="s">
        <v>230</v>
      </c>
      <c r="F401" t="s">
        <v>387</v>
      </c>
      <c r="G401" t="s">
        <v>387</v>
      </c>
      <c r="H401" t="s">
        <v>449</v>
      </c>
      <c r="J401" s="21"/>
      <c r="K401">
        <v>15.76</v>
      </c>
      <c r="L401" s="21"/>
      <c r="M401" s="21"/>
      <c r="N401" s="21" t="e">
        <f>K401/L401</f>
        <v>#DIV/0!</v>
      </c>
      <c r="O401" s="7">
        <v>4.5199999999999997E-2</v>
      </c>
      <c r="P401" s="7">
        <v>4.5199999999999997E-2</v>
      </c>
      <c r="Q401" s="33" t="s">
        <v>890</v>
      </c>
      <c r="R401" t="s">
        <v>449</v>
      </c>
      <c r="S401" t="s">
        <v>449</v>
      </c>
      <c r="T401" t="s">
        <v>450</v>
      </c>
    </row>
    <row r="402" spans="2:20">
      <c r="B402" s="33">
        <v>0</v>
      </c>
      <c r="C402" s="33"/>
      <c r="D402" t="s">
        <v>54</v>
      </c>
      <c r="E402" t="s">
        <v>392</v>
      </c>
      <c r="F402" t="s">
        <v>380</v>
      </c>
      <c r="G402" t="s">
        <v>385</v>
      </c>
      <c r="H402" t="s">
        <v>449</v>
      </c>
      <c r="J402" s="21">
        <v>44.87</v>
      </c>
      <c r="K402">
        <v>22.16</v>
      </c>
      <c r="L402" s="21">
        <v>49</v>
      </c>
      <c r="M402" s="21">
        <f xml:space="preserve"> (L402 - K402)/(K402-J402)</f>
        <v>-1.1818582122413035</v>
      </c>
      <c r="N402" s="21">
        <f>K402/L402</f>
        <v>0.45224489795918366</v>
      </c>
      <c r="O402" s="7">
        <v>1.4500000000000001E-2</v>
      </c>
      <c r="P402" s="7">
        <v>1.4500000000000001E-2</v>
      </c>
      <c r="Q402" s="33" t="s">
        <v>104</v>
      </c>
      <c r="R402" t="s">
        <v>450</v>
      </c>
      <c r="S402" t="s">
        <v>449</v>
      </c>
      <c r="T402" t="s">
        <v>451</v>
      </c>
    </row>
    <row r="403" spans="2:20">
      <c r="B403" s="33">
        <v>0</v>
      </c>
      <c r="C403" s="33"/>
      <c r="D403" t="s">
        <v>626</v>
      </c>
      <c r="E403" t="s">
        <v>378</v>
      </c>
      <c r="F403" t="s">
        <v>386</v>
      </c>
      <c r="G403" t="s">
        <v>386</v>
      </c>
      <c r="H403" t="s">
        <v>448</v>
      </c>
      <c r="J403" s="21">
        <v>100</v>
      </c>
      <c r="K403">
        <v>92.57</v>
      </c>
      <c r="L403" s="21">
        <v>107</v>
      </c>
      <c r="M403" s="21">
        <f xml:space="preserve"> (L403 - K403)/(K403-J403)</f>
        <v>-1.9421265141318969</v>
      </c>
      <c r="N403" s="21">
        <f>K403/L403</f>
        <v>0.86514018691588779</v>
      </c>
      <c r="O403" s="7">
        <v>-2.4400000000000002E-2</v>
      </c>
      <c r="P403" s="7">
        <v>-2.4400000000000002E-2</v>
      </c>
      <c r="Q403" s="33"/>
      <c r="R403" t="s">
        <v>448</v>
      </c>
      <c r="S403" t="s">
        <v>449</v>
      </c>
      <c r="T403" t="s">
        <v>450</v>
      </c>
    </row>
    <row r="404" spans="2:20">
      <c r="B404" s="33">
        <v>0</v>
      </c>
      <c r="C404" s="33"/>
      <c r="D404" t="s">
        <v>773</v>
      </c>
      <c r="E404" t="s">
        <v>513</v>
      </c>
      <c r="F404" t="s">
        <v>380</v>
      </c>
      <c r="G404" t="s">
        <v>380</v>
      </c>
      <c r="H404" t="s">
        <v>448</v>
      </c>
      <c r="J404" s="24">
        <v>10</v>
      </c>
      <c r="K404">
        <v>4.4800000000000004</v>
      </c>
      <c r="L404" s="21">
        <v>16</v>
      </c>
      <c r="M404" s="21">
        <f xml:space="preserve"> (L404 - K404)/(K404-J404)</f>
        <v>-2.0869565217391304</v>
      </c>
      <c r="N404" s="21">
        <f>K404/L404</f>
        <v>0.28000000000000003</v>
      </c>
      <c r="O404" s="7">
        <v>2.0999999999999999E-3</v>
      </c>
      <c r="P404" s="7">
        <v>2.0999999999999999E-3</v>
      </c>
      <c r="Q404" s="33"/>
      <c r="R404" t="s">
        <v>449</v>
      </c>
      <c r="S404" t="s">
        <v>449</v>
      </c>
      <c r="T404" t="s">
        <v>451</v>
      </c>
    </row>
    <row r="405" spans="2:20">
      <c r="B405" s="33">
        <v>0</v>
      </c>
      <c r="C405" s="33"/>
      <c r="D405" t="s">
        <v>232</v>
      </c>
      <c r="E405" t="s">
        <v>398</v>
      </c>
      <c r="F405" t="s">
        <v>381</v>
      </c>
      <c r="G405" t="s">
        <v>381</v>
      </c>
      <c r="H405" t="s">
        <v>448</v>
      </c>
      <c r="J405" s="21">
        <v>260</v>
      </c>
      <c r="K405">
        <v>359.13</v>
      </c>
      <c r="L405" s="21">
        <v>300</v>
      </c>
      <c r="M405" s="21">
        <f xml:space="preserve"> (L405 - K405)/(K405-J405)</f>
        <v>-0.59648945828709776</v>
      </c>
      <c r="N405" s="21">
        <f>K405/L405</f>
        <v>1.1971000000000001</v>
      </c>
      <c r="O405" s="7">
        <v>1.4200000000000001E-2</v>
      </c>
      <c r="P405" s="7">
        <v>1.4200000000000001E-2</v>
      </c>
      <c r="Q405" s="33"/>
      <c r="R405" t="s">
        <v>448</v>
      </c>
      <c r="S405" t="s">
        <v>448</v>
      </c>
      <c r="T405" t="s">
        <v>452</v>
      </c>
    </row>
    <row r="406" spans="2:20">
      <c r="B406" s="33">
        <v>0</v>
      </c>
      <c r="C406" s="33"/>
      <c r="D406" t="s">
        <v>598</v>
      </c>
      <c r="E406" t="s">
        <v>378</v>
      </c>
      <c r="F406" t="s">
        <v>386</v>
      </c>
      <c r="G406" t="s">
        <v>386</v>
      </c>
      <c r="H406" t="s">
        <v>448</v>
      </c>
      <c r="J406" s="21">
        <v>45</v>
      </c>
      <c r="K406">
        <v>26.77</v>
      </c>
      <c r="L406" s="21">
        <v>55</v>
      </c>
      <c r="M406" s="21">
        <f xml:space="preserve"> (L406 - K406)/(K406-J406)</f>
        <v>-1.5485463521667582</v>
      </c>
      <c r="N406" s="21">
        <f>K406/L406</f>
        <v>0.48672727272727273</v>
      </c>
      <c r="O406" s="7">
        <v>-4.53E-2</v>
      </c>
      <c r="P406" s="7">
        <v>-4.53E-2</v>
      </c>
      <c r="Q406" s="33"/>
      <c r="R406" t="s">
        <v>449</v>
      </c>
      <c r="S406" t="s">
        <v>449</v>
      </c>
      <c r="T406" t="s">
        <v>450</v>
      </c>
    </row>
    <row r="407" spans="2:20">
      <c r="B407" s="33">
        <v>0</v>
      </c>
      <c r="C407" s="33"/>
      <c r="D407" t="s">
        <v>123</v>
      </c>
      <c r="E407" t="s">
        <v>396</v>
      </c>
      <c r="F407" t="s">
        <v>380</v>
      </c>
      <c r="G407" t="s">
        <v>380</v>
      </c>
      <c r="H407" t="s">
        <v>448</v>
      </c>
      <c r="I407">
        <v>62</v>
      </c>
      <c r="J407" s="21">
        <v>60</v>
      </c>
      <c r="K407">
        <v>41.42</v>
      </c>
      <c r="L407" s="21">
        <v>66</v>
      </c>
      <c r="M407" s="21">
        <f xml:space="preserve"> (L407 - K407)/(K407-J407)</f>
        <v>-1.3229278794402584</v>
      </c>
      <c r="N407" s="21">
        <f>K407/L407</f>
        <v>0.62757575757575756</v>
      </c>
      <c r="O407" s="7">
        <v>-2.1299999999999999E-2</v>
      </c>
      <c r="P407" s="7">
        <v>-2.1299999999999999E-2</v>
      </c>
      <c r="Q407" s="33" t="s">
        <v>297</v>
      </c>
      <c r="R407" t="s">
        <v>448</v>
      </c>
      <c r="S407" t="s">
        <v>448</v>
      </c>
      <c r="T407" t="s">
        <v>452</v>
      </c>
    </row>
    <row r="408" spans="2:20">
      <c r="B408" s="33">
        <v>0</v>
      </c>
      <c r="C408" s="33"/>
      <c r="D408" t="s">
        <v>158</v>
      </c>
      <c r="E408" t="s">
        <v>402</v>
      </c>
      <c r="F408" t="s">
        <v>383</v>
      </c>
      <c r="G408" t="s">
        <v>383</v>
      </c>
      <c r="H408" t="s">
        <v>448</v>
      </c>
      <c r="J408" s="21">
        <v>37</v>
      </c>
      <c r="K408">
        <v>36.54</v>
      </c>
      <c r="L408" s="21">
        <v>43</v>
      </c>
      <c r="M408" s="21">
        <f xml:space="preserve"> (L408 - K408)/(K408-J408)</f>
        <v>-14.043478260869541</v>
      </c>
      <c r="N408" s="21">
        <f>K408/L408</f>
        <v>0.84976744186046504</v>
      </c>
      <c r="O408" s="7">
        <v>-9.5999999999999992E-3</v>
      </c>
      <c r="P408" s="7">
        <v>-9.5999999999999992E-3</v>
      </c>
      <c r="Q408" s="33"/>
      <c r="R408" t="s">
        <v>448</v>
      </c>
      <c r="S408" t="s">
        <v>449</v>
      </c>
      <c r="T408" t="s">
        <v>450</v>
      </c>
    </row>
    <row r="409" spans="2:20">
      <c r="B409" s="33">
        <v>0</v>
      </c>
      <c r="C409" s="33"/>
      <c r="D409" t="s">
        <v>816</v>
      </c>
      <c r="E409" t="s">
        <v>425</v>
      </c>
      <c r="F409" t="s">
        <v>386</v>
      </c>
      <c r="G409" t="s">
        <v>387</v>
      </c>
      <c r="H409" t="s">
        <v>448</v>
      </c>
      <c r="J409" s="21"/>
      <c r="K409">
        <v>28.28</v>
      </c>
      <c r="L409" s="21"/>
      <c r="M409" s="21"/>
      <c r="N409" s="21"/>
      <c r="O409" s="7">
        <v>1.8E-3</v>
      </c>
      <c r="P409" s="7">
        <v>1.8E-3</v>
      </c>
      <c r="Q409" s="33"/>
      <c r="R409" t="s">
        <v>448</v>
      </c>
      <c r="S409" t="s">
        <v>449</v>
      </c>
      <c r="T409" t="s">
        <v>450</v>
      </c>
    </row>
    <row r="410" spans="2:20">
      <c r="B410" s="33">
        <v>0</v>
      </c>
      <c r="C410" s="32">
        <v>14</v>
      </c>
      <c r="D410" t="s">
        <v>13</v>
      </c>
      <c r="E410" t="s">
        <v>388</v>
      </c>
      <c r="F410" t="s">
        <v>386</v>
      </c>
      <c r="G410" t="s">
        <v>386</v>
      </c>
      <c r="H410" t="s">
        <v>448</v>
      </c>
      <c r="J410" s="21">
        <v>6.74</v>
      </c>
      <c r="K410">
        <v>2.84</v>
      </c>
      <c r="L410" s="21">
        <v>7.32</v>
      </c>
      <c r="M410" s="21">
        <f xml:space="preserve"> (L410 - K410)/(K410-J410)</f>
        <v>-1.1487179487179486</v>
      </c>
      <c r="N410" s="21">
        <f>K410/L410</f>
        <v>0.38797814207650272</v>
      </c>
      <c r="O410" s="7">
        <v>3.6999999999999998E-2</v>
      </c>
      <c r="P410" s="7">
        <v>3.6999999999999998E-2</v>
      </c>
      <c r="Q410" s="33" t="s">
        <v>97</v>
      </c>
      <c r="R410" t="s">
        <v>448</v>
      </c>
      <c r="S410" t="s">
        <v>450</v>
      </c>
      <c r="T410" t="s">
        <v>450</v>
      </c>
    </row>
    <row r="411" spans="2:20">
      <c r="B411" s="33">
        <v>0</v>
      </c>
      <c r="C411" s="32">
        <v>14</v>
      </c>
      <c r="D411" t="s">
        <v>301</v>
      </c>
      <c r="E411" t="s">
        <v>392</v>
      </c>
      <c r="F411" t="s">
        <v>387</v>
      </c>
      <c r="G411" t="s">
        <v>387</v>
      </c>
      <c r="H411" t="s">
        <v>449</v>
      </c>
      <c r="I411">
        <v>47</v>
      </c>
      <c r="J411" s="21">
        <v>45</v>
      </c>
      <c r="K411">
        <v>21.08</v>
      </c>
      <c r="L411" s="21">
        <v>55</v>
      </c>
      <c r="M411" s="21">
        <f xml:space="preserve"> (L411 - K411)/(K411-J411)</f>
        <v>-1.4180602006688963</v>
      </c>
      <c r="N411" s="21">
        <f>K411/L411</f>
        <v>0.38327272727272726</v>
      </c>
      <c r="O411" s="7">
        <v>1.6199999999999999E-2</v>
      </c>
      <c r="P411" s="7">
        <v>1.6199999999999999E-2</v>
      </c>
      <c r="Q411" s="33" t="s">
        <v>104</v>
      </c>
      <c r="R411" t="s">
        <v>450</v>
      </c>
      <c r="S411" t="s">
        <v>448</v>
      </c>
      <c r="T411" t="s">
        <v>452</v>
      </c>
    </row>
    <row r="412" spans="2:20">
      <c r="B412" s="33">
        <v>0</v>
      </c>
      <c r="C412" s="42">
        <v>7</v>
      </c>
      <c r="D412" t="s">
        <v>250</v>
      </c>
      <c r="E412" t="s">
        <v>392</v>
      </c>
      <c r="F412" t="s">
        <v>387</v>
      </c>
      <c r="G412" t="s">
        <v>387</v>
      </c>
      <c r="H412" t="s">
        <v>449</v>
      </c>
      <c r="J412" s="21">
        <v>37.5</v>
      </c>
      <c r="K412">
        <v>21.57</v>
      </c>
      <c r="L412" s="21">
        <v>40</v>
      </c>
      <c r="M412" s="21">
        <f xml:space="preserve"> (L412 - K412)/(K412-J412)</f>
        <v>-1.1569365976145638</v>
      </c>
      <c r="N412" s="21">
        <f>K412/L412</f>
        <v>0.53925000000000001</v>
      </c>
      <c r="O412" s="7">
        <v>1.9699999999999999E-2</v>
      </c>
      <c r="P412" s="7">
        <v>1.9699999999999999E-2</v>
      </c>
      <c r="Q412" s="33" t="s">
        <v>104</v>
      </c>
      <c r="R412" t="s">
        <v>448</v>
      </c>
      <c r="S412" t="s">
        <v>450</v>
      </c>
      <c r="T412" t="s">
        <v>452</v>
      </c>
    </row>
    <row r="413" spans="2:20">
      <c r="B413" s="33">
        <v>0</v>
      </c>
      <c r="C413" s="60">
        <v>6</v>
      </c>
      <c r="D413" t="s">
        <v>442</v>
      </c>
      <c r="E413" t="s">
        <v>392</v>
      </c>
      <c r="F413" t="s">
        <v>387</v>
      </c>
      <c r="G413" t="s">
        <v>387</v>
      </c>
      <c r="H413" t="s">
        <v>449</v>
      </c>
      <c r="J413" s="21">
        <v>37</v>
      </c>
      <c r="K413">
        <v>37.03</v>
      </c>
      <c r="L413" s="21">
        <v>90</v>
      </c>
      <c r="M413" s="21">
        <f xml:space="preserve"> (L413 - K413)/(K413-J413)</f>
        <v>1765.6666666665997</v>
      </c>
      <c r="N413" s="21">
        <f>K413/L413</f>
        <v>0.41144444444444445</v>
      </c>
      <c r="O413" s="7">
        <v>-4.8999999999999998E-3</v>
      </c>
      <c r="P413" s="7">
        <v>-4.8999999999999998E-3</v>
      </c>
      <c r="Q413" s="33"/>
      <c r="R413" t="s">
        <v>448</v>
      </c>
      <c r="S413" t="s">
        <v>450</v>
      </c>
      <c r="T413" t="s">
        <v>452</v>
      </c>
    </row>
    <row r="414" spans="2:20">
      <c r="B414" s="33">
        <v>0</v>
      </c>
      <c r="C414" s="33"/>
      <c r="D414" t="s">
        <v>493</v>
      </c>
      <c r="E414" t="s">
        <v>466</v>
      </c>
      <c r="F414" t="s">
        <v>387</v>
      </c>
      <c r="G414" t="s">
        <v>387</v>
      </c>
      <c r="H414" t="s">
        <v>449</v>
      </c>
      <c r="J414" s="21">
        <v>260</v>
      </c>
      <c r="K414">
        <v>189.27</v>
      </c>
      <c r="L414" s="21">
        <v>277</v>
      </c>
      <c r="M414" s="21">
        <f xml:space="preserve"> (L414 - K414)/(K414-J414)</f>
        <v>-1.2403506291531174</v>
      </c>
      <c r="N414" s="21">
        <f>K414/L414</f>
        <v>0.68328519855595671</v>
      </c>
      <c r="O414" s="7">
        <v>-1.0999999999999999E-2</v>
      </c>
      <c r="P414" s="7">
        <v>-1.0999999999999999E-2</v>
      </c>
      <c r="Q414" s="33"/>
      <c r="R414" t="s">
        <v>449</v>
      </c>
      <c r="S414" t="s">
        <v>449</v>
      </c>
      <c r="T414" t="s">
        <v>450</v>
      </c>
    </row>
    <row r="415" spans="2:20">
      <c r="B415" s="33">
        <v>0</v>
      </c>
      <c r="C415" s="33"/>
      <c r="D415" t="s">
        <v>619</v>
      </c>
      <c r="E415" t="s">
        <v>398</v>
      </c>
      <c r="F415" t="s">
        <v>381</v>
      </c>
      <c r="G415" t="s">
        <v>381</v>
      </c>
      <c r="H415" t="s">
        <v>448</v>
      </c>
      <c r="I415">
        <v>170</v>
      </c>
      <c r="J415" s="21">
        <v>160</v>
      </c>
      <c r="K415">
        <v>95.94</v>
      </c>
      <c r="L415" s="21">
        <v>190</v>
      </c>
      <c r="M415" s="21">
        <f xml:space="preserve"> (L415 - K415)/(K415-J415)</f>
        <v>-1.4683109584764282</v>
      </c>
      <c r="N415" s="21">
        <f>K415/L415</f>
        <v>0.50494736842105259</v>
      </c>
      <c r="O415" s="7">
        <v>9.9000000000000008E-3</v>
      </c>
      <c r="P415" s="7">
        <v>9.9000000000000008E-3</v>
      </c>
      <c r="Q415" s="33"/>
      <c r="R415" t="s">
        <v>448</v>
      </c>
      <c r="S415" t="s">
        <v>448</v>
      </c>
      <c r="T415" t="s">
        <v>452</v>
      </c>
    </row>
    <row r="416" spans="2:20">
      <c r="B416" s="33">
        <v>0</v>
      </c>
      <c r="C416" s="60">
        <v>6</v>
      </c>
      <c r="D416" t="s">
        <v>170</v>
      </c>
      <c r="E416" t="s">
        <v>392</v>
      </c>
      <c r="F416"/>
      <c r="G416"/>
      <c r="H416" t="s">
        <v>928</v>
      </c>
      <c r="J416" s="21">
        <v>68.819999999999993</v>
      </c>
      <c r="K416">
        <v>83.44</v>
      </c>
      <c r="L416" s="21">
        <v>76.819999999999993</v>
      </c>
      <c r="M416" s="21">
        <f xml:space="preserve"> (L416 - K416)/(K416-J416)</f>
        <v>-0.45280437756497965</v>
      </c>
      <c r="N416" s="21">
        <f>K416/L416</f>
        <v>1.0861754751366832</v>
      </c>
      <c r="O416" s="53">
        <v>0</v>
      </c>
      <c r="P416" s="53">
        <v>0</v>
      </c>
      <c r="Q416" s="33" t="s">
        <v>104</v>
      </c>
      <c r="R416" t="s">
        <v>928</v>
      </c>
      <c r="S416" t="s">
        <v>928</v>
      </c>
      <c r="T416" t="s">
        <v>928</v>
      </c>
    </row>
    <row r="417" spans="2:20">
      <c r="B417" s="33">
        <v>0</v>
      </c>
      <c r="C417" s="33"/>
      <c r="D417" t="s">
        <v>175</v>
      </c>
      <c r="E417" t="s">
        <v>220</v>
      </c>
      <c r="F417" t="s">
        <v>381</v>
      </c>
      <c r="G417" t="s">
        <v>381</v>
      </c>
      <c r="H417" t="s">
        <v>448</v>
      </c>
      <c r="J417" s="21">
        <v>95.5</v>
      </c>
      <c r="K417">
        <v>73.349999999999994</v>
      </c>
      <c r="L417" s="21">
        <v>105</v>
      </c>
      <c r="M417" s="21">
        <f xml:space="preserve"> (L417 - K417)/(K417-J417)</f>
        <v>-1.4288939051918734</v>
      </c>
      <c r="N417" s="21">
        <f>K417/L417</f>
        <v>0.69857142857142851</v>
      </c>
      <c r="O417" s="7">
        <v>-2.8999999999999998E-3</v>
      </c>
      <c r="P417" s="7">
        <v>-2.8999999999999998E-3</v>
      </c>
      <c r="Q417" s="33" t="s">
        <v>103</v>
      </c>
      <c r="R417" t="s">
        <v>448</v>
      </c>
      <c r="S417" t="s">
        <v>448</v>
      </c>
      <c r="T417" t="s">
        <v>452</v>
      </c>
    </row>
    <row r="418" spans="2:20">
      <c r="B418" s="33">
        <v>0</v>
      </c>
      <c r="C418" s="33"/>
      <c r="D418" t="s">
        <v>820</v>
      </c>
      <c r="E418" t="s">
        <v>397</v>
      </c>
      <c r="F418" t="s">
        <v>387</v>
      </c>
      <c r="G418" t="s">
        <v>387</v>
      </c>
      <c r="H418" t="s">
        <v>449</v>
      </c>
      <c r="J418" s="21">
        <v>2.35</v>
      </c>
      <c r="K418">
        <v>10.08</v>
      </c>
      <c r="L418" s="21">
        <v>4</v>
      </c>
      <c r="M418" s="21">
        <f xml:space="preserve"> (L418 - K418)/(K418-J418)</f>
        <v>-0.78654592496765841</v>
      </c>
      <c r="N418" s="21">
        <f>K418/L418</f>
        <v>2.52</v>
      </c>
      <c r="O418" s="7">
        <v>3.6299999999999999E-2</v>
      </c>
      <c r="P418" s="7">
        <v>3.6299999999999999E-2</v>
      </c>
      <c r="Q418" s="34"/>
      <c r="R418" t="s">
        <v>449</v>
      </c>
      <c r="S418" t="s">
        <v>449</v>
      </c>
      <c r="T418" t="s">
        <v>450</v>
      </c>
    </row>
    <row r="419" spans="2:20">
      <c r="B419" s="33">
        <v>0</v>
      </c>
      <c r="C419" s="33"/>
      <c r="D419" t="s">
        <v>26</v>
      </c>
      <c r="E419" t="s">
        <v>420</v>
      </c>
      <c r="F419" t="s">
        <v>385</v>
      </c>
      <c r="G419" t="s">
        <v>385</v>
      </c>
      <c r="H419" t="s">
        <v>449</v>
      </c>
      <c r="J419" s="21">
        <v>73.52</v>
      </c>
      <c r="K419">
        <v>81.290000000000006</v>
      </c>
      <c r="L419" s="21">
        <v>77.5</v>
      </c>
      <c r="M419" s="21">
        <f xml:space="preserve"> (L419 - K419)/(K419-J419)</f>
        <v>-0.48777348777348795</v>
      </c>
      <c r="N419" s="21">
        <f>K419/L419</f>
        <v>1.0489032258064517</v>
      </c>
      <c r="O419" s="7">
        <v>3.3E-3</v>
      </c>
      <c r="P419" s="7">
        <v>3.3E-3</v>
      </c>
      <c r="Q419" s="33" t="s">
        <v>145</v>
      </c>
      <c r="R419" t="s">
        <v>448</v>
      </c>
      <c r="S419" t="s">
        <v>448</v>
      </c>
      <c r="T419" t="s">
        <v>452</v>
      </c>
    </row>
    <row r="420" spans="2:20">
      <c r="B420" s="33">
        <v>0</v>
      </c>
      <c r="C420" s="33"/>
      <c r="D420" t="s">
        <v>845</v>
      </c>
      <c r="E420" t="s">
        <v>422</v>
      </c>
      <c r="F420" t="s">
        <v>380</v>
      </c>
      <c r="G420" t="s">
        <v>380</v>
      </c>
      <c r="H420" t="s">
        <v>448</v>
      </c>
      <c r="J420" s="21"/>
      <c r="K420">
        <v>240.36</v>
      </c>
      <c r="L420" s="21"/>
      <c r="M420" s="21"/>
      <c r="N420" s="21"/>
      <c r="O420" s="7">
        <v>-1.35E-2</v>
      </c>
      <c r="P420" s="7">
        <v>-1.35E-2</v>
      </c>
      <c r="Q420" s="33"/>
      <c r="R420" t="s">
        <v>450</v>
      </c>
      <c r="S420" t="s">
        <v>450</v>
      </c>
      <c r="T420" t="s">
        <v>450</v>
      </c>
    </row>
    <row r="421" spans="2:20">
      <c r="B421" s="33">
        <v>0</v>
      </c>
      <c r="C421" s="32">
        <v>14</v>
      </c>
      <c r="D421" t="s">
        <v>435</v>
      </c>
      <c r="E421" t="s">
        <v>584</v>
      </c>
      <c r="F421" t="s">
        <v>387</v>
      </c>
      <c r="G421" t="s">
        <v>387</v>
      </c>
      <c r="H421" t="s">
        <v>449</v>
      </c>
      <c r="I421">
        <v>150</v>
      </c>
      <c r="J421" s="21">
        <v>125</v>
      </c>
      <c r="K421">
        <v>121.79</v>
      </c>
      <c r="L421" s="21">
        <v>200</v>
      </c>
      <c r="M421" s="21">
        <f xml:space="preserve"> (L421 - K421)/(K421-J421)</f>
        <v>-24.364485981308455</v>
      </c>
      <c r="N421" s="21">
        <f>K421/L421</f>
        <v>0.60894999999999999</v>
      </c>
      <c r="O421" s="7">
        <v>1.5800000000000002E-2</v>
      </c>
      <c r="P421" s="7">
        <v>1.5800000000000002E-2</v>
      </c>
      <c r="Q421" s="34"/>
      <c r="R421" t="s">
        <v>450</v>
      </c>
      <c r="S421" t="s">
        <v>450</v>
      </c>
      <c r="T421" t="s">
        <v>452</v>
      </c>
    </row>
    <row r="422" spans="2:20">
      <c r="B422" s="33">
        <v>0</v>
      </c>
      <c r="C422" s="42">
        <v>7</v>
      </c>
      <c r="D422" t="s">
        <v>21</v>
      </c>
      <c r="E422" t="s">
        <v>388</v>
      </c>
      <c r="F422" t="s">
        <v>381</v>
      </c>
      <c r="G422" t="s">
        <v>381</v>
      </c>
      <c r="H422" t="s">
        <v>448</v>
      </c>
      <c r="J422" s="21">
        <v>135</v>
      </c>
      <c r="K422">
        <v>192.57</v>
      </c>
      <c r="L422" s="21">
        <v>160</v>
      </c>
      <c r="M422" s="21">
        <f xml:space="preserve"> (L422 - K422)/(K422-J422)</f>
        <v>-0.5657460482890394</v>
      </c>
      <c r="N422" s="21">
        <f>K422/L422</f>
        <v>1.2035624999999999</v>
      </c>
      <c r="O422" s="7">
        <v>1.03E-2</v>
      </c>
      <c r="P422" s="7">
        <v>1.03E-2</v>
      </c>
      <c r="Q422" s="33" t="s">
        <v>97</v>
      </c>
      <c r="R422" t="s">
        <v>448</v>
      </c>
      <c r="S422" t="s">
        <v>450</v>
      </c>
      <c r="T422" t="s">
        <v>450</v>
      </c>
    </row>
    <row r="423" spans="2:20">
      <c r="B423" s="33">
        <v>0</v>
      </c>
      <c r="C423" s="33"/>
      <c r="D423" t="s">
        <v>907</v>
      </c>
      <c r="E423" t="s">
        <v>230</v>
      </c>
      <c r="F423" t="s">
        <v>387</v>
      </c>
      <c r="G423" t="s">
        <v>387</v>
      </c>
      <c r="H423" t="s">
        <v>449</v>
      </c>
      <c r="J423" s="21">
        <v>1500</v>
      </c>
      <c r="K423">
        <v>1128.2</v>
      </c>
      <c r="L423" s="21">
        <v>2250</v>
      </c>
      <c r="M423" s="21">
        <f xml:space="preserve"> (L423 - K423)/(K423-J423)</f>
        <v>-3.0172135556750943</v>
      </c>
      <c r="N423" s="21">
        <f>K423/L423</f>
        <v>0.50142222222222221</v>
      </c>
      <c r="O423" s="7">
        <v>5.3E-3</v>
      </c>
      <c r="P423" s="7">
        <v>5.3E-3</v>
      </c>
      <c r="Q423" s="34"/>
      <c r="R423" t="s">
        <v>449</v>
      </c>
      <c r="S423" t="s">
        <v>449</v>
      </c>
      <c r="T423" t="s">
        <v>452</v>
      </c>
    </row>
    <row r="424" spans="2:20">
      <c r="B424" s="33">
        <v>0</v>
      </c>
      <c r="C424" s="33"/>
      <c r="D424" t="s">
        <v>908</v>
      </c>
      <c r="E424" t="s">
        <v>412</v>
      </c>
      <c r="F424" t="s">
        <v>380</v>
      </c>
      <c r="G424" t="s">
        <v>380</v>
      </c>
      <c r="H424" t="s">
        <v>449</v>
      </c>
      <c r="J424" s="21">
        <v>125</v>
      </c>
      <c r="K424">
        <v>105.55</v>
      </c>
      <c r="L424" s="21">
        <v>135</v>
      </c>
      <c r="M424" s="21">
        <f xml:space="preserve"> (L424 - K424)/(K424-J424)</f>
        <v>-1.5141388174807198</v>
      </c>
      <c r="N424" s="21">
        <f>K424/L424</f>
        <v>0.7818518518518518</v>
      </c>
      <c r="O424" s="7">
        <v>1.09E-2</v>
      </c>
      <c r="P424" s="7">
        <v>1.09E-2</v>
      </c>
      <c r="Q424" s="33"/>
      <c r="R424" t="s">
        <v>449</v>
      </c>
      <c r="S424" t="s">
        <v>449</v>
      </c>
      <c r="T424" t="s">
        <v>452</v>
      </c>
    </row>
    <row r="425" spans="2:20">
      <c r="B425" s="33">
        <v>0</v>
      </c>
      <c r="C425" s="33"/>
      <c r="D425" t="s">
        <v>313</v>
      </c>
      <c r="E425" t="s">
        <v>580</v>
      </c>
      <c r="F425" t="s">
        <v>387</v>
      </c>
      <c r="G425" t="s">
        <v>387</v>
      </c>
      <c r="H425" t="s">
        <v>448</v>
      </c>
      <c r="J425" s="21">
        <v>206</v>
      </c>
      <c r="K425">
        <v>301.62</v>
      </c>
      <c r="L425" s="21">
        <v>217</v>
      </c>
      <c r="M425" s="21">
        <f xml:space="preserve"> (L425 - K425)/(K425-J425)</f>
        <v>-0.88496130516628324</v>
      </c>
      <c r="N425" s="21">
        <f>K425/L425</f>
        <v>1.3899539170506912</v>
      </c>
      <c r="O425" s="7">
        <v>-3.1199999999999999E-2</v>
      </c>
      <c r="P425" s="7">
        <v>-3.1199999999999999E-2</v>
      </c>
      <c r="Q425" s="34"/>
      <c r="R425" t="s">
        <v>449</v>
      </c>
      <c r="S425" t="s">
        <v>449</v>
      </c>
      <c r="T425" t="s">
        <v>450</v>
      </c>
    </row>
    <row r="426" spans="2:20">
      <c r="B426" s="33">
        <v>0</v>
      </c>
      <c r="C426" s="33"/>
      <c r="D426" t="s">
        <v>821</v>
      </c>
      <c r="E426" t="s">
        <v>822</v>
      </c>
      <c r="F426" t="s">
        <v>382</v>
      </c>
      <c r="G426" t="s">
        <v>382</v>
      </c>
      <c r="H426" t="s">
        <v>449</v>
      </c>
      <c r="J426" s="21"/>
      <c r="K426">
        <v>44.65</v>
      </c>
      <c r="L426" s="21"/>
      <c r="M426" s="21"/>
      <c r="N426" s="21" t="e">
        <f>K426/L426</f>
        <v>#DIV/0!</v>
      </c>
      <c r="O426" s="7">
        <v>2.76E-2</v>
      </c>
      <c r="P426" s="7">
        <v>2.76E-2</v>
      </c>
      <c r="Q426" s="33"/>
      <c r="R426" t="s">
        <v>448</v>
      </c>
      <c r="S426" t="s">
        <v>448</v>
      </c>
      <c r="T426" t="s">
        <v>452</v>
      </c>
    </row>
    <row r="427" spans="2:20">
      <c r="B427" s="33">
        <v>0</v>
      </c>
      <c r="C427" s="33"/>
      <c r="D427" t="s">
        <v>196</v>
      </c>
      <c r="E427" t="s">
        <v>580</v>
      </c>
      <c r="F427" t="s">
        <v>380</v>
      </c>
      <c r="G427" t="s">
        <v>380</v>
      </c>
      <c r="H427" t="s">
        <v>448</v>
      </c>
      <c r="J427">
        <v>150</v>
      </c>
      <c r="K427">
        <v>165.3</v>
      </c>
      <c r="L427">
        <v>160</v>
      </c>
      <c r="M427" s="21">
        <f xml:space="preserve"> (L427 - K427)/(K427-J427)</f>
        <v>-0.34640522875817042</v>
      </c>
      <c r="N427" s="21">
        <f>K427/L427</f>
        <v>1.0331250000000001</v>
      </c>
      <c r="O427" s="7">
        <v>-5.0000000000000001E-3</v>
      </c>
      <c r="P427" s="7">
        <v>-5.0000000000000001E-3</v>
      </c>
      <c r="Q427" s="33" t="s">
        <v>146</v>
      </c>
      <c r="R427" t="s">
        <v>449</v>
      </c>
      <c r="S427" t="s">
        <v>450</v>
      </c>
      <c r="T427" t="s">
        <v>450</v>
      </c>
    </row>
    <row r="428" spans="2:20">
      <c r="B428" s="33">
        <v>0</v>
      </c>
      <c r="C428" s="33"/>
      <c r="D428" t="s">
        <v>309</v>
      </c>
      <c r="E428" t="s">
        <v>388</v>
      </c>
      <c r="F428" t="s">
        <v>384</v>
      </c>
      <c r="G428" t="s">
        <v>384</v>
      </c>
      <c r="H428" t="s">
        <v>448</v>
      </c>
      <c r="J428" s="21">
        <v>25</v>
      </c>
      <c r="K428">
        <v>43.11</v>
      </c>
      <c r="L428" s="21">
        <v>30</v>
      </c>
      <c r="M428" s="21">
        <f xml:space="preserve"> (L428 - K428)/(K428-J428)</f>
        <v>-0.72390944229707344</v>
      </c>
      <c r="N428" s="21">
        <f>I428/L428</f>
        <v>0</v>
      </c>
      <c r="O428" s="7">
        <v>2.81E-2</v>
      </c>
      <c r="P428" s="7">
        <v>2.81E-2</v>
      </c>
      <c r="Q428" s="33" t="s">
        <v>315</v>
      </c>
      <c r="R428" t="s">
        <v>450</v>
      </c>
      <c r="S428" t="s">
        <v>450</v>
      </c>
      <c r="T428" t="s">
        <v>451</v>
      </c>
    </row>
    <row r="429" spans="2:20">
      <c r="B429" s="33">
        <v>0</v>
      </c>
      <c r="C429" s="32">
        <v>14</v>
      </c>
      <c r="D429" t="s">
        <v>777</v>
      </c>
      <c r="E429" t="s">
        <v>424</v>
      </c>
      <c r="F429" t="s">
        <v>385</v>
      </c>
      <c r="G429" t="s">
        <v>382</v>
      </c>
      <c r="H429" t="s">
        <v>448</v>
      </c>
      <c r="J429" s="21">
        <v>32</v>
      </c>
      <c r="K429">
        <v>33.6</v>
      </c>
      <c r="L429" s="21">
        <v>34</v>
      </c>
      <c r="M429" s="21">
        <f xml:space="preserve"> (L429 - K429)/(K429-J429)</f>
        <v>0.24999999999999889</v>
      </c>
      <c r="N429" s="21">
        <f>K429/L429</f>
        <v>0.9882352941176471</v>
      </c>
      <c r="O429" s="53">
        <v>0.01</v>
      </c>
      <c r="P429" s="53">
        <v>0.01</v>
      </c>
      <c r="Q429" s="33"/>
      <c r="R429" t="s">
        <v>448</v>
      </c>
      <c r="S429" t="s">
        <v>450</v>
      </c>
      <c r="T429" t="s">
        <v>452</v>
      </c>
    </row>
    <row r="430" spans="2:20">
      <c r="B430" s="33">
        <v>0</v>
      </c>
      <c r="C430" s="42">
        <v>7</v>
      </c>
      <c r="D430" t="s">
        <v>241</v>
      </c>
      <c r="E430" t="s">
        <v>64</v>
      </c>
      <c r="F430" t="s">
        <v>380</v>
      </c>
      <c r="G430" t="s">
        <v>380</v>
      </c>
      <c r="H430" t="s">
        <v>448</v>
      </c>
      <c r="J430" s="21">
        <v>375</v>
      </c>
      <c r="K430">
        <v>559.74</v>
      </c>
      <c r="L430" s="21">
        <v>425</v>
      </c>
      <c r="M430" s="21">
        <f xml:space="preserve"> (L430 - K430)/(K430-J430)</f>
        <v>-0.72934935585146699</v>
      </c>
      <c r="N430" s="21">
        <f>K430/L430</f>
        <v>1.3170352941176471</v>
      </c>
      <c r="O430" s="7">
        <v>8.0000000000000002E-3</v>
      </c>
      <c r="P430" s="7">
        <v>8.0000000000000002E-3</v>
      </c>
      <c r="Q430" s="33" t="s">
        <v>300</v>
      </c>
      <c r="R430" t="s">
        <v>448</v>
      </c>
      <c r="S430" t="s">
        <v>448</v>
      </c>
      <c r="T430" t="s">
        <v>452</v>
      </c>
    </row>
    <row r="431" spans="2:20">
      <c r="B431" s="33">
        <v>0</v>
      </c>
      <c r="C431" s="33"/>
      <c r="D431" t="s">
        <v>171</v>
      </c>
      <c r="E431" t="s">
        <v>135</v>
      </c>
      <c r="F431" t="s">
        <v>380</v>
      </c>
      <c r="G431" t="s">
        <v>380</v>
      </c>
      <c r="H431" t="s">
        <v>448</v>
      </c>
      <c r="J431" s="24">
        <v>12.5</v>
      </c>
      <c r="K431">
        <v>9.27</v>
      </c>
      <c r="L431" s="21">
        <v>20</v>
      </c>
      <c r="M431" s="21">
        <f xml:space="preserve"> (L431 - K431)/(K431-J431)</f>
        <v>-3.3219814241486065</v>
      </c>
      <c r="N431" s="21">
        <f>K431/L431</f>
        <v>0.46349999999999997</v>
      </c>
      <c r="O431" s="7">
        <v>2.0899999999999998E-2</v>
      </c>
      <c r="P431" s="7">
        <v>2.0899999999999998E-2</v>
      </c>
      <c r="Q431" s="33" t="s">
        <v>135</v>
      </c>
      <c r="R431" t="s">
        <v>448</v>
      </c>
      <c r="S431" t="s">
        <v>448</v>
      </c>
      <c r="T431" t="s">
        <v>600</v>
      </c>
    </row>
    <row r="432" spans="2:20">
      <c r="B432" s="33">
        <v>0</v>
      </c>
      <c r="C432" s="33"/>
      <c r="D432" t="s">
        <v>827</v>
      </c>
      <c r="E432" t="s">
        <v>407</v>
      </c>
      <c r="F432" t="s">
        <v>380</v>
      </c>
      <c r="G432" t="s">
        <v>380</v>
      </c>
      <c r="H432" t="s">
        <v>449</v>
      </c>
      <c r="J432" s="21">
        <v>40</v>
      </c>
      <c r="K432">
        <v>19.420000000000002</v>
      </c>
      <c r="L432" s="21">
        <v>55</v>
      </c>
      <c r="M432" s="21">
        <f xml:space="preserve"> (L432 - K432)/(K432-J432)</f>
        <v>-1.7288629737609329</v>
      </c>
      <c r="N432" s="21">
        <f>K432/L432</f>
        <v>0.35309090909090912</v>
      </c>
      <c r="O432" s="7">
        <v>5.2900000000000003E-2</v>
      </c>
      <c r="P432" s="7">
        <v>5.2900000000000003E-2</v>
      </c>
      <c r="Q432" s="33" t="s">
        <v>831</v>
      </c>
      <c r="R432" t="s">
        <v>450</v>
      </c>
      <c r="S432" t="s">
        <v>450</v>
      </c>
      <c r="T432" t="s">
        <v>452</v>
      </c>
    </row>
    <row r="433" spans="2:20">
      <c r="B433" s="33">
        <v>0</v>
      </c>
      <c r="C433" s="33"/>
      <c r="D433" t="s">
        <v>63</v>
      </c>
      <c r="E433" t="s">
        <v>220</v>
      </c>
      <c r="F433" t="s">
        <v>386</v>
      </c>
      <c r="G433" t="s">
        <v>380</v>
      </c>
      <c r="H433" t="s">
        <v>448</v>
      </c>
      <c r="J433" s="21">
        <v>91</v>
      </c>
      <c r="K433">
        <v>13.09</v>
      </c>
      <c r="L433" s="21">
        <v>105</v>
      </c>
      <c r="M433" s="21">
        <f xml:space="preserve"> (L433 - K433)/(K433-J433)</f>
        <v>-1.1796945193171609</v>
      </c>
      <c r="N433" s="21">
        <f>K433/L433</f>
        <v>0.12466666666666666</v>
      </c>
      <c r="O433" s="7">
        <v>-1.3100000000000001E-2</v>
      </c>
      <c r="P433" s="7">
        <v>-1.3100000000000001E-2</v>
      </c>
      <c r="Q433" s="33"/>
      <c r="R433" t="s">
        <v>450</v>
      </c>
      <c r="S433" t="s">
        <v>448</v>
      </c>
      <c r="T433" t="s">
        <v>450</v>
      </c>
    </row>
    <row r="434" spans="2:20">
      <c r="B434" s="33">
        <v>0</v>
      </c>
      <c r="C434" s="33"/>
      <c r="D434" t="s">
        <v>792</v>
      </c>
      <c r="E434" t="s">
        <v>135</v>
      </c>
      <c r="F434" t="s">
        <v>381</v>
      </c>
      <c r="G434" t="s">
        <v>381</v>
      </c>
      <c r="H434" t="s">
        <v>448</v>
      </c>
      <c r="J434" s="24">
        <v>68</v>
      </c>
      <c r="K434">
        <v>87.94</v>
      </c>
      <c r="L434" s="21">
        <v>80</v>
      </c>
      <c r="M434" s="21">
        <f xml:space="preserve"> (L434 - K434)/(K434-J434)</f>
        <v>-0.39819458375125372</v>
      </c>
      <c r="N434" s="21">
        <f>K434/L434</f>
        <v>1.0992500000000001</v>
      </c>
      <c r="O434" s="7">
        <v>4.8999999999999998E-3</v>
      </c>
      <c r="P434" s="7">
        <v>4.8999999999999998E-3</v>
      </c>
      <c r="R434" t="s">
        <v>449</v>
      </c>
      <c r="S434" t="s">
        <v>449</v>
      </c>
      <c r="T434" t="s">
        <v>452</v>
      </c>
    </row>
    <row r="435" spans="2:20">
      <c r="B435" s="33">
        <v>0</v>
      </c>
      <c r="C435" s="33"/>
      <c r="D435" t="s">
        <v>676</v>
      </c>
      <c r="E435" t="s">
        <v>64</v>
      </c>
      <c r="F435" t="s">
        <v>380</v>
      </c>
      <c r="G435" t="s">
        <v>380</v>
      </c>
      <c r="H435" t="s">
        <v>448</v>
      </c>
      <c r="I435" s="17"/>
      <c r="J435" s="24">
        <v>300</v>
      </c>
      <c r="K435">
        <v>295.94</v>
      </c>
      <c r="L435" s="21">
        <v>400</v>
      </c>
      <c r="M435" s="21">
        <f xml:space="preserve"> (L435 - K435)/(K435-J435)</f>
        <v>-25.630541871921167</v>
      </c>
      <c r="N435" s="21">
        <f>K435/L435</f>
        <v>0.73985000000000001</v>
      </c>
      <c r="O435" s="7">
        <v>1.2999999999999999E-3</v>
      </c>
      <c r="P435" s="7">
        <v>1.2999999999999999E-3</v>
      </c>
      <c r="R435" t="s">
        <v>448</v>
      </c>
      <c r="S435" t="s">
        <v>449</v>
      </c>
      <c r="T435" t="s">
        <v>452</v>
      </c>
    </row>
    <row r="436" spans="2:20">
      <c r="B436" s="33">
        <v>0</v>
      </c>
      <c r="C436" s="33"/>
      <c r="D436" t="s">
        <v>217</v>
      </c>
      <c r="E436" t="s">
        <v>411</v>
      </c>
      <c r="F436" t="s">
        <v>386</v>
      </c>
      <c r="G436" t="s">
        <v>386</v>
      </c>
      <c r="H436" t="s">
        <v>448</v>
      </c>
      <c r="J436" s="21">
        <v>100</v>
      </c>
      <c r="K436">
        <v>34.31</v>
      </c>
      <c r="L436" s="21">
        <v>115</v>
      </c>
      <c r="M436" s="21">
        <f xml:space="preserve"> (L436 - K436)/(K436-J436)</f>
        <v>-1.2283452580301415</v>
      </c>
      <c r="N436" s="21">
        <f>K436/L436</f>
        <v>0.29834782608695654</v>
      </c>
      <c r="O436" s="7">
        <v>-1.29E-2</v>
      </c>
      <c r="P436" s="7">
        <v>-1.29E-2</v>
      </c>
      <c r="Q436" s="17" t="s">
        <v>218</v>
      </c>
      <c r="R436" t="s">
        <v>448</v>
      </c>
      <c r="S436" t="s">
        <v>449</v>
      </c>
      <c r="T436" t="s">
        <v>452</v>
      </c>
    </row>
    <row r="437" spans="2:20">
      <c r="B437" s="33">
        <v>0</v>
      </c>
      <c r="C437" s="32">
        <v>14</v>
      </c>
      <c r="D437" t="s">
        <v>601</v>
      </c>
      <c r="E437" t="s">
        <v>424</v>
      </c>
      <c r="F437" t="s">
        <v>382</v>
      </c>
      <c r="G437" t="s">
        <v>382</v>
      </c>
      <c r="H437" t="s">
        <v>448</v>
      </c>
      <c r="J437" s="21">
        <v>17</v>
      </c>
      <c r="K437">
        <v>17.21</v>
      </c>
      <c r="L437" s="21">
        <v>18</v>
      </c>
      <c r="M437" s="21">
        <f xml:space="preserve"> (L437 - K437)/(K437-J437)</f>
        <v>3.7619047619047428</v>
      </c>
      <c r="N437" s="21">
        <f>K437/L437</f>
        <v>0.95611111111111113</v>
      </c>
      <c r="O437" s="7">
        <v>2.3E-3</v>
      </c>
      <c r="P437" s="7">
        <v>2.3E-3</v>
      </c>
      <c r="Q437" s="17"/>
      <c r="R437" t="s">
        <v>448</v>
      </c>
      <c r="S437" t="s">
        <v>448</v>
      </c>
      <c r="T437" t="s">
        <v>450</v>
      </c>
    </row>
    <row r="438" spans="2:20">
      <c r="B438" s="33">
        <v>0</v>
      </c>
      <c r="C438" s="42">
        <v>7</v>
      </c>
      <c r="D438" t="s">
        <v>15</v>
      </c>
      <c r="E438" t="s">
        <v>388</v>
      </c>
      <c r="F438" t="s">
        <v>381</v>
      </c>
      <c r="G438" t="s">
        <v>381</v>
      </c>
      <c r="H438" t="s">
        <v>448</v>
      </c>
      <c r="J438" s="21">
        <v>110</v>
      </c>
      <c r="K438">
        <v>126.88</v>
      </c>
      <c r="L438" s="21">
        <v>135</v>
      </c>
      <c r="M438" s="21">
        <f xml:space="preserve"> (L438 - K438)/(K438-J438)</f>
        <v>0.48104265402843643</v>
      </c>
      <c r="N438" s="21">
        <f>K438/L438</f>
        <v>0.93985185185185183</v>
      </c>
      <c r="O438" s="7">
        <v>5.4000000000000003E-3</v>
      </c>
      <c r="P438" s="7">
        <v>5.4000000000000003E-3</v>
      </c>
      <c r="Q438" t="s">
        <v>308</v>
      </c>
      <c r="R438" t="s">
        <v>448</v>
      </c>
      <c r="S438" t="s">
        <v>450</v>
      </c>
      <c r="T438" t="s">
        <v>452</v>
      </c>
    </row>
    <row r="439" spans="2:20">
      <c r="B439" s="33">
        <v>0</v>
      </c>
      <c r="C439" s="33"/>
      <c r="D439" t="s">
        <v>358</v>
      </c>
      <c r="E439" t="s">
        <v>404</v>
      </c>
      <c r="F439" t="s">
        <v>380</v>
      </c>
      <c r="G439" t="s">
        <v>380</v>
      </c>
      <c r="H439" t="s">
        <v>449</v>
      </c>
      <c r="J439" s="21">
        <v>46</v>
      </c>
      <c r="K439">
        <v>32.86</v>
      </c>
      <c r="L439" s="21">
        <v>55</v>
      </c>
      <c r="M439" s="21">
        <f xml:space="preserve"> (L439 - K439)/(K439-J439)</f>
        <v>-1.6849315068493151</v>
      </c>
      <c r="N439" s="21">
        <f>K439/L439</f>
        <v>0.59745454545454546</v>
      </c>
      <c r="O439" s="7">
        <v>2.1000000000000001E-2</v>
      </c>
      <c r="P439" s="7">
        <v>2.1000000000000001E-2</v>
      </c>
      <c r="Q439" s="34"/>
      <c r="R439" t="s">
        <v>449</v>
      </c>
      <c r="S439" t="s">
        <v>449</v>
      </c>
      <c r="T439" t="s">
        <v>450</v>
      </c>
    </row>
    <row r="440" spans="2:20">
      <c r="B440" s="33">
        <v>0</v>
      </c>
      <c r="C440" s="60">
        <v>6</v>
      </c>
      <c r="D440" t="s">
        <v>499</v>
      </c>
      <c r="E440" t="s">
        <v>392</v>
      </c>
      <c r="F440" t="s">
        <v>387</v>
      </c>
      <c r="G440" t="s">
        <v>386</v>
      </c>
      <c r="H440" t="s">
        <v>449</v>
      </c>
      <c r="J440" s="21"/>
      <c r="K440">
        <v>96.72</v>
      </c>
      <c r="L440" s="21"/>
      <c r="M440" s="21"/>
      <c r="N440" s="21"/>
      <c r="O440" s="7">
        <v>1.35E-2</v>
      </c>
      <c r="P440" s="7">
        <v>1.35E-2</v>
      </c>
      <c r="Q440" s="34"/>
      <c r="R440" t="s">
        <v>448</v>
      </c>
      <c r="S440" t="s">
        <v>450</v>
      </c>
      <c r="T440" t="s">
        <v>452</v>
      </c>
    </row>
    <row r="441" spans="2:20">
      <c r="B441" s="33">
        <v>0</v>
      </c>
      <c r="C441" s="33"/>
      <c r="D441" t="s">
        <v>74</v>
      </c>
      <c r="E441" t="s">
        <v>400</v>
      </c>
      <c r="F441" t="s">
        <v>380</v>
      </c>
      <c r="G441" t="s">
        <v>380</v>
      </c>
      <c r="H441" t="s">
        <v>449</v>
      </c>
      <c r="J441" s="21">
        <v>20.48</v>
      </c>
      <c r="K441">
        <v>8.9</v>
      </c>
      <c r="L441" s="21">
        <v>23.69</v>
      </c>
      <c r="M441" s="21">
        <f xml:space="preserve"> (L441 - K441)/(K441-J441)</f>
        <v>-1.2772020725388602</v>
      </c>
      <c r="N441" s="21">
        <f>K441/L441</f>
        <v>0.37568594343604894</v>
      </c>
      <c r="O441" s="7">
        <v>1.72E-2</v>
      </c>
      <c r="P441" s="7">
        <v>1.72E-2</v>
      </c>
      <c r="Q441" s="34" t="s">
        <v>105</v>
      </c>
      <c r="R441" t="s">
        <v>449</v>
      </c>
      <c r="S441" t="s">
        <v>448</v>
      </c>
      <c r="T441" t="s">
        <v>450</v>
      </c>
    </row>
    <row r="442" spans="2:20">
      <c r="B442" s="33">
        <v>0</v>
      </c>
      <c r="C442" s="33"/>
      <c r="D442" t="s">
        <v>542</v>
      </c>
      <c r="E442" t="s">
        <v>378</v>
      </c>
      <c r="F442" t="s">
        <v>387</v>
      </c>
      <c r="G442" t="s">
        <v>387</v>
      </c>
      <c r="H442" t="s">
        <v>448</v>
      </c>
      <c r="I442" s="17"/>
      <c r="J442" s="24">
        <v>290</v>
      </c>
      <c r="K442">
        <v>373.44</v>
      </c>
      <c r="L442" s="21">
        <v>350</v>
      </c>
      <c r="M442" s="21">
        <f xml:space="preserve"> (L442 - K442)/(K442-J442)</f>
        <v>-0.28092042186001914</v>
      </c>
      <c r="N442" s="21">
        <f>K442/L442</f>
        <v>1.0669714285714285</v>
      </c>
      <c r="O442" s="7">
        <v>-1.6400000000000001E-2</v>
      </c>
      <c r="P442" s="7">
        <v>-1.6400000000000001E-2</v>
      </c>
      <c r="Q442" s="33"/>
      <c r="R442" t="s">
        <v>449</v>
      </c>
      <c r="S442" t="s">
        <v>449</v>
      </c>
      <c r="T442" t="s">
        <v>451</v>
      </c>
    </row>
    <row r="443" spans="2:20">
      <c r="B443" s="33">
        <v>0</v>
      </c>
      <c r="C443" s="33"/>
      <c r="D443" s="17" t="s">
        <v>847</v>
      </c>
      <c r="E443" t="s">
        <v>422</v>
      </c>
      <c r="F443" t="s">
        <v>380</v>
      </c>
      <c r="G443" t="s">
        <v>380</v>
      </c>
      <c r="H443" t="s">
        <v>448</v>
      </c>
      <c r="J443" s="21">
        <v>55</v>
      </c>
      <c r="K443">
        <v>43.27</v>
      </c>
      <c r="L443" s="21">
        <v>65</v>
      </c>
      <c r="M443" s="21">
        <f xml:space="preserve"> (L443 - K443)/(K443-J443)</f>
        <v>-1.852514919011083</v>
      </c>
      <c r="N443" s="21">
        <f>K443/L443</f>
        <v>0.66569230769230769</v>
      </c>
      <c r="O443" s="7">
        <v>-4.5999999999999999E-3</v>
      </c>
      <c r="P443" s="7">
        <v>-4.5999999999999999E-3</v>
      </c>
      <c r="Q443" s="34"/>
      <c r="R443" t="s">
        <v>448</v>
      </c>
      <c r="S443" t="s">
        <v>448</v>
      </c>
      <c r="T443" t="s">
        <v>450</v>
      </c>
    </row>
    <row r="444" spans="2:20">
      <c r="B444" s="33">
        <v>-5</v>
      </c>
      <c r="C444" s="32">
        <v>14</v>
      </c>
      <c r="D444" t="s">
        <v>876</v>
      </c>
      <c r="E444" t="s">
        <v>230</v>
      </c>
      <c r="F444">
        <v>0</v>
      </c>
      <c r="G444" t="s">
        <v>380</v>
      </c>
      <c r="H444" t="s">
        <v>449</v>
      </c>
      <c r="J444" s="21"/>
      <c r="K444">
        <v>6.33</v>
      </c>
      <c r="L444" s="21"/>
      <c r="M444" s="21"/>
      <c r="N444" s="21"/>
      <c r="O444" s="7">
        <v>1.2699999999999999E-2</v>
      </c>
      <c r="P444" s="7">
        <v>1.2699999999999999E-2</v>
      </c>
      <c r="Q444" s="33"/>
      <c r="R444" t="s">
        <v>449</v>
      </c>
      <c r="S444" t="s">
        <v>449</v>
      </c>
      <c r="T444" t="s">
        <v>451</v>
      </c>
    </row>
    <row r="445" spans="2:20">
      <c r="B445" s="33">
        <v>-5</v>
      </c>
      <c r="C445" s="42">
        <v>7</v>
      </c>
      <c r="D445" t="s">
        <v>48</v>
      </c>
      <c r="E445" t="s">
        <v>220</v>
      </c>
      <c r="F445" t="s">
        <v>383</v>
      </c>
      <c r="G445" t="s">
        <v>383</v>
      </c>
      <c r="H445" t="s">
        <v>448</v>
      </c>
      <c r="J445" s="21">
        <v>87</v>
      </c>
      <c r="K445">
        <v>124.88</v>
      </c>
      <c r="L445" s="21">
        <v>100</v>
      </c>
      <c r="M445" s="21">
        <f xml:space="preserve"> (L445 - K445)/(K445-J445)</f>
        <v>-0.65681098204857435</v>
      </c>
      <c r="N445" s="21">
        <f>K445/L445</f>
        <v>1.2487999999999999</v>
      </c>
      <c r="O445" s="7">
        <v>1.0699999999999999E-2</v>
      </c>
      <c r="P445" s="7">
        <v>1.0699999999999999E-2</v>
      </c>
      <c r="Q445" s="33" t="s">
        <v>444</v>
      </c>
      <c r="R445" t="s">
        <v>448</v>
      </c>
      <c r="S445" t="s">
        <v>448</v>
      </c>
      <c r="T445" t="s">
        <v>450</v>
      </c>
    </row>
    <row r="446" spans="2:20">
      <c r="B446" s="33">
        <v>-5</v>
      </c>
      <c r="C446" s="33"/>
      <c r="D446" t="s">
        <v>353</v>
      </c>
      <c r="E446" t="s">
        <v>388</v>
      </c>
      <c r="F446" t="s">
        <v>383</v>
      </c>
      <c r="G446" t="s">
        <v>383</v>
      </c>
      <c r="H446" t="s">
        <v>448</v>
      </c>
      <c r="I446" s="17"/>
      <c r="J446" s="24">
        <v>15.7</v>
      </c>
      <c r="K446">
        <v>19</v>
      </c>
      <c r="L446" s="24">
        <v>17</v>
      </c>
      <c r="M446" s="24">
        <f xml:space="preserve"> (L446 - K446)/(K446-J446)</f>
        <v>-0.60606060606060597</v>
      </c>
      <c r="N446" s="21">
        <f>K446/L446</f>
        <v>1.1176470588235294</v>
      </c>
      <c r="O446" s="7">
        <v>2.6800000000000001E-2</v>
      </c>
      <c r="P446" s="7">
        <v>2.6800000000000001E-2</v>
      </c>
      <c r="Q446" s="34" t="s">
        <v>599</v>
      </c>
      <c r="R446" t="s">
        <v>448</v>
      </c>
      <c r="S446" t="s">
        <v>448</v>
      </c>
      <c r="T446" t="s">
        <v>600</v>
      </c>
    </row>
    <row r="447" spans="2:20">
      <c r="B447" s="33">
        <v>-5</v>
      </c>
      <c r="C447" s="60">
        <v>6</v>
      </c>
      <c r="D447" t="s">
        <v>23</v>
      </c>
      <c r="E447" t="s">
        <v>392</v>
      </c>
      <c r="F447" t="s">
        <v>384</v>
      </c>
      <c r="G447" t="s">
        <v>381</v>
      </c>
      <c r="H447" t="s">
        <v>449</v>
      </c>
      <c r="J447" s="21">
        <v>83</v>
      </c>
      <c r="K447">
        <v>66.16</v>
      </c>
      <c r="L447" s="21">
        <v>95</v>
      </c>
      <c r="M447" s="21">
        <f xml:space="preserve"> (L447 - K447)/(K447-J447)</f>
        <v>-1.7125890736342042</v>
      </c>
      <c r="N447" s="21">
        <f>K447/L447</f>
        <v>0.69642105263157894</v>
      </c>
      <c r="O447" s="7">
        <v>1E-4</v>
      </c>
      <c r="P447" s="7">
        <v>1E-4</v>
      </c>
      <c r="Q447" s="33"/>
      <c r="R447" t="s">
        <v>448</v>
      </c>
      <c r="S447" t="s">
        <v>448</v>
      </c>
      <c r="T447" t="s">
        <v>450</v>
      </c>
    </row>
    <row r="448" spans="2:20">
      <c r="B448" s="33">
        <v>-5</v>
      </c>
      <c r="C448" s="33"/>
      <c r="D448" t="s">
        <v>559</v>
      </c>
      <c r="E448" t="s">
        <v>230</v>
      </c>
      <c r="F448" t="s">
        <v>380</v>
      </c>
      <c r="G448" t="s">
        <v>380</v>
      </c>
      <c r="H448" t="s">
        <v>449</v>
      </c>
      <c r="J448" s="21">
        <v>200</v>
      </c>
      <c r="K448">
        <v>247.93</v>
      </c>
      <c r="L448" s="21">
        <v>240</v>
      </c>
      <c r="M448" s="21">
        <f xml:space="preserve"> (L448 - K448)/(K448-J448)</f>
        <v>-0.16544961402044661</v>
      </c>
      <c r="N448" s="21">
        <f>K448/L448</f>
        <v>1.0330416666666666</v>
      </c>
      <c r="O448" s="7">
        <v>3.4599999999999999E-2</v>
      </c>
      <c r="P448" s="7">
        <v>3.4599999999999999E-2</v>
      </c>
      <c r="Q448" s="33"/>
      <c r="R448" t="s">
        <v>449</v>
      </c>
      <c r="S448" t="s">
        <v>450</v>
      </c>
      <c r="T448" t="s">
        <v>600</v>
      </c>
    </row>
    <row r="449" spans="2:20">
      <c r="B449" s="33">
        <v>-5</v>
      </c>
      <c r="C449" s="33"/>
      <c r="D449" s="17" t="s">
        <v>926</v>
      </c>
      <c r="E449" t="s">
        <v>390</v>
      </c>
      <c r="F449" t="s">
        <v>383</v>
      </c>
      <c r="G449" t="s">
        <v>383</v>
      </c>
      <c r="H449" t="s">
        <v>448</v>
      </c>
      <c r="J449" s="21"/>
      <c r="K449">
        <v>7.28</v>
      </c>
      <c r="L449" s="21"/>
      <c r="M449" s="21"/>
      <c r="N449" s="21"/>
      <c r="O449" s="7">
        <v>-3.7699999999999997E-2</v>
      </c>
      <c r="P449" s="7">
        <v>-3.7699999999999997E-2</v>
      </c>
      <c r="Q449" s="34"/>
      <c r="R449" t="s">
        <v>448</v>
      </c>
      <c r="S449" t="s">
        <v>449</v>
      </c>
      <c r="T449" t="s">
        <v>451</v>
      </c>
    </row>
    <row r="450" spans="2:20">
      <c r="B450" s="33">
        <v>-5</v>
      </c>
      <c r="C450" s="33"/>
      <c r="D450" t="s">
        <v>585</v>
      </c>
      <c r="E450" t="s">
        <v>403</v>
      </c>
      <c r="F450" t="s">
        <v>384</v>
      </c>
      <c r="G450" t="s">
        <v>380</v>
      </c>
      <c r="H450" t="s">
        <v>449</v>
      </c>
      <c r="J450" s="21">
        <v>190</v>
      </c>
      <c r="K450">
        <v>124.93</v>
      </c>
      <c r="L450" s="21">
        <v>250</v>
      </c>
      <c r="M450" s="21">
        <f xml:space="preserve"> (L450 - K450)/(K450-J450)</f>
        <v>-1.9220839096357769</v>
      </c>
      <c r="N450" s="21">
        <f>K450/L450</f>
        <v>0.49972000000000005</v>
      </c>
      <c r="O450" s="7">
        <v>4.6300000000000001E-2</v>
      </c>
      <c r="P450" s="7">
        <v>4.6300000000000001E-2</v>
      </c>
      <c r="Q450" s="33"/>
      <c r="R450" t="s">
        <v>449</v>
      </c>
      <c r="S450" t="s">
        <v>449</v>
      </c>
      <c r="T450" t="s">
        <v>450</v>
      </c>
    </row>
    <row r="451" spans="2:20">
      <c r="B451" s="33">
        <v>-5</v>
      </c>
      <c r="C451" s="42">
        <v>7</v>
      </c>
      <c r="D451" t="s">
        <v>324</v>
      </c>
      <c r="E451" t="s">
        <v>406</v>
      </c>
      <c r="F451" t="s">
        <v>381</v>
      </c>
      <c r="G451" t="s">
        <v>381</v>
      </c>
      <c r="H451" t="s">
        <v>448</v>
      </c>
      <c r="J451" s="21">
        <v>100</v>
      </c>
      <c r="K451">
        <v>131.21</v>
      </c>
      <c r="L451" s="21">
        <v>120</v>
      </c>
      <c r="M451" s="21">
        <f xml:space="preserve"> (L451 - K451)/(K451-J451)</f>
        <v>-0.35917975008010272</v>
      </c>
      <c r="N451" s="21">
        <f>K451/L451</f>
        <v>1.0934166666666667</v>
      </c>
      <c r="O451" s="7">
        <v>4.7899999999999998E-2</v>
      </c>
      <c r="P451" s="7">
        <v>4.7899999999999998E-2</v>
      </c>
      <c r="Q451" s="33" t="s">
        <v>325</v>
      </c>
      <c r="R451" t="s">
        <v>450</v>
      </c>
      <c r="S451" t="s">
        <v>449</v>
      </c>
      <c r="T451" t="s">
        <v>450</v>
      </c>
    </row>
    <row r="452" spans="2:20">
      <c r="B452" s="33">
        <v>-5</v>
      </c>
      <c r="C452" s="33"/>
      <c r="D452" t="s">
        <v>605</v>
      </c>
      <c r="E452" t="s">
        <v>415</v>
      </c>
      <c r="F452" t="s">
        <v>385</v>
      </c>
      <c r="G452" t="s">
        <v>385</v>
      </c>
      <c r="H452" t="s">
        <v>448</v>
      </c>
      <c r="J452" s="21">
        <v>45</v>
      </c>
      <c r="K452">
        <v>43.77</v>
      </c>
      <c r="L452" s="21">
        <v>80</v>
      </c>
      <c r="M452" s="21">
        <f xml:space="preserve"> (L452 - K452)/(K452-J452)</f>
        <v>-29.455284552845601</v>
      </c>
      <c r="N452" s="21">
        <f>K452/L452</f>
        <v>0.54712500000000008</v>
      </c>
      <c r="O452" s="7">
        <v>1.9099999999999999E-2</v>
      </c>
      <c r="P452" s="7">
        <v>1.9099999999999999E-2</v>
      </c>
      <c r="Q452" s="34"/>
      <c r="R452" t="s">
        <v>448</v>
      </c>
      <c r="S452" t="s">
        <v>448</v>
      </c>
      <c r="T452" t="s">
        <v>450</v>
      </c>
    </row>
    <row r="453" spans="2:20">
      <c r="B453" s="33">
        <v>-5</v>
      </c>
      <c r="C453" s="33"/>
      <c r="D453" t="s">
        <v>508</v>
      </c>
      <c r="E453" t="s">
        <v>513</v>
      </c>
      <c r="F453" t="s">
        <v>381</v>
      </c>
      <c r="G453" t="s">
        <v>381</v>
      </c>
      <c r="H453" t="s">
        <v>448</v>
      </c>
      <c r="J453" s="21">
        <v>450</v>
      </c>
      <c r="K453">
        <v>593.6</v>
      </c>
      <c r="L453" s="21">
        <v>600</v>
      </c>
      <c r="M453" s="21">
        <f xml:space="preserve"> (L453 - K453)/(K453-J453)</f>
        <v>4.4568245125348023E-2</v>
      </c>
      <c r="N453" s="21">
        <f>K453/L453</f>
        <v>0.9893333333333334</v>
      </c>
      <c r="O453" s="7">
        <v>-1.55E-2</v>
      </c>
      <c r="P453" s="7">
        <v>-1.55E-2</v>
      </c>
      <c r="Q453" s="33"/>
      <c r="R453" t="s">
        <v>449</v>
      </c>
      <c r="S453" t="s">
        <v>449</v>
      </c>
      <c r="T453" t="s">
        <v>451</v>
      </c>
    </row>
    <row r="454" spans="2:20">
      <c r="B454" s="33">
        <v>-5</v>
      </c>
      <c r="C454" s="42">
        <v>7</v>
      </c>
      <c r="D454" t="s">
        <v>240</v>
      </c>
      <c r="E454" t="s">
        <v>396</v>
      </c>
      <c r="F454" t="s">
        <v>386</v>
      </c>
      <c r="G454" t="s">
        <v>386</v>
      </c>
      <c r="H454" t="s">
        <v>448</v>
      </c>
      <c r="J454" s="21">
        <v>160</v>
      </c>
      <c r="K454">
        <v>149.62</v>
      </c>
      <c r="L454" s="21">
        <v>260</v>
      </c>
      <c r="M454" s="21">
        <f xml:space="preserve"> (L454 - K454)/(K454-J454)</f>
        <v>-10.633911368015418</v>
      </c>
      <c r="N454" s="21">
        <f>K454/L454</f>
        <v>0.57546153846153847</v>
      </c>
      <c r="O454" s="7">
        <v>-8.0399999999999999E-2</v>
      </c>
      <c r="P454" s="7">
        <v>-8.0399999999999999E-2</v>
      </c>
      <c r="Q454" s="33" t="s">
        <v>141</v>
      </c>
      <c r="R454" t="s">
        <v>448</v>
      </c>
      <c r="S454" t="s">
        <v>448</v>
      </c>
      <c r="T454" t="s">
        <v>450</v>
      </c>
    </row>
    <row r="455" spans="2:20">
      <c r="B455" s="33">
        <v>-5</v>
      </c>
      <c r="C455" s="33"/>
      <c r="D455" t="s">
        <v>562</v>
      </c>
      <c r="E455" t="s">
        <v>394</v>
      </c>
      <c r="F455" t="s">
        <v>384</v>
      </c>
      <c r="G455" t="s">
        <v>384</v>
      </c>
      <c r="H455" t="s">
        <v>448</v>
      </c>
      <c r="I455" s="17"/>
      <c r="J455" s="24">
        <v>120</v>
      </c>
      <c r="K455">
        <v>185.83</v>
      </c>
      <c r="L455" s="21">
        <v>150</v>
      </c>
      <c r="M455" s="21">
        <f xml:space="preserve"> (L455 - K455)/(K455-J455)</f>
        <v>-0.54428072307458619</v>
      </c>
      <c r="N455" s="21"/>
      <c r="O455" s="7">
        <v>3.2000000000000002E-3</v>
      </c>
      <c r="P455" s="7">
        <v>3.2000000000000002E-3</v>
      </c>
      <c r="Q455" s="33"/>
      <c r="R455" t="s">
        <v>448</v>
      </c>
      <c r="S455" t="s">
        <v>448</v>
      </c>
      <c r="T455" t="s">
        <v>452</v>
      </c>
    </row>
    <row r="456" spans="2:20">
      <c r="B456" s="33">
        <v>-5</v>
      </c>
      <c r="C456" s="33"/>
      <c r="D456" t="s">
        <v>639</v>
      </c>
      <c r="E456" t="s">
        <v>409</v>
      </c>
      <c r="F456" t="s">
        <v>384</v>
      </c>
      <c r="G456" t="s">
        <v>383</v>
      </c>
      <c r="H456" t="s">
        <v>448</v>
      </c>
      <c r="J456" s="21">
        <v>40</v>
      </c>
      <c r="K456">
        <v>20.399999999999999</v>
      </c>
      <c r="L456" s="21">
        <v>75</v>
      </c>
      <c r="M456" s="21">
        <f xml:space="preserve"> (L456 - K456)/(K456-J456)</f>
        <v>-2.7857142857142856</v>
      </c>
      <c r="N456" s="21">
        <f>K456/L456</f>
        <v>0.27199999999999996</v>
      </c>
      <c r="O456" s="7">
        <v>3.5999999999999999E-3</v>
      </c>
      <c r="P456" s="7">
        <v>3.5999999999999999E-3</v>
      </c>
      <c r="Q456" s="33"/>
      <c r="R456" t="s">
        <v>449</v>
      </c>
      <c r="S456" t="s">
        <v>448</v>
      </c>
      <c r="T456" t="s">
        <v>450</v>
      </c>
    </row>
    <row r="457" spans="2:20">
      <c r="B457" s="33">
        <v>-5</v>
      </c>
      <c r="C457" s="33"/>
      <c r="D457" t="s">
        <v>467</v>
      </c>
      <c r="E457" t="s">
        <v>230</v>
      </c>
      <c r="F457" t="s">
        <v>380</v>
      </c>
      <c r="G457" t="s">
        <v>380</v>
      </c>
      <c r="H457" t="s">
        <v>449</v>
      </c>
      <c r="J457" s="21">
        <v>240</v>
      </c>
      <c r="K457">
        <v>195.37</v>
      </c>
      <c r="L457" s="21">
        <v>280</v>
      </c>
      <c r="M457" s="21">
        <f xml:space="preserve"> (L457 - K457)/(K457-J457)</f>
        <v>-1.8962581223392339</v>
      </c>
      <c r="N457" s="21">
        <f>K457/L457</f>
        <v>0.69774999999999998</v>
      </c>
      <c r="O457" s="7">
        <v>2.3099999999999999E-2</v>
      </c>
      <c r="P457" s="7">
        <v>2.3099999999999999E-2</v>
      </c>
      <c r="Q457" s="33"/>
      <c r="R457" t="s">
        <v>449</v>
      </c>
      <c r="S457" t="s">
        <v>449</v>
      </c>
      <c r="T457" t="s">
        <v>450</v>
      </c>
    </row>
    <row r="458" spans="2:20">
      <c r="B458" s="33">
        <v>-5</v>
      </c>
      <c r="C458" s="33"/>
      <c r="D458" t="s">
        <v>944</v>
      </c>
      <c r="F458" t="s">
        <v>387</v>
      </c>
      <c r="G458" t="s">
        <v>387</v>
      </c>
      <c r="H458" t="s">
        <v>449</v>
      </c>
      <c r="J458" s="21"/>
      <c r="K458"/>
      <c r="L458" s="21"/>
      <c r="M458" s="21"/>
      <c r="N458" s="21"/>
      <c r="O458" s="7"/>
      <c r="P458" s="7"/>
      <c r="Q458" s="33"/>
    </row>
    <row r="459" spans="2:20">
      <c r="B459" s="33">
        <v>-5</v>
      </c>
      <c r="C459" s="33"/>
      <c r="D459" t="s">
        <v>472</v>
      </c>
      <c r="E459" t="s">
        <v>583</v>
      </c>
      <c r="F459" t="s">
        <v>384</v>
      </c>
      <c r="G459" t="s">
        <v>384</v>
      </c>
      <c r="H459" t="s">
        <v>448</v>
      </c>
      <c r="J459" s="21"/>
      <c r="K459">
        <v>89.93</v>
      </c>
      <c r="L459" s="21"/>
      <c r="M459" s="21"/>
      <c r="N459" s="21"/>
      <c r="O459" s="7">
        <v>-1E-4</v>
      </c>
      <c r="P459" s="7">
        <v>-1E-4</v>
      </c>
      <c r="Q459" s="33"/>
      <c r="R459" t="s">
        <v>450</v>
      </c>
      <c r="S459" t="s">
        <v>449</v>
      </c>
      <c r="T459" t="s">
        <v>452</v>
      </c>
    </row>
    <row r="460" spans="2:20">
      <c r="B460" s="33">
        <v>-5</v>
      </c>
      <c r="C460" s="42">
        <v>7</v>
      </c>
      <c r="D460" t="s">
        <v>18</v>
      </c>
      <c r="E460" t="s">
        <v>220</v>
      </c>
      <c r="F460" t="s">
        <v>380</v>
      </c>
      <c r="G460" t="s">
        <v>380</v>
      </c>
      <c r="H460" t="s">
        <v>448</v>
      </c>
      <c r="J460" s="21">
        <v>35</v>
      </c>
      <c r="K460">
        <v>23.6</v>
      </c>
      <c r="L460" s="21">
        <v>40</v>
      </c>
      <c r="M460" s="21">
        <f xml:space="preserve"> (L460 - K460)/(K460-J460)</f>
        <v>-1.4385964912280702</v>
      </c>
      <c r="N460" s="21">
        <f>K460/L460</f>
        <v>0.59000000000000008</v>
      </c>
      <c r="O460" s="7">
        <v>-4.0000000000000001E-3</v>
      </c>
      <c r="P460" s="7">
        <v>-4.0000000000000001E-3</v>
      </c>
      <c r="Q460" s="34" t="s">
        <v>103</v>
      </c>
      <c r="R460" t="s">
        <v>448</v>
      </c>
      <c r="S460" t="s">
        <v>448</v>
      </c>
      <c r="T460" t="s">
        <v>450</v>
      </c>
    </row>
    <row r="461" spans="2:20">
      <c r="B461" s="33">
        <v>-5</v>
      </c>
      <c r="C461" s="33"/>
      <c r="D461" t="s">
        <v>953</v>
      </c>
      <c r="F461"/>
      <c r="G461"/>
      <c r="H461"/>
      <c r="J461" s="21"/>
      <c r="K461"/>
      <c r="L461" s="21"/>
      <c r="M461" s="21"/>
      <c r="N461" s="21"/>
      <c r="O461" s="7"/>
      <c r="P461" s="7"/>
      <c r="Q461" s="33"/>
    </row>
    <row r="462" spans="2:20">
      <c r="B462" s="33">
        <v>-5</v>
      </c>
      <c r="C462" s="33"/>
      <c r="D462" s="17" t="s">
        <v>921</v>
      </c>
      <c r="E462" t="s">
        <v>378</v>
      </c>
      <c r="F462" t="s">
        <v>385</v>
      </c>
      <c r="G462" t="s">
        <v>385</v>
      </c>
      <c r="H462" t="s">
        <v>448</v>
      </c>
      <c r="J462" s="21"/>
      <c r="K462">
        <v>52.93</v>
      </c>
      <c r="L462" s="21"/>
      <c r="M462" s="21"/>
      <c r="N462" s="21"/>
      <c r="O462" s="7">
        <v>5.5999999999999999E-3</v>
      </c>
      <c r="P462" s="7">
        <v>5.5999999999999999E-3</v>
      </c>
      <c r="Q462" s="34"/>
      <c r="R462" t="s">
        <v>449</v>
      </c>
      <c r="S462" t="s">
        <v>449</v>
      </c>
      <c r="T462" t="s">
        <v>452</v>
      </c>
    </row>
    <row r="463" spans="2:20">
      <c r="B463" s="33">
        <v>-5</v>
      </c>
      <c r="C463" s="33"/>
      <c r="D463" t="s">
        <v>697</v>
      </c>
      <c r="E463" t="s">
        <v>230</v>
      </c>
      <c r="F463" t="s">
        <v>380</v>
      </c>
      <c r="G463" t="s">
        <v>380</v>
      </c>
      <c r="H463" t="s">
        <v>449</v>
      </c>
      <c r="J463" s="21">
        <v>28</v>
      </c>
      <c r="K463">
        <v>24.65</v>
      </c>
      <c r="L463" s="21">
        <v>32</v>
      </c>
      <c r="M463" s="21">
        <f xml:space="preserve"> (L463 - K463)/(K463-J463)</f>
        <v>-2.1940298507462681</v>
      </c>
      <c r="N463" s="24">
        <f>K463/L463</f>
        <v>0.77031249999999996</v>
      </c>
      <c r="O463" s="7">
        <v>1.7100000000000001E-2</v>
      </c>
      <c r="P463" s="7">
        <v>1.7100000000000001E-2</v>
      </c>
      <c r="Q463" s="33"/>
      <c r="R463" t="s">
        <v>449</v>
      </c>
      <c r="S463" t="s">
        <v>449</v>
      </c>
      <c r="T463" t="s">
        <v>450</v>
      </c>
    </row>
    <row r="464" spans="2:20">
      <c r="B464" s="33">
        <v>-5</v>
      </c>
      <c r="C464" s="33"/>
      <c r="D464" t="s">
        <v>637</v>
      </c>
      <c r="E464" t="s">
        <v>638</v>
      </c>
      <c r="F464" t="s">
        <v>384</v>
      </c>
      <c r="G464" t="s">
        <v>384</v>
      </c>
      <c r="H464" t="s">
        <v>448</v>
      </c>
      <c r="J464" s="21">
        <v>125</v>
      </c>
      <c r="K464">
        <v>181.32</v>
      </c>
      <c r="L464" s="21">
        <v>140</v>
      </c>
      <c r="M464" s="21">
        <f xml:space="preserve"> (L464 - K464)/(K464-J464)</f>
        <v>-0.73366477272727271</v>
      </c>
      <c r="N464" s="21">
        <f>K464/L464</f>
        <v>1.2951428571428572</v>
      </c>
      <c r="O464" s="7">
        <v>2.3E-3</v>
      </c>
      <c r="P464" s="7">
        <v>2.3E-3</v>
      </c>
      <c r="Q464" s="34"/>
      <c r="R464" t="s">
        <v>449</v>
      </c>
      <c r="S464" t="s">
        <v>449</v>
      </c>
      <c r="T464" t="s">
        <v>450</v>
      </c>
    </row>
    <row r="465" spans="2:20">
      <c r="B465" s="33">
        <v>-5</v>
      </c>
      <c r="C465" s="33"/>
      <c r="D465" t="s">
        <v>314</v>
      </c>
      <c r="F465" t="s">
        <v>386</v>
      </c>
      <c r="G465" t="s">
        <v>386</v>
      </c>
      <c r="H465" t="s">
        <v>449</v>
      </c>
      <c r="J465" s="21">
        <v>200</v>
      </c>
      <c r="K465">
        <v>205.41</v>
      </c>
      <c r="L465" s="21">
        <v>250</v>
      </c>
      <c r="M465" s="21">
        <f xml:space="preserve"> (L465 - K465)/(K465-J465)</f>
        <v>8.2421441774491733</v>
      </c>
      <c r="N465" s="21">
        <f>K465/L465</f>
        <v>0.82164000000000004</v>
      </c>
      <c r="O465" s="7">
        <v>-4.1000000000000003E-3</v>
      </c>
      <c r="P465" s="7">
        <v>-4.1000000000000003E-3</v>
      </c>
      <c r="Q465" s="33"/>
      <c r="R465" t="s">
        <v>449</v>
      </c>
      <c r="S465" t="s">
        <v>448</v>
      </c>
      <c r="T465" t="s">
        <v>451</v>
      </c>
    </row>
    <row r="466" spans="2:20">
      <c r="B466" s="33">
        <v>-5</v>
      </c>
      <c r="C466" s="33"/>
      <c r="D466" s="17" t="s">
        <v>857</v>
      </c>
      <c r="E466" t="s">
        <v>416</v>
      </c>
      <c r="F466" t="s">
        <v>385</v>
      </c>
      <c r="G466" t="s">
        <v>385</v>
      </c>
      <c r="H466" t="s">
        <v>448</v>
      </c>
      <c r="J466" s="21">
        <v>30</v>
      </c>
      <c r="K466">
        <v>70.92</v>
      </c>
      <c r="L466" s="21">
        <v>70</v>
      </c>
      <c r="M466" s="21">
        <f xml:space="preserve"> (L466 - K466)/(K466-J466)</f>
        <v>-2.2482893450635425E-2</v>
      </c>
      <c r="N466" s="21">
        <f>K466/L466</f>
        <v>1.0131428571428571</v>
      </c>
      <c r="O466" s="7">
        <v>6.8199999999999997E-2</v>
      </c>
      <c r="P466" s="7">
        <v>6.8199999999999997E-2</v>
      </c>
      <c r="Q466" s="34"/>
      <c r="R466" t="s">
        <v>449</v>
      </c>
      <c r="S466" t="s">
        <v>449</v>
      </c>
      <c r="T466" t="s">
        <v>450</v>
      </c>
    </row>
    <row r="467" spans="2:20">
      <c r="B467" s="33">
        <v>-5</v>
      </c>
      <c r="C467" s="33"/>
      <c r="D467" t="s">
        <v>286</v>
      </c>
      <c r="E467" t="s">
        <v>578</v>
      </c>
      <c r="F467" t="s">
        <v>380</v>
      </c>
      <c r="G467" t="s">
        <v>380</v>
      </c>
      <c r="H467" t="s">
        <v>448</v>
      </c>
      <c r="J467" s="21"/>
      <c r="K467">
        <v>7.62</v>
      </c>
      <c r="L467" s="21"/>
      <c r="M467" s="21"/>
      <c r="N467" s="21"/>
      <c r="O467" s="7">
        <v>-2.23E-2</v>
      </c>
      <c r="P467" s="7">
        <v>-2.23E-2</v>
      </c>
      <c r="Q467" s="33"/>
      <c r="R467" t="s">
        <v>449</v>
      </c>
      <c r="S467" t="s">
        <v>449</v>
      </c>
      <c r="T467" t="s">
        <v>452</v>
      </c>
    </row>
    <row r="468" spans="2:20">
      <c r="B468" s="33">
        <v>-5</v>
      </c>
      <c r="C468" s="33"/>
      <c r="D468" t="s">
        <v>948</v>
      </c>
      <c r="F468"/>
      <c r="G468"/>
      <c r="H468"/>
      <c r="J468" s="21"/>
      <c r="K468"/>
      <c r="L468" s="21"/>
      <c r="M468" s="21"/>
      <c r="N468" s="21"/>
      <c r="O468" s="7"/>
      <c r="P468" s="7"/>
      <c r="Q468" s="33"/>
    </row>
    <row r="469" spans="2:20">
      <c r="B469" s="33">
        <v>-5</v>
      </c>
      <c r="C469" s="33"/>
      <c r="D469" t="s">
        <v>426</v>
      </c>
      <c r="E469" t="s">
        <v>230</v>
      </c>
      <c r="F469" t="s">
        <v>380</v>
      </c>
      <c r="G469" t="s">
        <v>380</v>
      </c>
      <c r="H469" t="s">
        <v>449</v>
      </c>
      <c r="J469" s="21">
        <v>400</v>
      </c>
      <c r="K469">
        <v>381.86</v>
      </c>
      <c r="L469" s="21">
        <v>460</v>
      </c>
      <c r="M469" s="21">
        <f xml:space="preserve"> (L469 - K469)/(K469-J469)</f>
        <v>-4.3076074972436631</v>
      </c>
      <c r="N469" s="21">
        <f>K469/L469</f>
        <v>0.83013043478260873</v>
      </c>
      <c r="O469" s="7">
        <v>-1.2999999999999999E-3</v>
      </c>
      <c r="P469" s="7">
        <v>-1.2999999999999999E-3</v>
      </c>
      <c r="Q469" s="33"/>
      <c r="R469" t="s">
        <v>449</v>
      </c>
      <c r="S469" t="s">
        <v>449</v>
      </c>
      <c r="T469" t="s">
        <v>600</v>
      </c>
    </row>
    <row r="470" spans="2:20">
      <c r="B470" s="33">
        <v>-5</v>
      </c>
      <c r="C470" s="33"/>
      <c r="D470" t="s">
        <v>75</v>
      </c>
      <c r="E470" t="s">
        <v>388</v>
      </c>
      <c r="F470" t="s">
        <v>384</v>
      </c>
      <c r="G470" t="s">
        <v>384</v>
      </c>
      <c r="H470" t="s">
        <v>448</v>
      </c>
      <c r="J470" s="21">
        <v>15</v>
      </c>
      <c r="K470">
        <v>15.74</v>
      </c>
      <c r="L470" s="21">
        <v>25</v>
      </c>
      <c r="M470" s="21">
        <f xml:space="preserve"> (L470 - K470)/(K470-J470)</f>
        <v>12.51351351351351</v>
      </c>
      <c r="N470" s="21">
        <f>K470/L470</f>
        <v>0.62960000000000005</v>
      </c>
      <c r="O470" s="7">
        <v>3.7699999999999997E-2</v>
      </c>
      <c r="P470" s="7">
        <v>3.7699999999999997E-2</v>
      </c>
      <c r="Q470" s="34" t="s">
        <v>106</v>
      </c>
      <c r="R470" t="s">
        <v>450</v>
      </c>
      <c r="S470" t="s">
        <v>450</v>
      </c>
      <c r="T470" t="s">
        <v>452</v>
      </c>
    </row>
    <row r="471" spans="2:20">
      <c r="B471" s="33">
        <v>-5</v>
      </c>
      <c r="C471" s="33"/>
      <c r="D471" t="s">
        <v>24</v>
      </c>
      <c r="E471" t="s">
        <v>379</v>
      </c>
      <c r="F471" t="s">
        <v>387</v>
      </c>
      <c r="G471" t="s">
        <v>387</v>
      </c>
      <c r="H471" t="s">
        <v>449</v>
      </c>
      <c r="J471" s="21">
        <v>250</v>
      </c>
      <c r="K471">
        <v>282.14</v>
      </c>
      <c r="L471" s="21">
        <v>350</v>
      </c>
      <c r="M471" s="21">
        <f xml:space="preserve"> (L471 - K471)/(K471-J471)</f>
        <v>2.111387678904793</v>
      </c>
      <c r="N471" s="21"/>
      <c r="O471" s="7">
        <v>4.4600000000000001E-2</v>
      </c>
      <c r="P471" s="7">
        <v>4.4600000000000001E-2</v>
      </c>
      <c r="Q471" s="33" t="s">
        <v>160</v>
      </c>
      <c r="R471" t="s">
        <v>449</v>
      </c>
      <c r="S471" t="s">
        <v>449</v>
      </c>
      <c r="T471" t="s">
        <v>452</v>
      </c>
    </row>
    <row r="472" spans="2:20">
      <c r="B472" s="33">
        <v>-5</v>
      </c>
      <c r="C472" s="33"/>
      <c r="D472" t="s">
        <v>528</v>
      </c>
      <c r="E472" t="s">
        <v>135</v>
      </c>
      <c r="F472" t="s">
        <v>383</v>
      </c>
      <c r="G472" t="s">
        <v>383</v>
      </c>
      <c r="H472" t="s">
        <v>448</v>
      </c>
      <c r="J472" s="21">
        <v>100</v>
      </c>
      <c r="K472">
        <v>172.89</v>
      </c>
      <c r="L472" s="21">
        <v>150</v>
      </c>
      <c r="M472" s="21">
        <f xml:space="preserve"> (L472 - K472)/(K472-J472)</f>
        <v>-0.31403484702977075</v>
      </c>
      <c r="N472" s="21">
        <f>K472/L472</f>
        <v>1.1525999999999998</v>
      </c>
      <c r="O472" s="7">
        <v>-2.2100000000000002E-2</v>
      </c>
      <c r="P472" s="7">
        <v>-2.2100000000000002E-2</v>
      </c>
      <c r="Q472" s="33"/>
      <c r="R472" t="s">
        <v>450</v>
      </c>
      <c r="S472" t="s">
        <v>449</v>
      </c>
      <c r="T472" t="s">
        <v>450</v>
      </c>
    </row>
    <row r="473" spans="2:20">
      <c r="B473" s="33">
        <v>-5</v>
      </c>
      <c r="C473" s="33"/>
      <c r="D473" t="s">
        <v>346</v>
      </c>
      <c r="E473" t="s">
        <v>391</v>
      </c>
      <c r="F473" t="s">
        <v>384</v>
      </c>
      <c r="G473" t="s">
        <v>384</v>
      </c>
      <c r="H473" t="s">
        <v>448</v>
      </c>
      <c r="J473" s="21">
        <v>110</v>
      </c>
      <c r="K473">
        <v>88.59</v>
      </c>
      <c r="L473" s="21">
        <v>150</v>
      </c>
      <c r="M473" s="21">
        <f xml:space="preserve"> (L473 - K473)/(K473-J473)</f>
        <v>-2.8682858477347035</v>
      </c>
      <c r="N473" s="21">
        <f>K473/L473</f>
        <v>0.59060000000000001</v>
      </c>
      <c r="O473" s="7">
        <v>-8.0000000000000004E-4</v>
      </c>
      <c r="P473" s="7">
        <v>-8.0000000000000004E-4</v>
      </c>
      <c r="Q473" s="33"/>
      <c r="R473" t="s">
        <v>449</v>
      </c>
      <c r="S473" t="s">
        <v>449</v>
      </c>
      <c r="T473" t="s">
        <v>450</v>
      </c>
    </row>
    <row r="474" spans="2:20">
      <c r="B474" s="33">
        <v>-5</v>
      </c>
      <c r="C474" s="32">
        <v>14</v>
      </c>
      <c r="D474" t="s">
        <v>316</v>
      </c>
      <c r="E474" t="s">
        <v>317</v>
      </c>
      <c r="F474" t="s">
        <v>387</v>
      </c>
      <c r="G474" t="s">
        <v>387</v>
      </c>
      <c r="H474" t="s">
        <v>449</v>
      </c>
      <c r="I474" s="16"/>
      <c r="J474" s="24">
        <v>600</v>
      </c>
      <c r="K474">
        <v>91.87</v>
      </c>
      <c r="L474" s="21">
        <v>700</v>
      </c>
      <c r="M474" s="21">
        <f xml:space="preserve"> (L474 - K474)/(K474-J474)</f>
        <v>-1.196800031488005</v>
      </c>
      <c r="N474" s="21">
        <f>K474/L474</f>
        <v>0.13124285714285716</v>
      </c>
      <c r="O474" s="7">
        <v>1.3299999999999999E-2</v>
      </c>
      <c r="P474" s="7">
        <v>1.3299999999999999E-2</v>
      </c>
      <c r="Q474" s="34" t="s">
        <v>317</v>
      </c>
      <c r="R474" t="s">
        <v>449</v>
      </c>
      <c r="S474" t="s">
        <v>449</v>
      </c>
      <c r="T474" t="s">
        <v>450</v>
      </c>
    </row>
    <row r="475" spans="2:20">
      <c r="B475" s="33">
        <v>-5</v>
      </c>
      <c r="C475" s="33"/>
      <c r="D475" t="s">
        <v>886</v>
      </c>
      <c r="E475" t="s">
        <v>638</v>
      </c>
      <c r="F475" t="s">
        <v>385</v>
      </c>
      <c r="G475" t="s">
        <v>385</v>
      </c>
      <c r="H475" t="s">
        <v>448</v>
      </c>
      <c r="J475" s="21">
        <v>25</v>
      </c>
      <c r="K475">
        <v>16.93</v>
      </c>
      <c r="L475" s="21">
        <v>50</v>
      </c>
      <c r="M475" s="21">
        <f xml:space="preserve"> (L475 - K475)/(K475-J475)</f>
        <v>-4.0978934324659226</v>
      </c>
      <c r="N475" s="21">
        <f>K475/L475</f>
        <v>0.33860000000000001</v>
      </c>
      <c r="O475" s="7">
        <v>1.61E-2</v>
      </c>
      <c r="P475" s="7">
        <v>1.61E-2</v>
      </c>
      <c r="Q475" s="33"/>
      <c r="R475" t="s">
        <v>449</v>
      </c>
      <c r="S475" t="s">
        <v>449</v>
      </c>
      <c r="T475" t="s">
        <v>450</v>
      </c>
    </row>
    <row r="476" spans="2:20">
      <c r="B476" s="33">
        <v>-5</v>
      </c>
      <c r="C476" s="33"/>
      <c r="D476" t="s">
        <v>708</v>
      </c>
      <c r="E476" t="s">
        <v>230</v>
      </c>
      <c r="F476" t="s">
        <v>380</v>
      </c>
      <c r="G476" t="s">
        <v>380</v>
      </c>
      <c r="H476" t="s">
        <v>449</v>
      </c>
      <c r="I476" s="17"/>
      <c r="J476" s="24">
        <v>200</v>
      </c>
      <c r="K476">
        <v>135.97999999999999</v>
      </c>
      <c r="L476" s="21">
        <v>275</v>
      </c>
      <c r="M476" s="21">
        <f xml:space="preserve"> (L476 - K476)/(K476-J476)</f>
        <v>-2.1715089034676662</v>
      </c>
      <c r="N476" s="21">
        <f>K476/L476</f>
        <v>0.49447272727272723</v>
      </c>
      <c r="O476" s="7">
        <v>2.5999999999999999E-3</v>
      </c>
      <c r="P476" s="7">
        <v>2.5999999999999999E-3</v>
      </c>
      <c r="Q476" s="33"/>
      <c r="R476" t="s">
        <v>449</v>
      </c>
      <c r="S476" t="s">
        <v>449</v>
      </c>
      <c r="T476" t="s">
        <v>451</v>
      </c>
    </row>
    <row r="477" spans="2:20">
      <c r="B477" s="33">
        <v>-5</v>
      </c>
      <c r="C477" s="33"/>
      <c r="D477" s="17" t="s">
        <v>899</v>
      </c>
      <c r="E477" t="s">
        <v>422</v>
      </c>
      <c r="F477" t="s">
        <v>384</v>
      </c>
      <c r="G477" t="s">
        <v>384</v>
      </c>
      <c r="H477" t="s">
        <v>448</v>
      </c>
      <c r="J477" s="21">
        <v>4.3499999999999996</v>
      </c>
      <c r="K477">
        <v>1.48</v>
      </c>
      <c r="L477" s="21">
        <v>7.5</v>
      </c>
      <c r="M477" s="21">
        <f xml:space="preserve"> (L477 - K477)/(K477-J477)</f>
        <v>-2.0975609756097562</v>
      </c>
      <c r="N477" s="21">
        <f>K477/L477</f>
        <v>0.19733333333333333</v>
      </c>
      <c r="O477" s="7">
        <v>3.6600000000000001E-2</v>
      </c>
      <c r="P477" s="7">
        <v>3.6600000000000001E-2</v>
      </c>
      <c r="Q477" s="33"/>
      <c r="R477" t="s">
        <v>449</v>
      </c>
      <c r="S477" t="s">
        <v>449</v>
      </c>
      <c r="T477" t="s">
        <v>600</v>
      </c>
    </row>
    <row r="478" spans="2:20">
      <c r="B478" s="33">
        <v>-5</v>
      </c>
      <c r="C478" s="33"/>
      <c r="D478" t="s">
        <v>227</v>
      </c>
      <c r="E478" t="s">
        <v>230</v>
      </c>
      <c r="F478" t="s">
        <v>384</v>
      </c>
      <c r="G478" t="s">
        <v>384</v>
      </c>
      <c r="H478" t="s">
        <v>449</v>
      </c>
      <c r="J478" s="21">
        <v>500</v>
      </c>
      <c r="K478">
        <v>248.12</v>
      </c>
      <c r="L478" s="21">
        <v>650</v>
      </c>
      <c r="M478" s="21">
        <f xml:space="preserve"> (L478 - K478)/(K478-J478)</f>
        <v>-1.5955216769890423</v>
      </c>
      <c r="N478" s="21">
        <f>K478/L478</f>
        <v>0.38172307692307694</v>
      </c>
      <c r="O478" s="7">
        <v>5.5999999999999999E-3</v>
      </c>
      <c r="P478" s="7">
        <v>5.5999999999999999E-3</v>
      </c>
      <c r="Q478" s="33" t="s">
        <v>230</v>
      </c>
      <c r="R478" t="s">
        <v>449</v>
      </c>
      <c r="S478" t="s">
        <v>449</v>
      </c>
      <c r="T478" t="s">
        <v>600</v>
      </c>
    </row>
    <row r="479" spans="2:20">
      <c r="B479" s="33">
        <v>-5</v>
      </c>
      <c r="C479" s="33"/>
      <c r="D479" t="s">
        <v>310</v>
      </c>
      <c r="E479" t="s">
        <v>396</v>
      </c>
      <c r="F479" t="s">
        <v>384</v>
      </c>
      <c r="G479" t="s">
        <v>384</v>
      </c>
      <c r="H479" t="s">
        <v>448</v>
      </c>
      <c r="J479" s="21">
        <v>250</v>
      </c>
      <c r="K479">
        <v>1.18</v>
      </c>
      <c r="L479" s="21">
        <v>5</v>
      </c>
      <c r="M479" s="21">
        <f xml:space="preserve"> (L479 - K479)/(K479-J479)</f>
        <v>-1.5352463628325699E-2</v>
      </c>
      <c r="N479" s="21">
        <f>K479/L479</f>
        <v>0.23599999999999999</v>
      </c>
      <c r="O479" s="7">
        <v>3.8199999999999998E-2</v>
      </c>
      <c r="P479" s="7">
        <v>3.8199999999999998E-2</v>
      </c>
      <c r="Q479" s="33" t="s">
        <v>297</v>
      </c>
      <c r="R479" t="s">
        <v>449</v>
      </c>
      <c r="S479" t="s">
        <v>449</v>
      </c>
      <c r="T479" t="s">
        <v>600</v>
      </c>
    </row>
    <row r="480" spans="2:20">
      <c r="B480" s="33">
        <v>-5</v>
      </c>
      <c r="C480" s="33"/>
      <c r="D480" t="s">
        <v>745</v>
      </c>
      <c r="E480" t="s">
        <v>230</v>
      </c>
      <c r="F480" t="s">
        <v>384</v>
      </c>
      <c r="G480" t="s">
        <v>384</v>
      </c>
      <c r="H480" t="s">
        <v>449</v>
      </c>
      <c r="I480" s="17"/>
      <c r="J480" s="24">
        <v>21.5</v>
      </c>
      <c r="K480">
        <v>12.07</v>
      </c>
      <c r="L480" s="24">
        <v>26</v>
      </c>
      <c r="M480" s="24">
        <f xml:space="preserve"> (L480 - K480)/(K480-J480)</f>
        <v>-1.4772004241781549</v>
      </c>
      <c r="N480" s="21"/>
      <c r="O480" s="7">
        <v>1.2500000000000001E-2</v>
      </c>
      <c r="P480" s="7">
        <v>1.2500000000000001E-2</v>
      </c>
      <c r="Q480" s="34"/>
      <c r="R480" t="s">
        <v>449</v>
      </c>
      <c r="S480" t="s">
        <v>449</v>
      </c>
      <c r="T480" t="s">
        <v>450</v>
      </c>
    </row>
    <row r="481" spans="2:20">
      <c r="B481" s="33">
        <v>-5</v>
      </c>
      <c r="C481" s="33"/>
      <c r="D481" t="s">
        <v>231</v>
      </c>
      <c r="E481" t="s">
        <v>580</v>
      </c>
      <c r="F481" t="s">
        <v>385</v>
      </c>
      <c r="G481" t="s">
        <v>385</v>
      </c>
      <c r="H481" t="s">
        <v>448</v>
      </c>
      <c r="J481" s="21">
        <v>70</v>
      </c>
      <c r="K481">
        <v>44</v>
      </c>
      <c r="L481" s="21">
        <v>95</v>
      </c>
      <c r="M481" s="21">
        <f xml:space="preserve"> (L481 - K481)/(K481-J481)</f>
        <v>-1.9615384615384615</v>
      </c>
      <c r="N481" s="21">
        <f>K481/L481</f>
        <v>0.4631578947368421</v>
      </c>
      <c r="O481" s="7">
        <v>3.1E-2</v>
      </c>
      <c r="P481" s="7">
        <v>3.1E-2</v>
      </c>
      <c r="Q481" s="33" t="s">
        <v>236</v>
      </c>
      <c r="R481" t="s">
        <v>449</v>
      </c>
      <c r="S481" t="s">
        <v>449</v>
      </c>
      <c r="T481" t="s">
        <v>600</v>
      </c>
    </row>
    <row r="482" spans="2:20">
      <c r="B482" s="33">
        <v>-5</v>
      </c>
      <c r="C482" s="33"/>
      <c r="D482" t="s">
        <v>533</v>
      </c>
      <c r="E482" t="s">
        <v>135</v>
      </c>
      <c r="F482" t="s">
        <v>381</v>
      </c>
      <c r="G482" t="s">
        <v>381</v>
      </c>
      <c r="H482" t="s">
        <v>448</v>
      </c>
      <c r="J482" s="24">
        <v>160</v>
      </c>
      <c r="K482">
        <v>51.67</v>
      </c>
      <c r="L482" s="21">
        <v>240</v>
      </c>
      <c r="M482" s="21">
        <f xml:space="preserve"> (L482 - K482)/(K482-J482)</f>
        <v>-1.7384842610541862</v>
      </c>
      <c r="N482" s="21">
        <f>K482/L482</f>
        <v>0.21529166666666669</v>
      </c>
      <c r="O482" s="7">
        <v>3.2500000000000001E-2</v>
      </c>
      <c r="P482" s="7">
        <v>3.2500000000000001E-2</v>
      </c>
      <c r="Q482" s="33"/>
      <c r="R482" t="s">
        <v>448</v>
      </c>
      <c r="S482" t="s">
        <v>449</v>
      </c>
      <c r="T482" t="s">
        <v>452</v>
      </c>
    </row>
    <row r="483" spans="2:20">
      <c r="B483" s="33">
        <v>-5</v>
      </c>
      <c r="C483" s="32">
        <v>14</v>
      </c>
      <c r="D483" t="s">
        <v>594</v>
      </c>
      <c r="E483" t="s">
        <v>421</v>
      </c>
      <c r="F483" t="s">
        <v>385</v>
      </c>
      <c r="G483" t="s">
        <v>385</v>
      </c>
      <c r="H483" t="s">
        <v>448</v>
      </c>
      <c r="J483" s="21">
        <v>170</v>
      </c>
      <c r="K483">
        <v>81.209999999999994</v>
      </c>
      <c r="L483" s="21">
        <v>220</v>
      </c>
      <c r="M483" s="21">
        <f xml:space="preserve"> (L483 - K483)/(K483-J483)</f>
        <v>-1.5631264782070053</v>
      </c>
      <c r="N483" s="21">
        <f>K483/L483</f>
        <v>0.3691363636363636</v>
      </c>
      <c r="O483" s="7">
        <v>-4.8399999999999999E-2</v>
      </c>
      <c r="P483" s="7">
        <v>-4.8399999999999999E-2</v>
      </c>
      <c r="Q483" s="33"/>
      <c r="R483" t="s">
        <v>448</v>
      </c>
      <c r="S483" t="s">
        <v>449</v>
      </c>
      <c r="T483" t="s">
        <v>450</v>
      </c>
    </row>
    <row r="484" spans="2:20">
      <c r="B484" s="33">
        <v>-5</v>
      </c>
      <c r="C484" s="33"/>
      <c r="D484" t="s">
        <v>427</v>
      </c>
      <c r="E484" t="s">
        <v>411</v>
      </c>
      <c r="F484" t="s">
        <v>380</v>
      </c>
      <c r="G484" t="s">
        <v>380</v>
      </c>
      <c r="H484" t="s">
        <v>448</v>
      </c>
      <c r="J484" s="21">
        <v>385</v>
      </c>
      <c r="K484">
        <v>162.85</v>
      </c>
      <c r="L484" s="21">
        <v>450</v>
      </c>
      <c r="M484" s="21">
        <f xml:space="preserve"> (L484 - K484)/(K484-J484)</f>
        <v>-1.2925950934053565</v>
      </c>
      <c r="N484" s="21">
        <f>K484/L484</f>
        <v>0.36188888888888887</v>
      </c>
      <c r="O484" s="7">
        <v>4.0599999999999997E-2</v>
      </c>
      <c r="P484" s="7">
        <v>4.0599999999999997E-2</v>
      </c>
      <c r="Q484" s="33"/>
      <c r="R484" t="s">
        <v>450</v>
      </c>
      <c r="S484" t="s">
        <v>449</v>
      </c>
      <c r="T484" t="s">
        <v>450</v>
      </c>
    </row>
    <row r="485" spans="2:20">
      <c r="B485" s="33">
        <v>-5</v>
      </c>
      <c r="C485" s="33"/>
      <c r="D485" t="s">
        <v>364</v>
      </c>
      <c r="E485" t="s">
        <v>407</v>
      </c>
      <c r="F485" t="s">
        <v>380</v>
      </c>
      <c r="G485" t="s">
        <v>380</v>
      </c>
      <c r="H485" t="s">
        <v>449</v>
      </c>
      <c r="J485" s="21">
        <v>3.8</v>
      </c>
      <c r="K485">
        <v>0.78</v>
      </c>
      <c r="L485" s="21">
        <v>5</v>
      </c>
      <c r="M485" s="21">
        <f xml:space="preserve"> (L485 - K485)/(K485-J485)</f>
        <v>-1.3973509933774835</v>
      </c>
      <c r="N485" s="21">
        <f>K485/L485</f>
        <v>0.156</v>
      </c>
      <c r="O485" s="7">
        <v>8.5099999999999995E-2</v>
      </c>
      <c r="P485" s="7">
        <v>8.5099999999999995E-2</v>
      </c>
      <c r="Q485" s="34"/>
      <c r="R485" t="s">
        <v>448</v>
      </c>
      <c r="S485" t="s">
        <v>449</v>
      </c>
      <c r="T485" t="s">
        <v>452</v>
      </c>
    </row>
    <row r="486" spans="2:20">
      <c r="B486" s="33">
        <v>-5</v>
      </c>
      <c r="C486" s="33"/>
      <c r="D486" t="s">
        <v>836</v>
      </c>
      <c r="E486" t="s">
        <v>837</v>
      </c>
      <c r="F486" t="s">
        <v>383</v>
      </c>
      <c r="G486" t="s">
        <v>383</v>
      </c>
      <c r="H486" t="s">
        <v>448</v>
      </c>
      <c r="J486" s="21">
        <v>200</v>
      </c>
      <c r="K486">
        <v>242.22</v>
      </c>
      <c r="L486" s="21">
        <v>230</v>
      </c>
      <c r="M486" s="21">
        <f xml:space="preserve"> (L486 - K486)/(K486-J486)</f>
        <v>-0.28943628612032213</v>
      </c>
      <c r="N486" s="21">
        <f>K486/L486</f>
        <v>1.0531304347826087</v>
      </c>
      <c r="O486" s="7">
        <v>1.3100000000000001E-2</v>
      </c>
      <c r="P486" s="7">
        <v>1.3100000000000001E-2</v>
      </c>
      <c r="Q486" s="33"/>
      <c r="R486" t="s">
        <v>448</v>
      </c>
      <c r="S486" t="s">
        <v>449</v>
      </c>
      <c r="T486" t="s">
        <v>450</v>
      </c>
    </row>
    <row r="487" spans="2:20">
      <c r="B487" s="33">
        <v>-5</v>
      </c>
      <c r="C487" s="33"/>
      <c r="D487" t="s">
        <v>70</v>
      </c>
      <c r="E487" t="s">
        <v>388</v>
      </c>
      <c r="F487" t="s">
        <v>383</v>
      </c>
      <c r="G487" t="s">
        <v>383</v>
      </c>
      <c r="H487" t="s">
        <v>448</v>
      </c>
      <c r="J487" s="21">
        <v>140</v>
      </c>
      <c r="K487">
        <v>239.75</v>
      </c>
      <c r="L487" s="21">
        <v>180</v>
      </c>
      <c r="M487" s="21">
        <f xml:space="preserve"> (L487 - K487)/(K487-J487)</f>
        <v>-0.59899749373433586</v>
      </c>
      <c r="N487" s="21">
        <f>K487/L487</f>
        <v>1.3319444444444444</v>
      </c>
      <c r="O487" s="7">
        <v>1.66E-2</v>
      </c>
      <c r="P487" s="7">
        <v>1.66E-2</v>
      </c>
      <c r="Q487" s="34"/>
      <c r="R487" t="s">
        <v>448</v>
      </c>
      <c r="S487" t="s">
        <v>449</v>
      </c>
      <c r="T487" t="s">
        <v>452</v>
      </c>
    </row>
    <row r="488" spans="2:20">
      <c r="B488" s="33">
        <v>-5</v>
      </c>
      <c r="C488" s="33"/>
      <c r="D488" t="s">
        <v>447</v>
      </c>
      <c r="E488" t="s">
        <v>135</v>
      </c>
      <c r="F488" t="s">
        <v>381</v>
      </c>
      <c r="G488" t="s">
        <v>381</v>
      </c>
      <c r="H488" t="s">
        <v>448</v>
      </c>
      <c r="J488" s="21">
        <v>218</v>
      </c>
      <c r="K488">
        <v>44.12</v>
      </c>
      <c r="L488" s="21">
        <v>330</v>
      </c>
      <c r="M488" s="21">
        <f xml:space="preserve"> (L488 - K488)/(K488-J488)</f>
        <v>-1.644122383252818</v>
      </c>
      <c r="N488" s="21">
        <f>K488/L488</f>
        <v>0.1336969696969697</v>
      </c>
      <c r="O488" s="7">
        <v>-1.47E-2</v>
      </c>
      <c r="P488" s="7">
        <v>-1.47E-2</v>
      </c>
      <c r="Q488" s="33"/>
      <c r="R488" t="s">
        <v>448</v>
      </c>
      <c r="S488" t="s">
        <v>450</v>
      </c>
      <c r="T488" t="s">
        <v>450</v>
      </c>
    </row>
    <row r="489" spans="2:20">
      <c r="B489" s="33">
        <v>-5</v>
      </c>
      <c r="C489" s="33"/>
      <c r="D489" t="s">
        <v>132</v>
      </c>
      <c r="E489" t="s">
        <v>397</v>
      </c>
      <c r="F489" t="s">
        <v>386</v>
      </c>
      <c r="G489" t="s">
        <v>386</v>
      </c>
      <c r="H489" t="s">
        <v>449</v>
      </c>
      <c r="J489" s="21">
        <v>0.8</v>
      </c>
      <c r="K489">
        <v>1.75</v>
      </c>
      <c r="L489" s="21">
        <v>2</v>
      </c>
      <c r="M489" s="21">
        <f xml:space="preserve"> (L489 - K489)/(K489-J489)</f>
        <v>0.26315789473684209</v>
      </c>
      <c r="N489" s="21">
        <f>K489/L489</f>
        <v>0.875</v>
      </c>
      <c r="O489" s="7">
        <v>9.2999999999999992E-3</v>
      </c>
      <c r="P489" s="7">
        <v>9.2999999999999992E-3</v>
      </c>
      <c r="Q489" s="33" t="s">
        <v>136</v>
      </c>
      <c r="R489" t="s">
        <v>450</v>
      </c>
      <c r="S489" t="s">
        <v>449</v>
      </c>
      <c r="T489" t="s">
        <v>450</v>
      </c>
    </row>
    <row r="490" spans="2:20">
      <c r="B490" s="33">
        <v>-5</v>
      </c>
      <c r="C490" s="33"/>
      <c r="D490" t="s">
        <v>719</v>
      </c>
      <c r="E490" t="s">
        <v>459</v>
      </c>
      <c r="F490"/>
      <c r="G490"/>
      <c r="H490" t="s">
        <v>449</v>
      </c>
      <c r="J490" s="21">
        <v>25</v>
      </c>
      <c r="K490">
        <v>9.67</v>
      </c>
      <c r="L490" s="21">
        <v>35</v>
      </c>
      <c r="M490" s="21">
        <f xml:space="preserve"> (L490 - K490)/(K490-J490)</f>
        <v>-1.6523157208088715</v>
      </c>
      <c r="O490" s="7">
        <v>5.0900000000000001E-2</v>
      </c>
      <c r="P490" s="7">
        <v>5.0900000000000001E-2</v>
      </c>
      <c r="Q490" s="34"/>
      <c r="R490" t="s">
        <v>449</v>
      </c>
      <c r="S490" t="s">
        <v>449</v>
      </c>
      <c r="T490" t="s">
        <v>450</v>
      </c>
    </row>
    <row r="491" spans="2:20">
      <c r="B491" s="33">
        <v>-5</v>
      </c>
      <c r="C491" s="33"/>
      <c r="D491" t="s">
        <v>296</v>
      </c>
      <c r="E491" t="s">
        <v>424</v>
      </c>
      <c r="F491"/>
      <c r="G491"/>
      <c r="H491" t="s">
        <v>448</v>
      </c>
      <c r="J491" s="21"/>
      <c r="K491">
        <v>80.239999999999995</v>
      </c>
      <c r="L491" s="21"/>
      <c r="M491" s="21"/>
      <c r="O491" s="7">
        <v>-5.1000000000000004E-3</v>
      </c>
      <c r="P491" s="7">
        <v>-5.1000000000000004E-3</v>
      </c>
      <c r="Q491" s="33"/>
      <c r="R491" t="s">
        <v>448</v>
      </c>
      <c r="S491" t="s">
        <v>448</v>
      </c>
      <c r="T491" t="s">
        <v>452</v>
      </c>
    </row>
  </sheetData>
  <sortState xmlns:xlrd2="http://schemas.microsoft.com/office/spreadsheetml/2017/richdata2" ref="A1:T491">
    <sortCondition descending="1" ref="B1:B491"/>
  </sortState>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9629A-20B1-45D9-AD82-9F29174213F0}">
  <dimension ref="B2:I77"/>
  <sheetViews>
    <sheetView workbookViewId="0">
      <selection activeCell="L9" sqref="L9"/>
    </sheetView>
  </sheetViews>
  <sheetFormatPr defaultRowHeight="15"/>
  <cols>
    <col min="2" max="2" width="12.28515625" bestFit="1" customWidth="1"/>
    <col min="3" max="3" width="10.140625" bestFit="1" customWidth="1"/>
    <col min="5" max="5" width="13.28515625" bestFit="1" customWidth="1"/>
    <col min="6" max="6" width="11.140625" bestFit="1" customWidth="1"/>
    <col min="7" max="7" width="12.7109375" bestFit="1" customWidth="1"/>
    <col min="8" max="8" width="10.5703125" bestFit="1" customWidth="1"/>
  </cols>
  <sheetData>
    <row r="2" spans="2:9">
      <c r="B2" s="2" t="s">
        <v>10</v>
      </c>
      <c r="C2" s="3" t="s">
        <v>11</v>
      </c>
      <c r="D2" s="5" t="s">
        <v>12</v>
      </c>
      <c r="E2" s="5" t="s">
        <v>7</v>
      </c>
      <c r="F2" s="5"/>
      <c r="G2" s="5"/>
      <c r="H2" s="2"/>
    </row>
    <row r="3" spans="2:9">
      <c r="B3" s="2"/>
      <c r="C3" s="3"/>
      <c r="D3" s="5"/>
      <c r="E3" s="5"/>
      <c r="F3" s="5"/>
      <c r="G3" s="5"/>
      <c r="H3" s="2"/>
    </row>
    <row r="4" spans="2:9">
      <c r="B4" t="s">
        <v>14</v>
      </c>
      <c r="C4" s="8">
        <v>46174</v>
      </c>
      <c r="D4" s="9">
        <v>60</v>
      </c>
      <c r="E4" s="10">
        <v>109.815</v>
      </c>
      <c r="F4" s="1">
        <f t="shared" ref="F4:F7" si="0">D4*E4</f>
        <v>6588.9</v>
      </c>
      <c r="G4" s="1">
        <f>C75*D4</f>
        <v>6762.5999999999995</v>
      </c>
      <c r="H4" s="11">
        <f t="shared" ref="H4:H7" si="1">G4-F4</f>
        <v>173.69999999999982</v>
      </c>
      <c r="I4" s="111">
        <f t="shared" ref="I4:I7" si="2" xml:space="preserve">  (G4/F4) -1</f>
        <v>2.6362518781587241E-2</v>
      </c>
    </row>
    <row r="5" spans="2:9">
      <c r="B5" t="s">
        <v>14</v>
      </c>
      <c r="C5" s="8">
        <v>46174</v>
      </c>
      <c r="D5" s="9">
        <v>92</v>
      </c>
      <c r="E5" s="10">
        <v>109.815</v>
      </c>
      <c r="F5" s="1">
        <f t="shared" si="0"/>
        <v>10102.98</v>
      </c>
      <c r="G5" s="1">
        <f>C75*D5</f>
        <v>10369.32</v>
      </c>
      <c r="H5" s="11">
        <f t="shared" si="1"/>
        <v>266.34000000000015</v>
      </c>
      <c r="I5" s="111">
        <f t="shared" si="2"/>
        <v>2.6362518781587241E-2</v>
      </c>
    </row>
    <row r="6" spans="2:9">
      <c r="B6" t="s">
        <v>14</v>
      </c>
      <c r="C6" s="8">
        <v>46174</v>
      </c>
      <c r="D6" s="9">
        <v>42</v>
      </c>
      <c r="E6" s="10">
        <v>109.815</v>
      </c>
      <c r="F6" s="1">
        <f t="shared" si="0"/>
        <v>4612.2299999999996</v>
      </c>
      <c r="G6" s="1">
        <f>C75*D6</f>
        <v>4733.82</v>
      </c>
      <c r="H6" s="11">
        <f t="shared" si="1"/>
        <v>121.59000000000015</v>
      </c>
      <c r="I6" s="111">
        <f t="shared" si="2"/>
        <v>2.6362518781587241E-2</v>
      </c>
    </row>
    <row r="7" spans="2:9">
      <c r="B7" t="s">
        <v>14</v>
      </c>
      <c r="C7" s="8">
        <v>46174</v>
      </c>
      <c r="D7" s="9">
        <v>81</v>
      </c>
      <c r="E7" s="10">
        <v>109.815</v>
      </c>
      <c r="F7" s="1">
        <f t="shared" si="0"/>
        <v>8895.0149999999994</v>
      </c>
      <c r="G7" s="1">
        <f>C75*D7</f>
        <v>9129.51</v>
      </c>
      <c r="H7" s="11">
        <f t="shared" si="1"/>
        <v>234.4950000000008</v>
      </c>
      <c r="I7" s="111">
        <f t="shared" si="2"/>
        <v>2.6362518781587241E-2</v>
      </c>
    </row>
    <row r="8" spans="2:9">
      <c r="B8" t="s">
        <v>14</v>
      </c>
      <c r="C8" s="8">
        <v>46142</v>
      </c>
      <c r="D8" s="9">
        <v>51</v>
      </c>
      <c r="E8" s="10">
        <v>93.594999999999999</v>
      </c>
      <c r="F8" s="1">
        <f>D8*E8</f>
        <v>4773.3450000000003</v>
      </c>
      <c r="G8" s="1">
        <f>C75*D8</f>
        <v>5748.21</v>
      </c>
      <c r="H8" s="11">
        <f>G8-F8</f>
        <v>974.86499999999978</v>
      </c>
      <c r="I8" s="111">
        <f xml:space="preserve">  (G8/F8) -1</f>
        <v>0.20423099524547239</v>
      </c>
    </row>
    <row r="9" spans="2:9">
      <c r="B9" t="s">
        <v>14</v>
      </c>
      <c r="C9" s="8">
        <v>46055</v>
      </c>
      <c r="D9" s="9">
        <v>50</v>
      </c>
      <c r="E9" s="10">
        <v>47.67</v>
      </c>
      <c r="F9" s="1">
        <f>D9*E9</f>
        <v>2383.5</v>
      </c>
      <c r="G9" s="1">
        <f>C75*D9</f>
        <v>5635.5</v>
      </c>
      <c r="H9" s="11">
        <f>G9-F9</f>
        <v>3252</v>
      </c>
      <c r="I9" s="111">
        <f xml:space="preserve">  (G9/F9) -1</f>
        <v>1.3643801132787918</v>
      </c>
    </row>
    <row r="10" spans="2:9">
      <c r="B10" t="s">
        <v>14</v>
      </c>
      <c r="C10" s="8">
        <v>46083</v>
      </c>
      <c r="D10" s="9">
        <v>91</v>
      </c>
      <c r="E10" s="10">
        <v>44.88</v>
      </c>
      <c r="F10" s="1">
        <f t="shared" ref="F10:F12" si="3">D10*E10</f>
        <v>4084.0800000000004</v>
      </c>
      <c r="G10" s="1">
        <f>C75*D10</f>
        <v>10256.609999999999</v>
      </c>
      <c r="H10" s="11">
        <f t="shared" ref="H10:H12" si="4">G10-F10</f>
        <v>6172.5299999999988</v>
      </c>
      <c r="I10" s="111">
        <f t="shared" ref="I10:I12" si="5" xml:space="preserve">  (G10/F10) -1</f>
        <v>1.5113636363636358</v>
      </c>
    </row>
    <row r="11" spans="2:9">
      <c r="B11" t="s">
        <v>14</v>
      </c>
      <c r="C11" s="8">
        <v>46083</v>
      </c>
      <c r="D11" s="9">
        <v>42</v>
      </c>
      <c r="E11" s="10">
        <v>44.88</v>
      </c>
      <c r="F11" s="1">
        <f t="shared" si="3"/>
        <v>1884.96</v>
      </c>
      <c r="G11" s="1">
        <f>C75*D11</f>
        <v>4733.82</v>
      </c>
      <c r="H11" s="11">
        <f t="shared" si="4"/>
        <v>2848.8599999999997</v>
      </c>
      <c r="I11" s="111">
        <f t="shared" si="5"/>
        <v>1.5113636363636362</v>
      </c>
    </row>
    <row r="12" spans="2:9">
      <c r="B12" t="s">
        <v>14</v>
      </c>
      <c r="C12" s="8">
        <v>46083</v>
      </c>
      <c r="D12" s="9">
        <v>82</v>
      </c>
      <c r="E12" s="10">
        <v>44.88</v>
      </c>
      <c r="F12" s="1">
        <f t="shared" si="3"/>
        <v>3680.1600000000003</v>
      </c>
      <c r="G12" s="1">
        <f>C75*D12</f>
        <v>9242.2199999999993</v>
      </c>
      <c r="H12" s="11">
        <f t="shared" si="4"/>
        <v>5562.0599999999995</v>
      </c>
      <c r="I12" s="111">
        <f t="shared" si="5"/>
        <v>1.5113636363636358</v>
      </c>
    </row>
    <row r="13" spans="2:9">
      <c r="B13" t="s">
        <v>14</v>
      </c>
      <c r="C13" s="8">
        <v>45961</v>
      </c>
      <c r="D13" s="9">
        <v>56</v>
      </c>
      <c r="E13" s="10">
        <v>40.308100000000003</v>
      </c>
      <c r="F13" s="1">
        <f>D13*E13</f>
        <v>2257.2536</v>
      </c>
      <c r="G13" s="1">
        <f>C75*D13</f>
        <v>6311.7599999999993</v>
      </c>
      <c r="H13" s="11">
        <f>G13-F13</f>
        <v>4054.5063999999993</v>
      </c>
      <c r="I13" s="111">
        <f xml:space="preserve">  (G13/F13) -1</f>
        <v>1.7962121757165428</v>
      </c>
    </row>
    <row r="14" spans="2:9">
      <c r="B14" t="s">
        <v>14</v>
      </c>
      <c r="C14" s="8">
        <v>45992</v>
      </c>
      <c r="D14" s="9">
        <v>100</v>
      </c>
      <c r="E14" s="10">
        <v>39.987499999999997</v>
      </c>
      <c r="F14" s="1">
        <f>D14*E14</f>
        <v>3998.7499999999995</v>
      </c>
      <c r="G14" s="1">
        <f>C75*D14</f>
        <v>11271</v>
      </c>
      <c r="H14" s="11">
        <f>G14-F14</f>
        <v>7272.25</v>
      </c>
      <c r="I14" s="111">
        <f xml:space="preserve">  (G14/F14) -1</f>
        <v>1.8186308221319165</v>
      </c>
    </row>
    <row r="15" spans="2:9">
      <c r="B15" t="s">
        <v>14</v>
      </c>
      <c r="C15" s="8">
        <v>45992</v>
      </c>
      <c r="D15" s="9">
        <v>45</v>
      </c>
      <c r="E15" s="10">
        <v>39.987499999999997</v>
      </c>
      <c r="F15" s="1">
        <f>D15*E15</f>
        <v>1799.4374999999998</v>
      </c>
      <c r="G15" s="1">
        <f>C75*D15</f>
        <v>5071.95</v>
      </c>
      <c r="H15" s="11">
        <f>G15-F15</f>
        <v>3272.5124999999998</v>
      </c>
      <c r="I15" s="111">
        <f xml:space="preserve">  (G15/F15) -1</f>
        <v>1.8186308221319165</v>
      </c>
    </row>
    <row r="16" spans="2:9">
      <c r="B16" t="s">
        <v>14</v>
      </c>
      <c r="C16" s="8">
        <v>45992</v>
      </c>
      <c r="D16" s="9">
        <v>88</v>
      </c>
      <c r="E16" s="10">
        <v>39.987499999999997</v>
      </c>
      <c r="F16" s="1">
        <f>D16*E16</f>
        <v>3518.8999999999996</v>
      </c>
      <c r="G16" s="1">
        <f>C75*D16</f>
        <v>9918.48</v>
      </c>
      <c r="H16" s="11">
        <f>G16-F16</f>
        <v>6399.58</v>
      </c>
      <c r="I16" s="111">
        <f xml:space="preserve">  (G16/F16) -1</f>
        <v>1.8186308221319165</v>
      </c>
    </row>
    <row r="17" spans="2:9">
      <c r="B17" t="s">
        <v>16</v>
      </c>
      <c r="C17" s="8">
        <v>43696</v>
      </c>
      <c r="D17" s="9">
        <v>91</v>
      </c>
      <c r="E17" s="10">
        <v>39.64</v>
      </c>
      <c r="F17" s="1">
        <f t="shared" ref="F17:F73" si="6">D17*E17</f>
        <v>3607.2400000000002</v>
      </c>
      <c r="G17" s="1">
        <f>C75*D17</f>
        <v>10256.609999999999</v>
      </c>
      <c r="H17" s="11">
        <f t="shared" ref="H17:H73" si="7">G17-F17</f>
        <v>6649.369999999999</v>
      </c>
      <c r="I17" s="111">
        <f t="shared" ref="I17:I73" si="8" xml:space="preserve">  (G17/F17) -1</f>
        <v>1.8433400605449037</v>
      </c>
    </row>
    <row r="18" spans="2:9">
      <c r="B18" t="s">
        <v>16</v>
      </c>
      <c r="C18" s="8">
        <v>44610</v>
      </c>
      <c r="D18">
        <v>268</v>
      </c>
      <c r="E18" s="10">
        <v>38.555999999999997</v>
      </c>
      <c r="F18" s="1">
        <f t="shared" si="6"/>
        <v>10333.008</v>
      </c>
      <c r="G18" s="1">
        <f>C75*D18</f>
        <v>30206.28</v>
      </c>
      <c r="H18" s="11">
        <f t="shared" si="7"/>
        <v>19873.271999999997</v>
      </c>
      <c r="I18" s="111">
        <f t="shared" si="8"/>
        <v>1.9232804232804233</v>
      </c>
    </row>
    <row r="19" spans="2:9">
      <c r="B19" t="s">
        <v>16</v>
      </c>
      <c r="C19" s="8">
        <v>46072</v>
      </c>
      <c r="D19">
        <v>311</v>
      </c>
      <c r="E19" s="10">
        <v>37.863300000000002</v>
      </c>
      <c r="F19" s="1">
        <f t="shared" ref="F19" si="9">D19*E19</f>
        <v>11775.4863</v>
      </c>
      <c r="G19" s="1">
        <f>C75*D19</f>
        <v>35052.81</v>
      </c>
      <c r="H19" s="11">
        <f t="shared" ref="H19" si="10">G19-F19</f>
        <v>23277.323699999997</v>
      </c>
      <c r="I19" s="111">
        <f t="shared" ref="I19" si="11" xml:space="preserve">  (G19/F19) -1</f>
        <v>1.9767611380941434</v>
      </c>
    </row>
    <row r="20" spans="2:9">
      <c r="B20" t="s">
        <v>14</v>
      </c>
      <c r="C20" s="8">
        <v>42851</v>
      </c>
      <c r="D20" s="9">
        <v>65</v>
      </c>
      <c r="E20" s="10">
        <v>37.01</v>
      </c>
      <c r="F20" s="1">
        <f t="shared" si="6"/>
        <v>2405.65</v>
      </c>
      <c r="G20" s="1">
        <f>C75*D20</f>
        <v>7326.15</v>
      </c>
      <c r="H20" s="11">
        <f t="shared" si="7"/>
        <v>4920.5</v>
      </c>
      <c r="I20" s="111">
        <f t="shared" si="8"/>
        <v>2.0453931369900022</v>
      </c>
    </row>
    <row r="21" spans="2:9">
      <c r="B21" t="s">
        <v>14</v>
      </c>
      <c r="C21" s="8">
        <v>44774</v>
      </c>
      <c r="D21" s="9">
        <v>51</v>
      </c>
      <c r="E21" s="10">
        <v>36.869999999999997</v>
      </c>
      <c r="F21" s="1">
        <f t="shared" si="6"/>
        <v>1880.37</v>
      </c>
      <c r="G21" s="1">
        <f>C75*D21</f>
        <v>5748.21</v>
      </c>
      <c r="H21" s="11">
        <f t="shared" si="7"/>
        <v>3867.84</v>
      </c>
      <c r="I21" s="111">
        <f t="shared" si="8"/>
        <v>2.0569568755085439</v>
      </c>
    </row>
    <row r="22" spans="2:9">
      <c r="B22" t="s">
        <v>14</v>
      </c>
      <c r="C22" s="8">
        <v>42850</v>
      </c>
      <c r="D22" s="9">
        <v>48</v>
      </c>
      <c r="E22" s="10">
        <v>36.83</v>
      </c>
      <c r="F22" s="1">
        <f t="shared" si="6"/>
        <v>1767.84</v>
      </c>
      <c r="G22" s="1">
        <f>C75*D22</f>
        <v>5410.08</v>
      </c>
      <c r="H22" s="11">
        <f t="shared" si="7"/>
        <v>3642.24</v>
      </c>
      <c r="I22" s="111">
        <f t="shared" si="8"/>
        <v>2.0602769481401033</v>
      </c>
    </row>
    <row r="23" spans="2:9">
      <c r="B23" t="s">
        <v>14</v>
      </c>
      <c r="C23" s="8">
        <v>42847</v>
      </c>
      <c r="D23" s="9">
        <v>45</v>
      </c>
      <c r="E23" s="10">
        <v>36.664999999999999</v>
      </c>
      <c r="F23" s="1">
        <f t="shared" si="6"/>
        <v>1649.925</v>
      </c>
      <c r="G23" s="1">
        <f>C75*D23</f>
        <v>5071.95</v>
      </c>
      <c r="H23" s="11">
        <f t="shared" si="7"/>
        <v>3422.0249999999996</v>
      </c>
      <c r="I23" s="111">
        <f t="shared" si="8"/>
        <v>2.0740488204009271</v>
      </c>
    </row>
    <row r="24" spans="2:9">
      <c r="B24" t="s">
        <v>14</v>
      </c>
      <c r="C24" s="8">
        <v>45138</v>
      </c>
      <c r="D24" s="9">
        <v>50</v>
      </c>
      <c r="E24" s="10">
        <v>36.43</v>
      </c>
      <c r="F24" s="1">
        <f t="shared" si="6"/>
        <v>1821.5</v>
      </c>
      <c r="G24" s="1">
        <f>C75*D24</f>
        <v>5635.5</v>
      </c>
      <c r="H24" s="11">
        <f t="shared" si="7"/>
        <v>3814</v>
      </c>
      <c r="I24" s="111">
        <f t="shared" si="8"/>
        <v>2.0938786714246502</v>
      </c>
    </row>
    <row r="25" spans="2:9">
      <c r="B25" t="s">
        <v>14</v>
      </c>
      <c r="C25" s="8">
        <v>42846</v>
      </c>
      <c r="D25" s="9">
        <v>35</v>
      </c>
      <c r="E25" s="10">
        <v>36.134999999999998</v>
      </c>
      <c r="F25" s="1">
        <f t="shared" si="6"/>
        <v>1264.7249999999999</v>
      </c>
      <c r="G25" s="1">
        <f>C75*D25</f>
        <v>3944.85</v>
      </c>
      <c r="H25" s="11">
        <f t="shared" si="7"/>
        <v>2680.125</v>
      </c>
      <c r="I25" s="111">
        <f t="shared" si="8"/>
        <v>2.1191365711913659</v>
      </c>
    </row>
    <row r="26" spans="2:9">
      <c r="B26" t="s">
        <v>14</v>
      </c>
      <c r="C26" s="8">
        <v>45230</v>
      </c>
      <c r="D26" s="9">
        <v>56</v>
      </c>
      <c r="E26" s="10">
        <v>36.094999999999999</v>
      </c>
      <c r="F26" s="1">
        <f t="shared" si="6"/>
        <v>2021.32</v>
      </c>
      <c r="G26" s="1">
        <f>C75*D26</f>
        <v>6311.7599999999993</v>
      </c>
      <c r="H26" s="11">
        <f t="shared" si="7"/>
        <v>4290.4399999999996</v>
      </c>
      <c r="I26" s="111">
        <f t="shared" si="8"/>
        <v>2.1225931569469454</v>
      </c>
    </row>
    <row r="27" spans="2:9">
      <c r="B27" t="s">
        <v>16</v>
      </c>
      <c r="C27" s="8">
        <v>42965</v>
      </c>
      <c r="D27" s="9">
        <v>123</v>
      </c>
      <c r="E27" s="10">
        <v>35.43</v>
      </c>
      <c r="F27" s="1">
        <f t="shared" si="6"/>
        <v>4357.8900000000003</v>
      </c>
      <c r="G27" s="1">
        <f>C75*D27</f>
        <v>13863.33</v>
      </c>
      <c r="H27" s="11">
        <f t="shared" si="7"/>
        <v>9505.4399999999987</v>
      </c>
      <c r="I27" s="111">
        <f t="shared" si="8"/>
        <v>2.1812023708721422</v>
      </c>
    </row>
    <row r="28" spans="2:9">
      <c r="B28" t="s">
        <v>14</v>
      </c>
      <c r="C28" s="8">
        <v>45168</v>
      </c>
      <c r="D28" s="9">
        <v>91</v>
      </c>
      <c r="E28" s="10">
        <v>34.22</v>
      </c>
      <c r="F28" s="1">
        <f t="shared" si="6"/>
        <v>3114.02</v>
      </c>
      <c r="G28" s="1">
        <f>C75*D28</f>
        <v>10256.609999999999</v>
      </c>
      <c r="H28" s="11">
        <f t="shared" si="7"/>
        <v>7142.5899999999983</v>
      </c>
      <c r="I28" s="111">
        <f t="shared" si="8"/>
        <v>2.2936879018118055</v>
      </c>
    </row>
    <row r="29" spans="2:9">
      <c r="B29" t="s">
        <v>16</v>
      </c>
      <c r="C29" s="8">
        <v>45338</v>
      </c>
      <c r="D29" s="9">
        <v>334</v>
      </c>
      <c r="E29" s="10">
        <v>30.97</v>
      </c>
      <c r="F29" s="1">
        <f t="shared" si="6"/>
        <v>10343.98</v>
      </c>
      <c r="G29" s="1">
        <f>C75*D29</f>
        <v>37645.14</v>
      </c>
      <c r="H29" s="11">
        <f>G29-F29</f>
        <v>27301.16</v>
      </c>
      <c r="I29" s="111">
        <f xml:space="preserve">  (G29/F29) -1</f>
        <v>2.639328382305457</v>
      </c>
    </row>
    <row r="30" spans="2:9">
      <c r="B30" t="s">
        <v>14</v>
      </c>
      <c r="C30" s="8">
        <v>45412</v>
      </c>
      <c r="D30" s="9">
        <v>41</v>
      </c>
      <c r="E30" s="10">
        <v>30.8</v>
      </c>
      <c r="F30" s="1">
        <f t="shared" si="6"/>
        <v>1262.8</v>
      </c>
      <c r="G30" s="1">
        <f>C75*D30</f>
        <v>4621.1099999999997</v>
      </c>
      <c r="H30" s="11">
        <f>G30-F30</f>
        <v>3358.3099999999995</v>
      </c>
      <c r="I30" s="111">
        <f xml:space="preserve">  (G30/F30) -1</f>
        <v>2.6594155844155845</v>
      </c>
    </row>
    <row r="31" spans="2:9">
      <c r="B31" t="s">
        <v>14</v>
      </c>
      <c r="C31" s="8">
        <v>45412</v>
      </c>
      <c r="D31" s="9">
        <v>51</v>
      </c>
      <c r="E31" s="10">
        <v>30.8</v>
      </c>
      <c r="F31" s="1">
        <f t="shared" si="6"/>
        <v>1570.8</v>
      </c>
      <c r="G31" s="1">
        <f>C75*D31</f>
        <v>5748.21</v>
      </c>
      <c r="H31" s="11">
        <f>G31-F31</f>
        <v>4177.41</v>
      </c>
      <c r="I31" s="111">
        <f xml:space="preserve">  (G31/F31) -1</f>
        <v>2.6594155844155845</v>
      </c>
    </row>
    <row r="32" spans="2:9">
      <c r="B32" t="s">
        <v>14</v>
      </c>
      <c r="C32" s="8">
        <v>45412</v>
      </c>
      <c r="D32" s="9">
        <v>51</v>
      </c>
      <c r="E32" s="10">
        <v>30.8</v>
      </c>
      <c r="F32" s="1">
        <f t="shared" si="6"/>
        <v>1570.8</v>
      </c>
      <c r="G32" s="1">
        <f>C75*D32</f>
        <v>5748.21</v>
      </c>
      <c r="H32" s="11">
        <f>G32-F32</f>
        <v>4177.41</v>
      </c>
      <c r="I32" s="111">
        <f xml:space="preserve">  (G32/F32) -1</f>
        <v>2.6594155844155845</v>
      </c>
    </row>
    <row r="33" spans="2:9">
      <c r="B33" t="s">
        <v>14</v>
      </c>
      <c r="C33" s="8">
        <v>45047</v>
      </c>
      <c r="D33" s="9">
        <v>40</v>
      </c>
      <c r="E33" s="10">
        <v>30.76</v>
      </c>
      <c r="F33" s="1">
        <f t="shared" si="6"/>
        <v>1230.4000000000001</v>
      </c>
      <c r="G33" s="1">
        <f>C75*D33</f>
        <v>4508.3999999999996</v>
      </c>
      <c r="H33" s="11">
        <f t="shared" si="7"/>
        <v>3277.9999999999995</v>
      </c>
      <c r="I33" s="111">
        <f t="shared" si="8"/>
        <v>2.6641742522756822</v>
      </c>
    </row>
    <row r="34" spans="2:9">
      <c r="B34" t="s">
        <v>14</v>
      </c>
      <c r="C34" s="8">
        <v>45047</v>
      </c>
      <c r="D34" s="9">
        <v>36</v>
      </c>
      <c r="E34" s="10">
        <v>30.76</v>
      </c>
      <c r="F34" s="1">
        <f t="shared" si="6"/>
        <v>1107.3600000000001</v>
      </c>
      <c r="G34" s="1">
        <f>C75*D34</f>
        <v>4057.56</v>
      </c>
      <c r="H34" s="11">
        <f t="shared" si="7"/>
        <v>2950.2</v>
      </c>
      <c r="I34" s="111">
        <f t="shared" si="8"/>
        <v>2.6641742522756822</v>
      </c>
    </row>
    <row r="35" spans="2:9">
      <c r="B35" t="s">
        <v>14</v>
      </c>
      <c r="C35" s="8">
        <v>45047</v>
      </c>
      <c r="D35" s="9">
        <v>51</v>
      </c>
      <c r="E35" s="10">
        <v>30.76</v>
      </c>
      <c r="F35" s="1">
        <f t="shared" si="6"/>
        <v>1568.76</v>
      </c>
      <c r="G35" s="1">
        <f>C75*D35</f>
        <v>5748.21</v>
      </c>
      <c r="H35" s="11">
        <f t="shared" si="7"/>
        <v>4179.45</v>
      </c>
      <c r="I35" s="111">
        <f t="shared" si="8"/>
        <v>2.6641742522756826</v>
      </c>
    </row>
    <row r="36" spans="2:9">
      <c r="B36" t="s">
        <v>14</v>
      </c>
      <c r="C36" s="8">
        <v>45047</v>
      </c>
      <c r="D36" s="9">
        <v>51</v>
      </c>
      <c r="E36" s="10">
        <v>30.76</v>
      </c>
      <c r="F36" s="1">
        <f t="shared" si="6"/>
        <v>1568.76</v>
      </c>
      <c r="G36" s="1">
        <f>C75*D36</f>
        <v>5748.21</v>
      </c>
      <c r="H36" s="11">
        <f t="shared" si="7"/>
        <v>4179.45</v>
      </c>
      <c r="I36" s="111">
        <f t="shared" si="8"/>
        <v>2.6641742522756826</v>
      </c>
    </row>
    <row r="37" spans="2:9">
      <c r="B37" t="s">
        <v>14</v>
      </c>
      <c r="C37" s="8">
        <v>45504</v>
      </c>
      <c r="D37" s="9">
        <v>51</v>
      </c>
      <c r="E37" s="10">
        <v>30.574999999999999</v>
      </c>
      <c r="F37" s="1">
        <f t="shared" si="6"/>
        <v>1559.325</v>
      </c>
      <c r="G37" s="1">
        <f>C75*D37</f>
        <v>5748.21</v>
      </c>
      <c r="H37" s="11">
        <f>G37-F37</f>
        <v>4188.8850000000002</v>
      </c>
      <c r="I37" s="111">
        <f xml:space="preserve">  (G37/F37) -1</f>
        <v>2.6863450531479964</v>
      </c>
    </row>
    <row r="38" spans="2:9">
      <c r="B38" t="s">
        <v>14</v>
      </c>
      <c r="C38" s="8">
        <v>45443</v>
      </c>
      <c r="D38" s="9">
        <v>42</v>
      </c>
      <c r="E38" s="10">
        <v>30.45</v>
      </c>
      <c r="F38" s="1">
        <f t="shared" si="6"/>
        <v>1278.8999999999999</v>
      </c>
      <c r="G38" s="1">
        <f>C75*D38</f>
        <v>4733.82</v>
      </c>
      <c r="H38" s="11">
        <f t="shared" si="7"/>
        <v>3454.92</v>
      </c>
      <c r="I38" s="111">
        <f t="shared" si="8"/>
        <v>2.7014778325123157</v>
      </c>
    </row>
    <row r="39" spans="2:9">
      <c r="B39" t="s">
        <v>14</v>
      </c>
      <c r="C39" s="8">
        <v>45442</v>
      </c>
      <c r="D39" s="9">
        <v>91</v>
      </c>
      <c r="E39" s="10">
        <v>30.28</v>
      </c>
      <c r="F39" s="1">
        <f>D39*E39</f>
        <v>2755.48</v>
      </c>
      <c r="G39" s="1">
        <f>C75*D39</f>
        <v>10256.609999999999</v>
      </c>
      <c r="H39" s="11">
        <f>G39-F39</f>
        <v>7501.1299999999992</v>
      </c>
      <c r="I39" s="111">
        <f xml:space="preserve">  (G39/F39) -1</f>
        <v>2.7222589167767497</v>
      </c>
    </row>
    <row r="40" spans="2:9">
      <c r="B40" t="s">
        <v>16</v>
      </c>
      <c r="C40" s="8">
        <v>44792</v>
      </c>
      <c r="D40" s="9">
        <v>221</v>
      </c>
      <c r="E40" s="10">
        <v>30.266400000000001</v>
      </c>
      <c r="F40" s="1">
        <f t="shared" si="6"/>
        <v>6688.8744000000006</v>
      </c>
      <c r="G40" s="1">
        <f>C75*D40</f>
        <v>24908.91</v>
      </c>
      <c r="H40" s="11">
        <f t="shared" si="7"/>
        <v>18220.035599999999</v>
      </c>
      <c r="I40" s="111">
        <f t="shared" si="8"/>
        <v>2.7239314883831574</v>
      </c>
    </row>
    <row r="41" spans="2:9">
      <c r="B41" t="s">
        <v>16</v>
      </c>
      <c r="C41" s="8">
        <v>43147</v>
      </c>
      <c r="D41" s="9">
        <v>139</v>
      </c>
      <c r="E41" s="10">
        <v>30.2</v>
      </c>
      <c r="F41" s="1">
        <f t="shared" si="6"/>
        <v>4197.8</v>
      </c>
      <c r="G41" s="1">
        <f>C75*D41</f>
        <v>15666.689999999999</v>
      </c>
      <c r="H41" s="11">
        <f t="shared" si="7"/>
        <v>11468.89</v>
      </c>
      <c r="I41" s="111">
        <f t="shared" si="8"/>
        <v>2.7321192052980128</v>
      </c>
    </row>
    <row r="42" spans="2:9">
      <c r="B42" t="s">
        <v>16</v>
      </c>
      <c r="C42" s="8">
        <v>42783</v>
      </c>
      <c r="D42" s="9">
        <v>148</v>
      </c>
      <c r="E42" s="10">
        <v>29.55</v>
      </c>
      <c r="F42" s="1">
        <f t="shared" si="6"/>
        <v>4373.4000000000005</v>
      </c>
      <c r="G42" s="1">
        <f>C75*D42</f>
        <v>16681.079999999998</v>
      </c>
      <c r="H42" s="11">
        <f t="shared" si="7"/>
        <v>12307.679999999997</v>
      </c>
      <c r="I42" s="111">
        <f t="shared" si="8"/>
        <v>2.8142131979695422</v>
      </c>
    </row>
    <row r="43" spans="2:9">
      <c r="B43" t="s">
        <v>14</v>
      </c>
      <c r="C43" s="8">
        <v>44865</v>
      </c>
      <c r="D43" s="9">
        <v>55</v>
      </c>
      <c r="E43" s="10">
        <v>28.61</v>
      </c>
      <c r="F43" s="1">
        <f t="shared" si="6"/>
        <v>1573.55</v>
      </c>
      <c r="G43" s="1">
        <f>C75*D43</f>
        <v>6199.0499999999993</v>
      </c>
      <c r="H43" s="11">
        <f t="shared" si="7"/>
        <v>4625.4999999999991</v>
      </c>
      <c r="I43" s="111">
        <f t="shared" si="8"/>
        <v>2.9395316322963994</v>
      </c>
    </row>
    <row r="44" spans="2:9">
      <c r="B44" t="s">
        <v>14</v>
      </c>
      <c r="C44" s="8">
        <v>44957</v>
      </c>
      <c r="D44" s="9">
        <v>51</v>
      </c>
      <c r="E44" s="10">
        <v>27.91</v>
      </c>
      <c r="F44" s="1">
        <f t="shared" si="6"/>
        <v>1423.41</v>
      </c>
      <c r="G44" s="1">
        <f>C75*D44</f>
        <v>5748.21</v>
      </c>
      <c r="H44" s="11">
        <f t="shared" si="7"/>
        <v>4324.8</v>
      </c>
      <c r="I44" s="111">
        <f t="shared" si="8"/>
        <v>3.0383375134360442</v>
      </c>
    </row>
    <row r="45" spans="2:9">
      <c r="B45" t="s">
        <v>16</v>
      </c>
      <c r="C45" s="8">
        <v>42601</v>
      </c>
      <c r="D45" s="9">
        <v>137</v>
      </c>
      <c r="E45" s="10">
        <v>25.98</v>
      </c>
      <c r="F45" s="1">
        <f t="shared" si="6"/>
        <v>3559.26</v>
      </c>
      <c r="G45" s="1">
        <f>C75*D45</f>
        <v>15441.269999999999</v>
      </c>
      <c r="H45" s="11">
        <f t="shared" si="7"/>
        <v>11882.009999999998</v>
      </c>
      <c r="I45" s="111">
        <f t="shared" si="8"/>
        <v>3.3383371824480363</v>
      </c>
    </row>
    <row r="46" spans="2:9">
      <c r="B46" t="s">
        <v>16</v>
      </c>
      <c r="C46" s="8">
        <v>42419</v>
      </c>
      <c r="D46" s="9">
        <v>162</v>
      </c>
      <c r="E46" s="10">
        <v>24.6</v>
      </c>
      <c r="F46" s="1">
        <f t="shared" si="6"/>
        <v>3985.2000000000003</v>
      </c>
      <c r="G46" s="1">
        <f>C75*D46</f>
        <v>18259.02</v>
      </c>
      <c r="H46" s="11">
        <f t="shared" si="7"/>
        <v>14273.82</v>
      </c>
      <c r="I46" s="111">
        <f t="shared" si="8"/>
        <v>3.5817073170731701</v>
      </c>
    </row>
    <row r="47" spans="2:9">
      <c r="B47" t="s">
        <v>14</v>
      </c>
      <c r="C47" s="8">
        <v>45628</v>
      </c>
      <c r="D47" s="9">
        <v>100</v>
      </c>
      <c r="E47" s="10">
        <v>24.46</v>
      </c>
      <c r="F47" s="1">
        <f t="shared" si="6"/>
        <v>2446</v>
      </c>
      <c r="G47" s="1">
        <f>C75*D47</f>
        <v>11271</v>
      </c>
      <c r="H47" s="11">
        <f>G47-F47</f>
        <v>8825</v>
      </c>
      <c r="I47" s="111">
        <f xml:space="preserve">  (G47/F47) -1</f>
        <v>3.6079313164349962</v>
      </c>
    </row>
    <row r="48" spans="2:9">
      <c r="B48" t="s">
        <v>14</v>
      </c>
      <c r="C48" s="8">
        <v>45628</v>
      </c>
      <c r="D48" s="9">
        <v>45</v>
      </c>
      <c r="E48" s="10">
        <v>24.46</v>
      </c>
      <c r="F48" s="1">
        <f t="shared" si="6"/>
        <v>1100.7</v>
      </c>
      <c r="G48" s="1">
        <f>C75*D48</f>
        <v>5071.95</v>
      </c>
      <c r="H48" s="11">
        <f>G48-F48</f>
        <v>3971.25</v>
      </c>
      <c r="I48" s="111">
        <f xml:space="preserve">  (G48/F48) -1</f>
        <v>3.6079313164349953</v>
      </c>
    </row>
    <row r="49" spans="2:9">
      <c r="B49" t="s">
        <v>16</v>
      </c>
      <c r="C49" s="8">
        <v>42235</v>
      </c>
      <c r="D49" s="9">
        <v>137</v>
      </c>
      <c r="E49" s="10">
        <v>24.26</v>
      </c>
      <c r="F49" s="1">
        <f t="shared" si="6"/>
        <v>3323.6200000000003</v>
      </c>
      <c r="G49" s="1">
        <f>C75*D49</f>
        <v>15441.269999999999</v>
      </c>
      <c r="H49" s="11">
        <f t="shared" si="7"/>
        <v>12117.649999999998</v>
      </c>
      <c r="I49" s="111">
        <f t="shared" si="8"/>
        <v>3.6459192085737833</v>
      </c>
    </row>
    <row r="50" spans="2:9">
      <c r="B50" t="s">
        <v>14</v>
      </c>
      <c r="C50" s="8">
        <v>45902</v>
      </c>
      <c r="D50" s="9">
        <v>91</v>
      </c>
      <c r="E50" s="10">
        <v>23.96</v>
      </c>
      <c r="F50" s="1">
        <f>D50*E50</f>
        <v>2180.36</v>
      </c>
      <c r="G50" s="1">
        <f>C75*D50</f>
        <v>10256.609999999999</v>
      </c>
      <c r="H50" s="11">
        <f>G50-F50</f>
        <v>8076.2499999999982</v>
      </c>
      <c r="I50" s="111">
        <f xml:space="preserve">  (G50/F50) -1</f>
        <v>3.7040901502504164</v>
      </c>
    </row>
    <row r="51" spans="2:9">
      <c r="B51" t="s">
        <v>14</v>
      </c>
      <c r="C51" s="8">
        <v>45902</v>
      </c>
      <c r="D51" s="9">
        <v>42</v>
      </c>
      <c r="E51" s="10">
        <v>23.96</v>
      </c>
      <c r="F51" s="1">
        <f>D51*E51</f>
        <v>1006.32</v>
      </c>
      <c r="G51" s="1">
        <f>C75*D51</f>
        <v>4733.82</v>
      </c>
      <c r="H51" s="11">
        <f>G51-F51</f>
        <v>3727.4999999999995</v>
      </c>
      <c r="I51" s="111">
        <f xml:space="preserve">  (G51/F51) -1</f>
        <v>3.7040901502504164</v>
      </c>
    </row>
    <row r="52" spans="2:9">
      <c r="B52" t="s">
        <v>14</v>
      </c>
      <c r="C52" s="8">
        <v>45902</v>
      </c>
      <c r="D52" s="9">
        <v>82</v>
      </c>
      <c r="E52" s="10">
        <v>23.96</v>
      </c>
      <c r="F52" s="1">
        <f>D52*E52</f>
        <v>1964.72</v>
      </c>
      <c r="G52" s="1">
        <f>C75*D52</f>
        <v>9242.2199999999993</v>
      </c>
      <c r="H52" s="11">
        <f>G52-F52</f>
        <v>7277.4999999999991</v>
      </c>
      <c r="I52" s="111">
        <f xml:space="preserve">  (G52/F52) -1</f>
        <v>3.7040901502504173</v>
      </c>
    </row>
    <row r="53" spans="2:9">
      <c r="B53" t="s">
        <v>16</v>
      </c>
      <c r="C53" s="8">
        <v>45156</v>
      </c>
      <c r="D53" s="9">
        <v>346</v>
      </c>
      <c r="E53" s="10">
        <v>23.72</v>
      </c>
      <c r="F53" s="1">
        <f t="shared" si="6"/>
        <v>8207.119999999999</v>
      </c>
      <c r="G53" s="1">
        <f>C75*D53</f>
        <v>38997.659999999996</v>
      </c>
      <c r="H53" s="11">
        <f t="shared" si="7"/>
        <v>30790.539999999997</v>
      </c>
      <c r="I53" s="111">
        <f t="shared" si="8"/>
        <v>3.7516863406408092</v>
      </c>
    </row>
    <row r="54" spans="2:9">
      <c r="B54" t="s">
        <v>16</v>
      </c>
      <c r="C54" s="8">
        <v>44974</v>
      </c>
      <c r="D54" s="9">
        <v>416</v>
      </c>
      <c r="E54" s="10">
        <v>23.57</v>
      </c>
      <c r="F54" s="1">
        <f t="shared" si="6"/>
        <v>9805.1200000000008</v>
      </c>
      <c r="G54" s="1">
        <f>C75*D54</f>
        <v>46887.360000000001</v>
      </c>
      <c r="H54" s="11">
        <f t="shared" si="7"/>
        <v>37082.239999999998</v>
      </c>
      <c r="I54" s="111">
        <f t="shared" si="8"/>
        <v>3.7819261773440811</v>
      </c>
    </row>
    <row r="55" spans="2:9">
      <c r="B55" t="s">
        <v>14</v>
      </c>
      <c r="C55" s="8">
        <v>45716</v>
      </c>
      <c r="D55" s="9">
        <v>91</v>
      </c>
      <c r="E55" s="10">
        <v>23.54</v>
      </c>
      <c r="F55" s="1">
        <f t="shared" si="6"/>
        <v>2142.14</v>
      </c>
      <c r="G55" s="1">
        <f>C75*D55</f>
        <v>10256.609999999999</v>
      </c>
      <c r="H55" s="11">
        <f>G55-F55</f>
        <v>8114.4699999999993</v>
      </c>
      <c r="I55" s="111">
        <f xml:space="preserve">  (G55/F55) -1</f>
        <v>3.788020390824129</v>
      </c>
    </row>
    <row r="56" spans="2:9">
      <c r="B56" t="s">
        <v>14</v>
      </c>
      <c r="C56" s="8">
        <v>45716</v>
      </c>
      <c r="D56" s="9">
        <v>42</v>
      </c>
      <c r="E56" s="10">
        <v>23.54</v>
      </c>
      <c r="F56" s="1">
        <f t="shared" si="6"/>
        <v>988.68</v>
      </c>
      <c r="G56" s="1">
        <f>C75*D56</f>
        <v>4733.82</v>
      </c>
      <c r="H56" s="11">
        <f>G56-F56</f>
        <v>3745.14</v>
      </c>
      <c r="I56" s="111">
        <f xml:space="preserve">  (G56/F56) -1</f>
        <v>3.788020390824129</v>
      </c>
    </row>
    <row r="57" spans="2:9">
      <c r="B57" t="s">
        <v>14</v>
      </c>
      <c r="C57" s="8">
        <v>45629</v>
      </c>
      <c r="D57" s="9">
        <v>103</v>
      </c>
      <c r="E57" s="10">
        <v>23.09</v>
      </c>
      <c r="F57" s="1">
        <f t="shared" si="6"/>
        <v>2378.27</v>
      </c>
      <c r="G57" s="1">
        <f>C75*D57</f>
        <v>11609.13</v>
      </c>
      <c r="H57" s="11">
        <f t="shared" ref="H57:H66" si="12">G57-F57</f>
        <v>9230.8599999999988</v>
      </c>
      <c r="I57" s="111">
        <f t="shared" ref="I57:I66" si="13" xml:space="preserve">  (G57/F57) -1</f>
        <v>3.8813339107838889</v>
      </c>
    </row>
    <row r="58" spans="2:9">
      <c r="B58" t="s">
        <v>16</v>
      </c>
      <c r="C58" s="8">
        <v>45707</v>
      </c>
      <c r="D58" s="9">
        <v>448</v>
      </c>
      <c r="E58" s="10">
        <v>22.0108</v>
      </c>
      <c r="F58" s="1">
        <f t="shared" si="6"/>
        <v>9860.8384000000005</v>
      </c>
      <c r="G58" s="1">
        <f>C75*D58</f>
        <v>50494.079999999994</v>
      </c>
      <c r="H58" s="11">
        <f t="shared" si="12"/>
        <v>40633.241599999994</v>
      </c>
      <c r="I58" s="111">
        <f t="shared" si="13"/>
        <v>4.120668035691569</v>
      </c>
    </row>
    <row r="59" spans="2:9">
      <c r="B59" t="s">
        <v>16</v>
      </c>
      <c r="C59" s="8">
        <v>45707</v>
      </c>
      <c r="D59" s="9">
        <v>422</v>
      </c>
      <c r="E59" s="10">
        <v>21.8748</v>
      </c>
      <c r="F59" s="1">
        <f>D59*E59</f>
        <v>9231.1656000000003</v>
      </c>
      <c r="G59" s="1">
        <f>C75*D59</f>
        <v>47563.619999999995</v>
      </c>
      <c r="H59" s="11">
        <f>G59-F59</f>
        <v>38332.454399999995</v>
      </c>
      <c r="I59" s="111">
        <f xml:space="preserve">  (G59/F59) -1</f>
        <v>4.1525042514674411</v>
      </c>
    </row>
    <row r="60" spans="2:9">
      <c r="B60" t="s">
        <v>14</v>
      </c>
      <c r="C60" s="8">
        <v>45596</v>
      </c>
      <c r="D60" s="9">
        <v>55</v>
      </c>
      <c r="E60" s="10">
        <v>21.86</v>
      </c>
      <c r="F60" s="1">
        <f t="shared" si="6"/>
        <v>1202.3</v>
      </c>
      <c r="G60" s="1">
        <f>C75*D60</f>
        <v>6199.0499999999993</v>
      </c>
      <c r="H60" s="11">
        <f t="shared" si="12"/>
        <v>4996.7499999999991</v>
      </c>
      <c r="I60" s="111">
        <f t="shared" si="13"/>
        <v>4.1559926806953333</v>
      </c>
    </row>
    <row r="61" spans="2:9">
      <c r="B61" t="s">
        <v>14</v>
      </c>
      <c r="C61" s="8">
        <v>45534</v>
      </c>
      <c r="D61" s="9">
        <v>92</v>
      </c>
      <c r="E61" s="10">
        <v>21.56</v>
      </c>
      <c r="F61" s="1">
        <f t="shared" si="6"/>
        <v>1983.52</v>
      </c>
      <c r="G61" s="1">
        <f>C75*D61</f>
        <v>10369.32</v>
      </c>
      <c r="H61" s="11">
        <f t="shared" si="12"/>
        <v>8385.7999999999993</v>
      </c>
      <c r="I61" s="111">
        <f t="shared" si="13"/>
        <v>4.2277365491651206</v>
      </c>
    </row>
    <row r="62" spans="2:9">
      <c r="B62" t="s">
        <v>14</v>
      </c>
      <c r="C62" s="8">
        <v>45538</v>
      </c>
      <c r="D62" s="9">
        <v>42</v>
      </c>
      <c r="E62" s="10">
        <v>20.84</v>
      </c>
      <c r="F62" s="1">
        <f t="shared" si="6"/>
        <v>875.28</v>
      </c>
      <c r="G62" s="1">
        <f>C75*D62</f>
        <v>4733.82</v>
      </c>
      <c r="H62" s="11">
        <f t="shared" si="12"/>
        <v>3858.54</v>
      </c>
      <c r="I62" s="111">
        <f t="shared" si="13"/>
        <v>4.4083493282149711</v>
      </c>
    </row>
    <row r="63" spans="2:9">
      <c r="B63" t="s">
        <v>14</v>
      </c>
      <c r="C63" s="8">
        <v>45869</v>
      </c>
      <c r="D63" s="9">
        <v>50</v>
      </c>
      <c r="E63" s="10">
        <v>19.944400000000002</v>
      </c>
      <c r="F63" s="1">
        <f>D63*E63</f>
        <v>997.22</v>
      </c>
      <c r="G63" s="1">
        <f>C75*D63</f>
        <v>5635.5</v>
      </c>
      <c r="H63" s="11">
        <f t="shared" si="12"/>
        <v>4638.28</v>
      </c>
      <c r="I63" s="111">
        <f t="shared" si="13"/>
        <v>4.6512103648141832</v>
      </c>
    </row>
    <row r="64" spans="2:9">
      <c r="B64" t="s">
        <v>14</v>
      </c>
      <c r="C64" s="8">
        <v>45777</v>
      </c>
      <c r="D64" s="9">
        <v>51</v>
      </c>
      <c r="E64" s="10">
        <v>19.864999999999998</v>
      </c>
      <c r="F64" s="1">
        <f t="shared" si="6"/>
        <v>1013.1149999999999</v>
      </c>
      <c r="G64" s="1">
        <f>C75*D64</f>
        <v>5748.21</v>
      </c>
      <c r="H64" s="11">
        <f>G64-F64</f>
        <v>4735.0950000000003</v>
      </c>
      <c r="I64" s="111">
        <f xml:space="preserve">  (G64/F64) -1</f>
        <v>4.6737981374276369</v>
      </c>
    </row>
    <row r="65" spans="2:9">
      <c r="B65" t="s">
        <v>14</v>
      </c>
      <c r="C65" s="8">
        <v>45777</v>
      </c>
      <c r="D65" s="9">
        <v>51</v>
      </c>
      <c r="E65" s="10">
        <v>19.864999999999998</v>
      </c>
      <c r="F65" s="1">
        <f t="shared" si="6"/>
        <v>1013.1149999999999</v>
      </c>
      <c r="G65" s="1">
        <f>C75*D65</f>
        <v>5748.21</v>
      </c>
      <c r="H65" s="11">
        <f>G65-F65</f>
        <v>4735.0950000000003</v>
      </c>
      <c r="I65" s="111">
        <f xml:space="preserve">  (G65/F65) -1</f>
        <v>4.6737981374276369</v>
      </c>
    </row>
    <row r="66" spans="2:9">
      <c r="B66" t="s">
        <v>14</v>
      </c>
      <c r="C66" s="8">
        <v>45688</v>
      </c>
      <c r="D66" s="9">
        <v>51</v>
      </c>
      <c r="E66" s="10">
        <v>19.86</v>
      </c>
      <c r="F66" s="1">
        <f t="shared" si="6"/>
        <v>1012.86</v>
      </c>
      <c r="G66" s="1">
        <f>C75*D66</f>
        <v>5748.21</v>
      </c>
      <c r="H66" s="11">
        <f t="shared" si="12"/>
        <v>4735.3500000000004</v>
      </c>
      <c r="I66" s="111">
        <f t="shared" si="13"/>
        <v>4.6752265861027187</v>
      </c>
    </row>
    <row r="67" spans="2:9">
      <c r="B67" t="s">
        <v>16</v>
      </c>
      <c r="C67" s="8">
        <v>41689</v>
      </c>
      <c r="D67" s="9">
        <v>49</v>
      </c>
      <c r="E67" s="10">
        <v>19.86</v>
      </c>
      <c r="F67" s="1">
        <f t="shared" si="6"/>
        <v>973.14</v>
      </c>
      <c r="G67" s="1">
        <f>C75*D67</f>
        <v>5522.79</v>
      </c>
      <c r="H67" s="11">
        <f t="shared" si="7"/>
        <v>4549.6499999999996</v>
      </c>
      <c r="I67" s="111">
        <f t="shared" si="8"/>
        <v>4.6752265861027187</v>
      </c>
    </row>
    <row r="68" spans="2:9">
      <c r="B68" t="s">
        <v>14</v>
      </c>
      <c r="C68" s="8">
        <v>45807</v>
      </c>
      <c r="D68" s="9">
        <v>92</v>
      </c>
      <c r="E68" s="10">
        <v>19.785</v>
      </c>
      <c r="F68" s="1">
        <f>D68*E68</f>
        <v>1820.22</v>
      </c>
      <c r="G68" s="1">
        <f>C75*D68</f>
        <v>10369.32</v>
      </c>
      <c r="H68" s="11">
        <f t="shared" si="7"/>
        <v>8549.1</v>
      </c>
      <c r="I68" s="111">
        <f t="shared" si="8"/>
        <v>4.6967399545109929</v>
      </c>
    </row>
    <row r="69" spans="2:9">
      <c r="B69" t="s">
        <v>14</v>
      </c>
      <c r="C69" s="8">
        <v>45810</v>
      </c>
      <c r="D69" s="9">
        <v>42</v>
      </c>
      <c r="E69" s="10">
        <v>19.597200000000001</v>
      </c>
      <c r="F69" s="1">
        <f>D69*E69</f>
        <v>823.08240000000001</v>
      </c>
      <c r="G69" s="1">
        <f>C75*D69</f>
        <v>4733.82</v>
      </c>
      <c r="H69" s="11">
        <f>G69-F69</f>
        <v>3910.7375999999995</v>
      </c>
      <c r="I69" s="111">
        <f xml:space="preserve">  (G69/F69) -1</f>
        <v>4.7513318229134773</v>
      </c>
    </row>
    <row r="70" spans="2:9">
      <c r="B70" t="s">
        <v>14</v>
      </c>
      <c r="C70" s="8">
        <v>45810</v>
      </c>
      <c r="D70" s="9">
        <v>81</v>
      </c>
      <c r="E70" s="10">
        <v>19.597200000000001</v>
      </c>
      <c r="F70" s="1">
        <f>D70*E70</f>
        <v>1587.3732</v>
      </c>
      <c r="G70" s="1">
        <f>C75*D70</f>
        <v>9129.51</v>
      </c>
      <c r="H70" s="11">
        <f>G70-F70</f>
        <v>7542.1368000000002</v>
      </c>
      <c r="I70" s="111">
        <f xml:space="preserve">  (G70/F70) -1</f>
        <v>4.7513318229134773</v>
      </c>
    </row>
    <row r="71" spans="2:9">
      <c r="B71" t="s">
        <v>16</v>
      </c>
      <c r="C71" s="8">
        <v>40956</v>
      </c>
      <c r="D71" s="9">
        <v>12</v>
      </c>
      <c r="E71" s="10">
        <v>19.059999999999999</v>
      </c>
      <c r="F71" s="1">
        <f t="shared" si="6"/>
        <v>228.71999999999997</v>
      </c>
      <c r="G71" s="1">
        <f>C75*D71</f>
        <v>1352.52</v>
      </c>
      <c r="H71" s="11">
        <f t="shared" si="7"/>
        <v>1123.8</v>
      </c>
      <c r="I71" s="111">
        <f t="shared" si="8"/>
        <v>4.913431269674712</v>
      </c>
    </row>
    <row r="72" spans="2:9">
      <c r="B72" t="s">
        <v>16</v>
      </c>
      <c r="C72" s="8">
        <v>45523</v>
      </c>
      <c r="D72" s="9">
        <v>297</v>
      </c>
      <c r="E72" s="10">
        <v>18.145399999999999</v>
      </c>
      <c r="F72" s="1">
        <f t="shared" si="6"/>
        <v>5389.1837999999998</v>
      </c>
      <c r="G72" s="1">
        <f>C75*D72</f>
        <v>33474.869999999995</v>
      </c>
      <c r="H72" s="11">
        <f>G72-F72</f>
        <v>28085.686199999996</v>
      </c>
      <c r="I72" s="111">
        <f xml:space="preserve">  (G72/F72) -1</f>
        <v>5.2114916177102728</v>
      </c>
    </row>
    <row r="73" spans="2:9">
      <c r="B73" t="s">
        <v>16</v>
      </c>
      <c r="C73" s="8">
        <v>41324</v>
      </c>
      <c r="D73" s="9">
        <v>159</v>
      </c>
      <c r="E73" s="10">
        <v>17.97</v>
      </c>
      <c r="F73" s="1">
        <f t="shared" si="6"/>
        <v>2857.23</v>
      </c>
      <c r="G73" s="1">
        <f>C75*D73</f>
        <v>17920.89</v>
      </c>
      <c r="H73" s="11">
        <f t="shared" si="7"/>
        <v>15063.66</v>
      </c>
      <c r="I73" s="111">
        <f t="shared" si="8"/>
        <v>5.2721202003338892</v>
      </c>
    </row>
    <row r="74" spans="2:9">
      <c r="D74" s="9"/>
      <c r="E74" s="1"/>
      <c r="H74" s="12"/>
    </row>
    <row r="75" spans="2:9">
      <c r="B75" t="str">
        <f>[1]Sellable!A40</f>
        <v>Overall Total</v>
      </c>
      <c r="C75" s="50">
        <v>112.71</v>
      </c>
      <c r="D75" s="9">
        <f>SUM(D3:D74)</f>
        <v>7355</v>
      </c>
      <c r="E75" s="1"/>
      <c r="F75" s="1">
        <f>SUM(F3:F74)</f>
        <v>232608.75819999995</v>
      </c>
      <c r="G75" s="1">
        <f>SUM(G3:G74)</f>
        <v>828982.04999999981</v>
      </c>
      <c r="H75" s="11">
        <f>G75-F75</f>
        <v>596373.29179999989</v>
      </c>
      <c r="I75" s="79">
        <f>AVERAGE(I3:I73)</f>
        <v>2.9111334448833484</v>
      </c>
    </row>
    <row r="76" spans="2:9">
      <c r="H76" s="79">
        <f>H75/F75</f>
        <v>2.5638471071120659</v>
      </c>
    </row>
    <row r="77" spans="2:9">
      <c r="H77" s="17"/>
    </row>
  </sheetData>
  <sortState xmlns:xlrd2="http://schemas.microsoft.com/office/spreadsheetml/2017/richdata2" ref="B17:I73">
    <sortCondition descending="1" ref="E17:E73"/>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A0DC9-9A4D-4FC8-B543-3E82F9ECE672}">
  <dimension ref="A1:S171"/>
  <sheetViews>
    <sheetView topLeftCell="A19" zoomScale="85" zoomScaleNormal="85" workbookViewId="0">
      <selection activeCell="L24" sqref="L24"/>
    </sheetView>
  </sheetViews>
  <sheetFormatPr defaultRowHeight="15"/>
  <cols>
    <col min="1" max="1" width="10.7109375" bestFit="1" customWidth="1"/>
    <col min="2" max="2" width="9.7109375" bestFit="1" customWidth="1"/>
    <col min="6" max="6" width="10.140625" bestFit="1" customWidth="1"/>
    <col min="7" max="7" width="9.28515625" style="20" customWidth="1"/>
    <col min="8" max="8" width="11.7109375" customWidth="1"/>
    <col min="9" max="9" width="9.85546875" bestFit="1" customWidth="1"/>
    <col min="10" max="10" width="9.140625" style="7"/>
    <col min="11" max="11" width="10.85546875" style="21" bestFit="1" customWidth="1"/>
    <col min="12" max="12" width="9" style="21" customWidth="1"/>
    <col min="13" max="13" width="4.42578125" style="9" bestFit="1" customWidth="1"/>
    <col min="14" max="14" width="10.28515625" customWidth="1"/>
    <col min="15" max="15" width="13.42578125" bestFit="1" customWidth="1"/>
    <col min="16" max="16" width="5" bestFit="1" customWidth="1"/>
    <col min="17" max="17" width="8" bestFit="1" customWidth="1"/>
  </cols>
  <sheetData>
    <row r="1" spans="1:19">
      <c r="A1" s="6"/>
      <c r="B1" s="28">
        <v>6606.32</v>
      </c>
      <c r="J1" s="7" t="s">
        <v>318</v>
      </c>
      <c r="K1" s="21" t="s">
        <v>320</v>
      </c>
      <c r="L1" s="21" t="s">
        <v>321</v>
      </c>
      <c r="M1" s="9" t="s">
        <v>363</v>
      </c>
      <c r="N1" t="s">
        <v>367</v>
      </c>
      <c r="O1" t="s">
        <v>319</v>
      </c>
      <c r="R1" s="16"/>
    </row>
    <row r="2" spans="1:19">
      <c r="D2" t="s">
        <v>7</v>
      </c>
      <c r="E2" t="s">
        <v>78</v>
      </c>
      <c r="F2" t="s">
        <v>77</v>
      </c>
      <c r="G2" s="20" t="s">
        <v>79</v>
      </c>
      <c r="I2" t="s">
        <v>9</v>
      </c>
      <c r="J2" s="30">
        <f>AVERAGE(J3:J171)</f>
        <v>0.13989071052759328</v>
      </c>
      <c r="K2" s="35">
        <f>AVERAGE(K3:K171)</f>
        <v>161.74416000000002</v>
      </c>
      <c r="L2" s="37">
        <f>AVERAGE(L3:L171)</f>
        <v>62.496000000000002</v>
      </c>
      <c r="M2" s="58">
        <f>SUM(M3:M171)/171</f>
        <v>0.66666666666666663</v>
      </c>
      <c r="N2" s="35">
        <f>SUM(K3:K171) - P2</f>
        <v>17878.660000000003</v>
      </c>
      <c r="O2" s="85">
        <f>AVERAGE(N3:N171)/(AVERAGE(O3:O171) * -1)</f>
        <v>11.577431556478661</v>
      </c>
      <c r="P2" s="86">
        <f>SUM(S3:S169)</f>
        <v>2339.36</v>
      </c>
      <c r="Q2" s="78">
        <f>N2 * 0.1</f>
        <v>1787.8660000000004</v>
      </c>
      <c r="R2">
        <f>(Q2/8)*100</f>
        <v>22348.325000000004</v>
      </c>
    </row>
    <row r="3" spans="1:19" ht="18" customHeight="1">
      <c r="A3" s="6"/>
      <c r="J3" s="30"/>
      <c r="K3" s="35"/>
      <c r="L3" s="37"/>
      <c r="M3" s="58"/>
      <c r="N3" s="38"/>
      <c r="O3" s="85"/>
      <c r="P3" s="86"/>
      <c r="Q3" s="78"/>
    </row>
    <row r="4" spans="1:19" ht="18" customHeight="1">
      <c r="A4" s="6">
        <v>46174</v>
      </c>
      <c r="B4" t="s">
        <v>324</v>
      </c>
      <c r="C4" s="9">
        <v>11</v>
      </c>
      <c r="D4">
        <v>171.27</v>
      </c>
      <c r="E4" s="29">
        <v>180</v>
      </c>
      <c r="F4" s="50">
        <v>130</v>
      </c>
      <c r="G4" s="21">
        <f t="shared" ref="G4:G9" si="0" xml:space="preserve"> (E4 - F4)/(D4-F4)</f>
        <v>1.2115338017930697</v>
      </c>
      <c r="J4" s="30"/>
      <c r="K4" s="35"/>
      <c r="L4" s="37"/>
      <c r="M4" s="58"/>
      <c r="N4" s="38"/>
      <c r="O4" s="85"/>
      <c r="P4" s="86"/>
      <c r="Q4" s="78"/>
    </row>
    <row r="5" spans="1:19" ht="18" customHeight="1">
      <c r="A5" s="6">
        <v>46174</v>
      </c>
      <c r="B5" t="s">
        <v>639</v>
      </c>
      <c r="C5" s="9">
        <v>63</v>
      </c>
      <c r="D5">
        <v>47.84</v>
      </c>
      <c r="E5" s="29">
        <v>50</v>
      </c>
      <c r="F5" s="50">
        <v>19</v>
      </c>
      <c r="G5" s="21">
        <f t="shared" si="0"/>
        <v>1.0748959778085991</v>
      </c>
      <c r="J5" s="30"/>
      <c r="K5" s="35"/>
      <c r="L5" s="37"/>
      <c r="M5" s="58"/>
      <c r="N5" s="38"/>
      <c r="O5" s="85"/>
      <c r="P5" s="86"/>
      <c r="Q5" s="78"/>
    </row>
    <row r="6" spans="1:19" ht="18" customHeight="1">
      <c r="A6" s="6">
        <v>46174</v>
      </c>
      <c r="B6" t="s">
        <v>48</v>
      </c>
      <c r="C6" s="9">
        <v>11</v>
      </c>
      <c r="D6">
        <v>114</v>
      </c>
      <c r="E6" s="29">
        <v>140</v>
      </c>
      <c r="F6" s="50">
        <v>110</v>
      </c>
      <c r="G6" s="21">
        <f t="shared" si="0"/>
        <v>7.5</v>
      </c>
      <c r="J6" s="30"/>
      <c r="K6" s="35"/>
      <c r="L6" s="37"/>
      <c r="M6" s="58"/>
      <c r="N6" s="38"/>
      <c r="O6" s="85"/>
      <c r="P6" s="86"/>
      <c r="Q6" s="78"/>
    </row>
    <row r="7" spans="1:19" ht="18" customHeight="1">
      <c r="A7" s="6">
        <v>46174</v>
      </c>
      <c r="B7" t="s">
        <v>23</v>
      </c>
      <c r="C7" s="9">
        <v>59</v>
      </c>
      <c r="D7">
        <v>82.5</v>
      </c>
      <c r="E7" s="29">
        <v>85</v>
      </c>
      <c r="F7" s="50">
        <v>77</v>
      </c>
      <c r="G7" s="21">
        <f t="shared" si="0"/>
        <v>1.4545454545454546</v>
      </c>
      <c r="J7" s="30"/>
      <c r="K7" s="35"/>
      <c r="L7" s="37"/>
      <c r="M7" s="58"/>
      <c r="N7" s="38"/>
      <c r="O7" s="85"/>
      <c r="P7" s="86"/>
      <c r="Q7" s="78"/>
    </row>
    <row r="8" spans="1:19" ht="18" customHeight="1">
      <c r="A8" s="6">
        <v>46174</v>
      </c>
      <c r="B8" t="s">
        <v>467</v>
      </c>
      <c r="C8" s="9">
        <v>21</v>
      </c>
      <c r="D8">
        <v>210.41</v>
      </c>
      <c r="E8" s="29">
        <v>250</v>
      </c>
      <c r="F8" s="50">
        <v>160</v>
      </c>
      <c r="G8" s="21">
        <f t="shared" si="0"/>
        <v>1.7853600476096014</v>
      </c>
      <c r="J8" s="30"/>
      <c r="K8" s="35"/>
      <c r="L8" s="37"/>
      <c r="M8" s="58"/>
      <c r="N8" s="38"/>
      <c r="O8" s="85"/>
      <c r="P8" s="86"/>
      <c r="Q8" s="78"/>
      <c r="R8" s="28">
        <v>17878.66</v>
      </c>
    </row>
    <row r="9" spans="1:19" ht="18" customHeight="1">
      <c r="A9" s="6">
        <v>46174</v>
      </c>
      <c r="B9" t="s">
        <v>708</v>
      </c>
      <c r="C9" s="9">
        <v>26</v>
      </c>
      <c r="D9">
        <v>157.72999999999999</v>
      </c>
      <c r="E9" s="29">
        <v>250</v>
      </c>
      <c r="F9" s="50">
        <v>115</v>
      </c>
      <c r="G9" s="21">
        <f t="shared" si="0"/>
        <v>3.1593728059911079</v>
      </c>
      <c r="J9" s="30"/>
      <c r="K9" s="35"/>
      <c r="L9" s="37"/>
      <c r="M9" s="58"/>
      <c r="N9" s="38"/>
      <c r="O9" s="85"/>
      <c r="P9" s="86"/>
      <c r="Q9" s="78"/>
      <c r="R9" s="64">
        <v>18405.36</v>
      </c>
      <c r="S9" s="16">
        <v>558.51</v>
      </c>
    </row>
    <row r="10" spans="1:19" ht="18" customHeight="1">
      <c r="A10" s="6">
        <v>46171</v>
      </c>
      <c r="B10" t="s">
        <v>708</v>
      </c>
      <c r="C10" s="9">
        <v>26</v>
      </c>
      <c r="D10">
        <v>143.9</v>
      </c>
      <c r="E10" s="29">
        <v>250</v>
      </c>
      <c r="F10" s="50">
        <v>115</v>
      </c>
      <c r="G10" s="21">
        <f t="shared" ref="G10:G11" si="1" xml:space="preserve"> (E10 - F10)/(D10-F10)</f>
        <v>4.6712802768166082</v>
      </c>
      <c r="H10" s="6">
        <v>46174</v>
      </c>
      <c r="I10" s="29">
        <v>157.80000000000001</v>
      </c>
      <c r="J10" s="30">
        <f>I10/D10 -1</f>
        <v>9.6594857539958445E-2</v>
      </c>
      <c r="K10" s="35">
        <f>(C10*I10) - (C10*D10)</f>
        <v>361.40000000000009</v>
      </c>
      <c r="L10" s="21">
        <f>H10-A10</f>
        <v>3</v>
      </c>
      <c r="M10" s="9">
        <f>IF(J10&gt;0,1,0)</f>
        <v>1</v>
      </c>
      <c r="N10">
        <f>IF(K10&gt;0, K10, 0)</f>
        <v>361.40000000000009</v>
      </c>
      <c r="O10" s="17">
        <f t="shared" ref="O10" si="2">IF(K10&lt;0, K10, 0)</f>
        <v>0</v>
      </c>
      <c r="P10" s="86"/>
      <c r="Q10" s="78"/>
      <c r="S10" s="28">
        <v>-31.81</v>
      </c>
    </row>
    <row r="11" spans="1:19" ht="18" customHeight="1">
      <c r="A11" s="6">
        <v>46171</v>
      </c>
      <c r="B11" t="s">
        <v>857</v>
      </c>
      <c r="C11" s="9">
        <v>50</v>
      </c>
      <c r="D11">
        <v>92.51</v>
      </c>
      <c r="E11" s="29">
        <v>125</v>
      </c>
      <c r="F11" s="50">
        <v>70</v>
      </c>
      <c r="G11" s="21">
        <f t="shared" si="1"/>
        <v>2.4433585073300748</v>
      </c>
      <c r="J11" s="30"/>
      <c r="K11" s="35"/>
      <c r="L11" s="37"/>
      <c r="M11" s="58"/>
      <c r="N11" s="38"/>
      <c r="O11" s="85"/>
      <c r="P11" s="86"/>
      <c r="Q11" s="78"/>
      <c r="R11" s="28">
        <v>16461.29</v>
      </c>
    </row>
    <row r="12" spans="1:19" ht="18" customHeight="1">
      <c r="A12" s="6">
        <v>46170</v>
      </c>
      <c r="B12" t="s">
        <v>353</v>
      </c>
      <c r="C12" s="9">
        <v>187</v>
      </c>
      <c r="D12">
        <v>19.420000000000002</v>
      </c>
      <c r="E12" s="29">
        <v>21</v>
      </c>
      <c r="F12" s="50">
        <v>19</v>
      </c>
      <c r="G12" s="21">
        <f t="shared" ref="G12:G15" si="3" xml:space="preserve"> (E12 - F12)/(D12-F12)</f>
        <v>4.7619047619047423</v>
      </c>
      <c r="J12" s="30"/>
      <c r="K12" s="35"/>
      <c r="L12" s="37"/>
      <c r="M12" s="58"/>
      <c r="N12" s="38"/>
      <c r="O12" s="85"/>
      <c r="P12" s="86"/>
      <c r="Q12" s="78"/>
      <c r="R12" s="28">
        <v>15686.29</v>
      </c>
    </row>
    <row r="13" spans="1:19" ht="18" customHeight="1">
      <c r="A13" s="6">
        <v>46169</v>
      </c>
      <c r="B13" t="s">
        <v>876</v>
      </c>
      <c r="C13" s="9">
        <v>270</v>
      </c>
      <c r="D13">
        <v>7.05</v>
      </c>
      <c r="E13" s="29">
        <v>8</v>
      </c>
      <c r="F13" s="50">
        <v>7</v>
      </c>
      <c r="G13" s="21">
        <f t="shared" si="3"/>
        <v>20.000000000000071</v>
      </c>
      <c r="J13" s="30"/>
      <c r="K13" s="35"/>
      <c r="L13" s="37"/>
      <c r="M13" s="58"/>
      <c r="N13" s="38"/>
      <c r="O13" s="85"/>
      <c r="P13" s="86"/>
      <c r="Q13" s="78"/>
    </row>
    <row r="14" spans="1:19" ht="18" customHeight="1">
      <c r="A14" s="6">
        <v>46169</v>
      </c>
      <c r="B14" t="s">
        <v>472</v>
      </c>
      <c r="C14" s="9">
        <v>9</v>
      </c>
      <c r="D14">
        <v>112</v>
      </c>
      <c r="E14" s="29">
        <v>120</v>
      </c>
      <c r="F14" s="50">
        <v>88</v>
      </c>
      <c r="G14" s="21">
        <f t="shared" si="3"/>
        <v>1.3333333333333333</v>
      </c>
      <c r="J14" s="30"/>
      <c r="K14" s="35"/>
      <c r="L14" s="37"/>
      <c r="M14" s="58"/>
      <c r="N14" s="38"/>
      <c r="O14" s="85"/>
      <c r="P14" s="86"/>
      <c r="Q14" s="78"/>
    </row>
    <row r="15" spans="1:19" ht="18" customHeight="1">
      <c r="A15" s="6">
        <v>46169</v>
      </c>
      <c r="B15" t="s">
        <v>324</v>
      </c>
      <c r="C15" s="9">
        <v>11</v>
      </c>
      <c r="D15">
        <v>155.35</v>
      </c>
      <c r="E15" s="29">
        <v>180</v>
      </c>
      <c r="F15" s="50">
        <v>130</v>
      </c>
      <c r="G15" s="21">
        <f t="shared" si="3"/>
        <v>1.9723865877712037</v>
      </c>
      <c r="H15" s="6">
        <v>46174</v>
      </c>
      <c r="I15" s="29">
        <v>171.35</v>
      </c>
      <c r="J15" s="30">
        <f>I15/D15 -1</f>
        <v>0.10299324106855479</v>
      </c>
      <c r="K15" s="35">
        <f>(C15*I15) - (C15*D15)</f>
        <v>176</v>
      </c>
      <c r="L15" s="21">
        <f>H15-A15</f>
        <v>5</v>
      </c>
      <c r="M15" s="9">
        <f>IF(J15&gt;0,1,0)</f>
        <v>1</v>
      </c>
      <c r="N15">
        <f>IF(K15&gt;0, K15, 0)</f>
        <v>176</v>
      </c>
      <c r="O15" s="17">
        <f t="shared" ref="O15" si="4">IF(K15&lt;0, K15, 0)</f>
        <v>0</v>
      </c>
      <c r="P15" s="86"/>
      <c r="Q15" s="78"/>
      <c r="R15" s="28">
        <v>15602.29</v>
      </c>
    </row>
    <row r="16" spans="1:19" ht="18" customHeight="1">
      <c r="A16" s="6">
        <v>46168</v>
      </c>
      <c r="B16" t="s">
        <v>516</v>
      </c>
      <c r="C16" s="9">
        <v>68</v>
      </c>
      <c r="D16">
        <v>72.5</v>
      </c>
      <c r="E16" s="29">
        <v>100</v>
      </c>
      <c r="F16" s="50">
        <v>55</v>
      </c>
      <c r="G16" s="21">
        <f t="shared" ref="G16" si="5" xml:space="preserve"> (E16 - F16)/(D16-F16)</f>
        <v>2.5714285714285716</v>
      </c>
      <c r="H16" s="6">
        <v>46174</v>
      </c>
      <c r="I16" s="29">
        <v>73</v>
      </c>
      <c r="J16" s="30">
        <f>I16/D16 -1</f>
        <v>6.8965517241379448E-3</v>
      </c>
      <c r="K16" s="35">
        <f>(C16*I16) - (C16*D16)</f>
        <v>34</v>
      </c>
      <c r="L16" s="21">
        <f>H16-A16</f>
        <v>6</v>
      </c>
      <c r="M16" s="9">
        <f>IF(J16&gt;0,1,0)</f>
        <v>1</v>
      </c>
      <c r="N16">
        <f>IF(K16&gt;0, K16, 0)</f>
        <v>34</v>
      </c>
      <c r="O16" s="17">
        <f t="shared" ref="O16" si="6">IF(K16&lt;0, K16, 0)</f>
        <v>0</v>
      </c>
      <c r="P16" s="86"/>
      <c r="Q16" s="78"/>
      <c r="R16" s="28">
        <v>15267.2</v>
      </c>
    </row>
    <row r="17" spans="1:18" ht="18" customHeight="1">
      <c r="A17" s="6">
        <v>46164</v>
      </c>
      <c r="B17" t="s">
        <v>516</v>
      </c>
      <c r="C17" s="9">
        <v>68</v>
      </c>
      <c r="D17">
        <v>65.849999999999994</v>
      </c>
      <c r="E17" s="29">
        <v>100</v>
      </c>
      <c r="F17" s="50">
        <v>55</v>
      </c>
      <c r="G17" s="21">
        <f t="shared" ref="G17:G19" si="7" xml:space="preserve"> (E17 - F17)/(D17-F17)</f>
        <v>4.1474654377880205</v>
      </c>
      <c r="H17" s="6">
        <v>46168</v>
      </c>
      <c r="I17" s="29">
        <v>72.7</v>
      </c>
      <c r="J17" s="30">
        <f>I17/D17 -1</f>
        <v>0.10402429764616561</v>
      </c>
      <c r="K17" s="35">
        <f>(C17*I17) - (C17*D17)</f>
        <v>465.80000000000109</v>
      </c>
      <c r="L17" s="21">
        <f>H17-A17</f>
        <v>4</v>
      </c>
      <c r="M17" s="9">
        <f>IF(J17&gt;0,1,0)</f>
        <v>1</v>
      </c>
      <c r="N17">
        <f>IF(K17&gt;0, K17, 0)</f>
        <v>465.80000000000109</v>
      </c>
      <c r="O17" s="17">
        <f t="shared" ref="O17" si="8">IF(K17&lt;0, K17, 0)</f>
        <v>0</v>
      </c>
      <c r="P17" s="86"/>
      <c r="Q17" s="78"/>
      <c r="R17" s="28">
        <v>14801.4</v>
      </c>
    </row>
    <row r="18" spans="1:18" ht="18" customHeight="1">
      <c r="A18" s="6">
        <v>46163</v>
      </c>
      <c r="B18" t="s">
        <v>205</v>
      </c>
      <c r="C18" s="9">
        <v>7</v>
      </c>
      <c r="D18">
        <v>498</v>
      </c>
      <c r="E18" s="29">
        <v>700</v>
      </c>
      <c r="F18" s="50">
        <v>475</v>
      </c>
      <c r="G18" s="21">
        <f t="shared" si="7"/>
        <v>9.7826086956521738</v>
      </c>
      <c r="H18" s="6">
        <v>46170</v>
      </c>
      <c r="I18" s="29">
        <v>510</v>
      </c>
      <c r="J18" s="30">
        <f>I18/D18 -1</f>
        <v>2.4096385542168752E-2</v>
      </c>
      <c r="K18" s="35">
        <f>(C18*I18) - (C18*D18)</f>
        <v>84</v>
      </c>
      <c r="L18" s="21">
        <f>H18-A18</f>
        <v>7</v>
      </c>
      <c r="M18" s="9">
        <f>IF(J18&gt;0,1,0)</f>
        <v>1</v>
      </c>
      <c r="N18">
        <f>IF(K18&gt;0, K18, 0)</f>
        <v>84</v>
      </c>
      <c r="O18" s="17">
        <f t="shared" ref="O18" si="9">IF(K18&lt;0, K18, 0)</f>
        <v>0</v>
      </c>
      <c r="P18" s="86"/>
      <c r="Q18" s="78"/>
    </row>
    <row r="19" spans="1:18" ht="18" customHeight="1">
      <c r="A19" s="6">
        <v>46163</v>
      </c>
      <c r="B19" t="s">
        <v>559</v>
      </c>
      <c r="C19" s="9">
        <v>17</v>
      </c>
      <c r="D19">
        <v>241</v>
      </c>
      <c r="E19" s="29">
        <v>300</v>
      </c>
      <c r="F19" s="50">
        <v>225</v>
      </c>
      <c r="G19" s="21">
        <f t="shared" si="7"/>
        <v>4.6875</v>
      </c>
      <c r="J19" s="30"/>
      <c r="K19" s="35"/>
      <c r="L19" s="37"/>
      <c r="M19" s="58"/>
      <c r="N19" s="38"/>
      <c r="O19" s="85"/>
      <c r="P19" s="86"/>
      <c r="Q19" s="78"/>
      <c r="R19" s="28">
        <v>14524.8</v>
      </c>
    </row>
    <row r="20" spans="1:18" ht="18" customHeight="1">
      <c r="A20" s="6">
        <v>46156</v>
      </c>
      <c r="B20" t="s">
        <v>926</v>
      </c>
      <c r="C20" s="9">
        <v>186</v>
      </c>
      <c r="D20">
        <v>8.35</v>
      </c>
      <c r="E20" s="29">
        <v>11</v>
      </c>
      <c r="F20" s="50">
        <v>7</v>
      </c>
      <c r="G20" s="21">
        <f t="shared" ref="G20:G23" si="10" xml:space="preserve"> (E20 - F20)/(D20-F20)</f>
        <v>2.9629629629629637</v>
      </c>
      <c r="J20" s="30"/>
      <c r="K20" s="35"/>
      <c r="L20" s="37"/>
      <c r="M20" s="58"/>
      <c r="N20" s="38"/>
      <c r="O20" s="85"/>
      <c r="P20" s="86"/>
      <c r="Q20" s="78"/>
    </row>
    <row r="21" spans="1:18" ht="18" customHeight="1">
      <c r="A21" s="6">
        <v>46156</v>
      </c>
      <c r="B21" t="s">
        <v>585</v>
      </c>
      <c r="C21" s="9">
        <v>10</v>
      </c>
      <c r="D21">
        <v>134.5</v>
      </c>
      <c r="E21" s="29">
        <v>200</v>
      </c>
      <c r="F21" s="50">
        <v>110</v>
      </c>
      <c r="G21" s="21">
        <f t="shared" si="10"/>
        <v>3.6734693877551021</v>
      </c>
      <c r="J21" s="30"/>
      <c r="K21" s="35"/>
      <c r="L21" s="37"/>
      <c r="M21" s="58"/>
      <c r="N21" s="38"/>
      <c r="O21" s="85"/>
      <c r="P21" s="86"/>
      <c r="Q21" s="78"/>
    </row>
    <row r="22" spans="1:18" ht="18" customHeight="1">
      <c r="A22" s="6">
        <v>46156</v>
      </c>
      <c r="B22" t="s">
        <v>528</v>
      </c>
      <c r="C22" s="9">
        <v>18</v>
      </c>
      <c r="D22">
        <v>325.57</v>
      </c>
      <c r="E22" s="29">
        <v>250</v>
      </c>
      <c r="F22" s="50">
        <v>210</v>
      </c>
      <c r="G22" s="21">
        <f t="shared" si="10"/>
        <v>0.34611058233105479</v>
      </c>
      <c r="J22" s="30"/>
      <c r="K22" s="35"/>
      <c r="L22" s="37"/>
      <c r="M22" s="58"/>
      <c r="N22" s="38"/>
      <c r="O22" s="85"/>
      <c r="P22" s="86"/>
      <c r="Q22" s="78"/>
    </row>
    <row r="23" spans="1:18" ht="18" customHeight="1">
      <c r="A23" s="6">
        <v>46156</v>
      </c>
      <c r="B23" t="s">
        <v>904</v>
      </c>
      <c r="C23" s="9">
        <v>12</v>
      </c>
      <c r="D23">
        <v>351.95</v>
      </c>
      <c r="E23" s="29">
        <v>450</v>
      </c>
      <c r="F23" s="50">
        <v>335</v>
      </c>
      <c r="G23" s="21">
        <f t="shared" si="10"/>
        <v>6.7846607669616565</v>
      </c>
      <c r="H23" s="6">
        <v>46164</v>
      </c>
      <c r="I23" s="29">
        <v>375</v>
      </c>
      <c r="J23" s="30">
        <f>I23/D23 -1</f>
        <v>6.5492257422929523E-2</v>
      </c>
      <c r="K23" s="35">
        <f>(C23*I23) - (C23*D23)</f>
        <v>276.60000000000036</v>
      </c>
      <c r="L23" s="21">
        <f>H23-A23</f>
        <v>8</v>
      </c>
      <c r="M23" s="9">
        <f>IF(J23&gt;0,1,0)</f>
        <v>1</v>
      </c>
      <c r="N23">
        <f>IF(K23&gt;0, K23, 0)</f>
        <v>276.60000000000036</v>
      </c>
      <c r="O23" s="17">
        <f t="shared" ref="O23" si="11">IF(K23&lt;0, K23, 0)</f>
        <v>0</v>
      </c>
      <c r="P23" s="86"/>
      <c r="Q23" s="78"/>
      <c r="R23" s="28">
        <v>14253.6</v>
      </c>
    </row>
    <row r="24" spans="1:18" ht="18" customHeight="1">
      <c r="A24" s="6">
        <v>46155</v>
      </c>
      <c r="B24" t="s">
        <v>953</v>
      </c>
      <c r="C24" s="9">
        <v>88</v>
      </c>
      <c r="D24">
        <v>20</v>
      </c>
      <c r="E24" s="29">
        <v>25</v>
      </c>
      <c r="F24" s="50">
        <v>19</v>
      </c>
      <c r="G24" s="21">
        <f t="shared" ref="G24:G27" si="12" xml:space="preserve"> (E24 - F24)/(D24-F24)</f>
        <v>6</v>
      </c>
      <c r="J24" s="30"/>
      <c r="K24" s="35"/>
      <c r="L24" s="37"/>
      <c r="M24" s="58"/>
      <c r="N24" s="38"/>
      <c r="O24" s="85"/>
      <c r="P24" s="86"/>
      <c r="Q24" s="78"/>
    </row>
    <row r="25" spans="1:18" ht="18" customHeight="1">
      <c r="A25" s="6">
        <v>46155</v>
      </c>
      <c r="B25" t="s">
        <v>324</v>
      </c>
      <c r="C25" s="9">
        <v>11</v>
      </c>
      <c r="D25">
        <v>145.94999999999999</v>
      </c>
      <c r="E25" s="29">
        <v>180</v>
      </c>
      <c r="F25" s="50">
        <v>130</v>
      </c>
      <c r="G25" s="21">
        <f t="shared" si="12"/>
        <v>3.1347962382445163</v>
      </c>
      <c r="H25" s="6">
        <v>46169</v>
      </c>
      <c r="I25" s="29">
        <v>155.41</v>
      </c>
      <c r="J25" s="30">
        <f>I25/D25 -1</f>
        <v>6.4816718054128142E-2</v>
      </c>
      <c r="K25" s="35">
        <f>(C25*I25) - (C25*D25)</f>
        <v>104.06000000000017</v>
      </c>
      <c r="L25" s="21">
        <f>H25-A25</f>
        <v>14</v>
      </c>
      <c r="M25" s="9">
        <f>IF(J25&gt;0,1,0)</f>
        <v>1</v>
      </c>
      <c r="N25">
        <f>IF(K25&gt;0, K25, 0)</f>
        <v>104.06000000000017</v>
      </c>
      <c r="O25" s="17">
        <f t="shared" ref="O25" si="13">IF(K25&lt;0, K25, 0)</f>
        <v>0</v>
      </c>
      <c r="P25" s="86"/>
      <c r="Q25" s="78"/>
    </row>
    <row r="26" spans="1:18" ht="18" customHeight="1">
      <c r="A26" s="6">
        <v>46155</v>
      </c>
      <c r="B26" t="s">
        <v>286</v>
      </c>
      <c r="C26" s="9">
        <v>413</v>
      </c>
      <c r="D26">
        <v>10.54</v>
      </c>
      <c r="E26" s="29">
        <v>13</v>
      </c>
      <c r="F26" s="50">
        <v>9</v>
      </c>
      <c r="G26" s="21">
        <f t="shared" si="12"/>
        <v>2.5974025974025987</v>
      </c>
      <c r="J26" s="30"/>
      <c r="K26" s="35"/>
      <c r="L26" s="37"/>
      <c r="M26" s="58"/>
      <c r="N26" s="38"/>
      <c r="O26" s="85"/>
      <c r="P26" s="86"/>
      <c r="Q26" s="78"/>
    </row>
    <row r="27" spans="1:18" ht="18" customHeight="1">
      <c r="A27" s="6">
        <v>46155</v>
      </c>
      <c r="B27" t="s">
        <v>741</v>
      </c>
      <c r="C27" s="9">
        <v>260</v>
      </c>
      <c r="D27">
        <v>14.6</v>
      </c>
      <c r="E27" s="29">
        <v>23</v>
      </c>
      <c r="F27" s="50">
        <v>14</v>
      </c>
      <c r="G27" s="21">
        <f t="shared" si="12"/>
        <v>15.000000000000009</v>
      </c>
      <c r="H27" s="6">
        <v>46163</v>
      </c>
      <c r="I27" s="29">
        <v>15</v>
      </c>
      <c r="J27" s="30">
        <f>I27/D27 -1</f>
        <v>2.7397260273972712E-2</v>
      </c>
      <c r="K27" s="35">
        <f>(C27*I27) - (C27*D27)</f>
        <v>104</v>
      </c>
      <c r="L27" s="21">
        <f>H27-A27</f>
        <v>8</v>
      </c>
      <c r="M27" s="9">
        <f>IF(J27&gt;0,1,0)</f>
        <v>1</v>
      </c>
      <c r="N27">
        <f>IF(K27&gt;0, K27, 0)</f>
        <v>104</v>
      </c>
      <c r="O27" s="17">
        <f t="shared" ref="O27:O28" si="14">IF(K27&lt;0, K27, 0)</f>
        <v>0</v>
      </c>
      <c r="P27" s="86"/>
      <c r="Q27" s="78"/>
      <c r="R27" s="28">
        <v>13222.22</v>
      </c>
    </row>
    <row r="28" spans="1:18" ht="18" customHeight="1">
      <c r="A28" s="6">
        <v>46150</v>
      </c>
      <c r="B28" t="s">
        <v>639</v>
      </c>
      <c r="C28" s="9">
        <v>63</v>
      </c>
      <c r="D28">
        <v>34.85</v>
      </c>
      <c r="E28" s="29">
        <v>50</v>
      </c>
      <c r="F28" s="50">
        <v>19</v>
      </c>
      <c r="G28" s="21">
        <f t="shared" ref="G28:G29" si="15" xml:space="preserve"> (E28 - F28)/(D28-F28)</f>
        <v>1.9558359621451102</v>
      </c>
      <c r="H28" s="6">
        <v>46174</v>
      </c>
      <c r="I28" s="29">
        <v>47.85</v>
      </c>
      <c r="J28" s="30">
        <f>I28/D28 -1</f>
        <v>0.37302725968436157</v>
      </c>
      <c r="K28" s="35">
        <f>(C28*I28) - (C28*D28)</f>
        <v>819</v>
      </c>
      <c r="L28" s="21">
        <f>H28-A28</f>
        <v>24</v>
      </c>
      <c r="M28" s="9">
        <f>IF(J28&gt;0,1,0)</f>
        <v>1</v>
      </c>
      <c r="N28">
        <f>IF(K28&gt;0, K28, 0)</f>
        <v>819</v>
      </c>
      <c r="O28" s="17">
        <f t="shared" si="14"/>
        <v>0</v>
      </c>
      <c r="P28" s="86"/>
      <c r="Q28" s="78"/>
      <c r="R28" s="28">
        <v>12514.53</v>
      </c>
    </row>
    <row r="29" spans="1:18" ht="18" customHeight="1">
      <c r="A29" s="6">
        <v>46150</v>
      </c>
      <c r="B29" t="s">
        <v>229</v>
      </c>
      <c r="C29" s="9">
        <v>17</v>
      </c>
      <c r="D29">
        <v>196</v>
      </c>
      <c r="E29" s="29">
        <v>300</v>
      </c>
      <c r="F29" s="50">
        <v>150</v>
      </c>
      <c r="G29" s="21">
        <f t="shared" si="15"/>
        <v>3.2608695652173911</v>
      </c>
      <c r="H29" s="6">
        <v>46171</v>
      </c>
      <c r="I29" s="29">
        <v>220</v>
      </c>
      <c r="J29" s="30">
        <f>I29/D29 -1</f>
        <v>0.12244897959183665</v>
      </c>
      <c r="K29" s="35">
        <f>(C29*I29) - (C29*D29)</f>
        <v>408</v>
      </c>
      <c r="L29" s="21">
        <f>H29-A29</f>
        <v>21</v>
      </c>
      <c r="M29" s="9">
        <f>IF(J29&gt;0,1,0)</f>
        <v>1</v>
      </c>
      <c r="N29">
        <f>IF(K29&gt;0, K29, 0)</f>
        <v>408</v>
      </c>
      <c r="O29" s="17">
        <f t="shared" ref="O29" si="16">IF(K29&lt;0, K29, 0)</f>
        <v>0</v>
      </c>
      <c r="P29" s="86"/>
      <c r="Q29" s="78"/>
      <c r="R29" s="28">
        <v>12450.33</v>
      </c>
    </row>
    <row r="30" spans="1:18" ht="18" customHeight="1">
      <c r="A30" s="6">
        <v>46148</v>
      </c>
      <c r="B30" t="s">
        <v>639</v>
      </c>
      <c r="C30" s="9">
        <v>63</v>
      </c>
      <c r="D30">
        <v>32.409999999999997</v>
      </c>
      <c r="E30" s="29">
        <v>50</v>
      </c>
      <c r="F30" s="50">
        <v>19</v>
      </c>
      <c r="G30" s="21">
        <f t="shared" ref="G30:G31" si="17" xml:space="preserve"> (E30 - F30)/(D30-F30)</f>
        <v>2.3117076808351982</v>
      </c>
      <c r="H30" s="6">
        <v>46150</v>
      </c>
      <c r="I30" s="29">
        <v>34.86</v>
      </c>
      <c r="J30" s="30">
        <f>I30/D30 -1</f>
        <v>7.5593952483801408E-2</v>
      </c>
      <c r="K30" s="35">
        <f>(C30*I30) - (C30*D30)</f>
        <v>154.35000000000014</v>
      </c>
      <c r="L30" s="21">
        <f>H30-A30</f>
        <v>2</v>
      </c>
      <c r="M30" s="9">
        <f>IF(J30&gt;0,1,0)</f>
        <v>1</v>
      </c>
      <c r="N30">
        <f>IF(K30&gt;0, K30, 0)</f>
        <v>154.35000000000014</v>
      </c>
      <c r="O30" s="17">
        <f t="shared" ref="O30:O31" si="18">IF(K30&lt;0, K30, 0)</f>
        <v>0</v>
      </c>
      <c r="P30" s="86"/>
      <c r="Q30" s="78"/>
    </row>
    <row r="31" spans="1:18" ht="18" customHeight="1">
      <c r="A31" s="6">
        <v>46148</v>
      </c>
      <c r="B31" t="s">
        <v>952</v>
      </c>
      <c r="C31" s="9">
        <v>17</v>
      </c>
      <c r="D31">
        <v>89</v>
      </c>
      <c r="E31" s="29">
        <v>200</v>
      </c>
      <c r="F31" s="50">
        <v>80</v>
      </c>
      <c r="G31" s="21">
        <f t="shared" si="17"/>
        <v>13.333333333333334</v>
      </c>
      <c r="H31" s="6">
        <v>46156</v>
      </c>
      <c r="I31" s="29">
        <v>91</v>
      </c>
      <c r="J31" s="30">
        <f>I31/D31 -1</f>
        <v>2.2471910112359605E-2</v>
      </c>
      <c r="K31" s="35">
        <f>(C31*I31) - (C31*D31)</f>
        <v>34</v>
      </c>
      <c r="L31" s="21">
        <f>H31-A31</f>
        <v>8</v>
      </c>
      <c r="M31" s="9">
        <f>IF(J31&gt;0,1,0)</f>
        <v>1</v>
      </c>
      <c r="N31">
        <f>IF(K31&gt;0, K31, 0)</f>
        <v>34</v>
      </c>
      <c r="O31" s="17">
        <f t="shared" si="18"/>
        <v>0</v>
      </c>
      <c r="P31" s="86"/>
      <c r="Q31" s="78"/>
      <c r="R31" s="28">
        <v>12137.58</v>
      </c>
    </row>
    <row r="32" spans="1:18" ht="18" customHeight="1">
      <c r="A32" s="6">
        <v>46147</v>
      </c>
      <c r="B32" t="s">
        <v>94</v>
      </c>
      <c r="C32" s="9">
        <v>6</v>
      </c>
      <c r="D32">
        <v>284.3</v>
      </c>
      <c r="E32" s="29">
        <v>300</v>
      </c>
      <c r="F32" s="50">
        <v>260</v>
      </c>
      <c r="G32" s="21">
        <f t="shared" ref="G32:G36" si="19" xml:space="preserve"> (E32 - F32)/(D32-F32)</f>
        <v>1.646090534979423</v>
      </c>
      <c r="H32" s="6">
        <v>46154</v>
      </c>
      <c r="I32" s="29">
        <v>295</v>
      </c>
      <c r="J32" s="30">
        <f>I32/D32 -1</f>
        <v>3.7636299683432961E-2</v>
      </c>
      <c r="K32" s="35">
        <f>(C32*I32) - (C32*D32)</f>
        <v>64.199999999999818</v>
      </c>
      <c r="L32" s="21">
        <f>H32-A32</f>
        <v>7</v>
      </c>
      <c r="M32" s="9">
        <f>IF(J32&gt;0,1,0)</f>
        <v>1</v>
      </c>
      <c r="N32">
        <f>IF(K32&gt;0, K32, 0)</f>
        <v>64.199999999999818</v>
      </c>
      <c r="O32" s="17">
        <f t="shared" ref="O32" si="20">IF(K32&lt;0, K32, 0)</f>
        <v>0</v>
      </c>
      <c r="P32" s="86"/>
      <c r="Q32" s="78"/>
    </row>
    <row r="33" spans="1:19" ht="18" customHeight="1">
      <c r="A33" s="6">
        <v>46147</v>
      </c>
      <c r="B33" t="s">
        <v>622</v>
      </c>
      <c r="C33" s="9">
        <v>6</v>
      </c>
      <c r="D33">
        <v>219.06</v>
      </c>
      <c r="E33" s="29">
        <v>250</v>
      </c>
      <c r="F33" s="50">
        <v>185</v>
      </c>
      <c r="G33" s="21">
        <f t="shared" si="19"/>
        <v>1.9083969465648853</v>
      </c>
      <c r="H33" s="6">
        <v>46156</v>
      </c>
      <c r="I33" s="29">
        <v>232</v>
      </c>
      <c r="J33" s="30">
        <f>I33/D33 -1</f>
        <v>5.9070574271888887E-2</v>
      </c>
      <c r="K33" s="35">
        <f>(C33*I33) - (C33*D33)</f>
        <v>77.639999999999873</v>
      </c>
      <c r="L33" s="21">
        <f>H33-A33</f>
        <v>9</v>
      </c>
      <c r="M33" s="9">
        <f>IF(J33&gt;0,1,0)</f>
        <v>1</v>
      </c>
      <c r="N33">
        <f>IF(K33&gt;0, K33, 0)</f>
        <v>77.639999999999873</v>
      </c>
      <c r="O33" s="17">
        <f t="shared" ref="O33" si="21">IF(K33&lt;0, K33, 0)</f>
        <v>0</v>
      </c>
      <c r="P33" s="86"/>
      <c r="Q33" s="78"/>
    </row>
    <row r="34" spans="1:19" ht="18" customHeight="1">
      <c r="A34" s="6">
        <v>46147</v>
      </c>
      <c r="B34" t="s">
        <v>314</v>
      </c>
      <c r="C34" s="9">
        <v>18</v>
      </c>
      <c r="D34">
        <v>273.75</v>
      </c>
      <c r="E34" s="29">
        <v>300</v>
      </c>
      <c r="F34" s="50">
        <v>250</v>
      </c>
      <c r="G34" s="21">
        <f t="shared" si="19"/>
        <v>2.1052631578947367</v>
      </c>
      <c r="J34" s="30"/>
      <c r="K34" s="35"/>
      <c r="L34" s="37"/>
      <c r="M34" s="58"/>
      <c r="N34" s="38"/>
      <c r="O34" s="85"/>
      <c r="P34" s="86"/>
      <c r="Q34" s="78"/>
    </row>
    <row r="35" spans="1:19" ht="18" customHeight="1">
      <c r="A35" s="6">
        <v>46147</v>
      </c>
      <c r="B35" t="s">
        <v>131</v>
      </c>
      <c r="C35" s="9">
        <v>16</v>
      </c>
      <c r="D35">
        <v>229.55</v>
      </c>
      <c r="E35" s="29">
        <v>300</v>
      </c>
      <c r="F35" s="50">
        <v>220</v>
      </c>
      <c r="G35" s="21">
        <f t="shared" si="19"/>
        <v>8.3769633507853296</v>
      </c>
      <c r="H35" s="6">
        <v>46163</v>
      </c>
      <c r="I35" s="29">
        <v>240</v>
      </c>
      <c r="J35" s="30">
        <f>I35/D35 -1</f>
        <v>4.552385101285128E-2</v>
      </c>
      <c r="K35" s="35">
        <f>(C35*I35) - (C35*D35)</f>
        <v>167.19999999999982</v>
      </c>
      <c r="L35" s="21">
        <f>H35-A35</f>
        <v>16</v>
      </c>
      <c r="M35" s="9">
        <f>IF(J35&gt;0,1,0)</f>
        <v>1</v>
      </c>
      <c r="N35">
        <f>IF(K35&gt;0, K35, 0)</f>
        <v>167.19999999999982</v>
      </c>
      <c r="O35" s="17">
        <f t="shared" ref="O35" si="22">IF(K35&lt;0, K35, 0)</f>
        <v>0</v>
      </c>
      <c r="P35" s="86"/>
      <c r="Q35" s="78"/>
      <c r="R35" s="28">
        <v>11666.91</v>
      </c>
    </row>
    <row r="36" spans="1:19" ht="18" customHeight="1">
      <c r="A36" s="6">
        <v>46146</v>
      </c>
      <c r="B36" t="s">
        <v>508</v>
      </c>
      <c r="C36" s="9">
        <v>6</v>
      </c>
      <c r="D36">
        <v>610.95000000000005</v>
      </c>
      <c r="E36" s="29">
        <v>800</v>
      </c>
      <c r="F36" s="50">
        <v>600</v>
      </c>
      <c r="G36" s="21">
        <f t="shared" si="19"/>
        <v>18.264840182648324</v>
      </c>
      <c r="J36" s="30"/>
      <c r="K36" s="35"/>
      <c r="L36" s="37"/>
      <c r="M36" s="58"/>
      <c r="N36" s="38"/>
      <c r="O36" s="85"/>
      <c r="P36" s="86"/>
      <c r="Q36" s="78"/>
      <c r="R36" s="28">
        <v>10828.35</v>
      </c>
    </row>
    <row r="37" spans="1:19" ht="18" customHeight="1">
      <c r="A37" s="6">
        <v>46143</v>
      </c>
      <c r="B37" t="s">
        <v>948</v>
      </c>
      <c r="C37" s="9">
        <v>17</v>
      </c>
      <c r="D37">
        <v>62.1</v>
      </c>
      <c r="E37" s="29">
        <v>125</v>
      </c>
      <c r="F37" s="50">
        <v>59</v>
      </c>
      <c r="G37" s="21">
        <f t="shared" ref="G37:G38" si="23" xml:space="preserve"> (E37 - F37)/(D37-F37)</f>
        <v>21.290322580645153</v>
      </c>
      <c r="J37" s="30"/>
      <c r="K37" s="35"/>
      <c r="L37" s="37"/>
      <c r="M37" s="58"/>
      <c r="N37" s="38"/>
      <c r="O37" s="85"/>
      <c r="P37" s="86"/>
      <c r="Q37" s="78"/>
    </row>
    <row r="38" spans="1:19" ht="18" customHeight="1">
      <c r="A38" s="6">
        <v>46143</v>
      </c>
      <c r="B38" t="s">
        <v>605</v>
      </c>
      <c r="C38" s="9">
        <v>49</v>
      </c>
      <c r="D38">
        <v>44.8</v>
      </c>
      <c r="E38" s="29">
        <v>50</v>
      </c>
      <c r="F38" s="50">
        <v>43</v>
      </c>
      <c r="G38" s="21">
        <f t="shared" si="23"/>
        <v>3.8888888888888951</v>
      </c>
      <c r="J38" s="30"/>
      <c r="K38" s="35"/>
      <c r="L38" s="37"/>
      <c r="M38" s="58"/>
      <c r="N38" s="38"/>
      <c r="O38" s="85"/>
      <c r="P38" s="86"/>
      <c r="Q38" s="78"/>
      <c r="R38" s="28">
        <v>10592.67</v>
      </c>
    </row>
    <row r="39" spans="1:19" ht="18" customHeight="1">
      <c r="A39" s="6">
        <v>46142</v>
      </c>
      <c r="B39" t="s">
        <v>930</v>
      </c>
      <c r="C39" s="9">
        <v>4</v>
      </c>
      <c r="D39">
        <v>384.4</v>
      </c>
      <c r="E39" s="29">
        <v>400</v>
      </c>
      <c r="F39" s="50">
        <v>330</v>
      </c>
      <c r="G39" s="21">
        <f t="shared" ref="G39" si="24" xml:space="preserve"> (E39 - F39)/(D39-F39)</f>
        <v>1.2867647058823535</v>
      </c>
      <c r="H39" s="6">
        <v>46155</v>
      </c>
      <c r="I39" s="29">
        <v>397</v>
      </c>
      <c r="J39" s="30">
        <f t="shared" ref="J39:J49" si="25">I39/D39 -1</f>
        <v>3.2778355879292453E-2</v>
      </c>
      <c r="K39" s="35">
        <f t="shared" ref="K39:K49" si="26">(C39*I39) - (C39*D39)</f>
        <v>50.400000000000091</v>
      </c>
      <c r="L39" s="21">
        <f t="shared" ref="L39:L49" si="27">H39-A39</f>
        <v>13</v>
      </c>
      <c r="M39" s="9">
        <f t="shared" ref="M39:M49" si="28">IF(J39&gt;0,1,0)</f>
        <v>1</v>
      </c>
      <c r="N39">
        <f t="shared" ref="N39:N49" si="29">IF(K39&gt;0, K39, 0)</f>
        <v>50.400000000000091</v>
      </c>
      <c r="O39" s="17">
        <f t="shared" ref="O39" si="30">IF(K39&lt;0, K39, 0)</f>
        <v>0</v>
      </c>
      <c r="P39" s="86"/>
      <c r="Q39" s="78"/>
      <c r="R39" s="28">
        <v>10512.87</v>
      </c>
    </row>
    <row r="40" spans="1:19" ht="18" customHeight="1">
      <c r="A40" s="6">
        <v>46141</v>
      </c>
      <c r="B40" t="s">
        <v>930</v>
      </c>
      <c r="C40" s="9">
        <v>4</v>
      </c>
      <c r="D40">
        <v>351.2</v>
      </c>
      <c r="E40" s="29">
        <v>400</v>
      </c>
      <c r="F40" s="50">
        <v>330</v>
      </c>
      <c r="G40" s="21">
        <f t="shared" ref="G40:G41" si="31" xml:space="preserve"> (E40 - F40)/(D40-F40)</f>
        <v>3.3018867924528319</v>
      </c>
      <c r="H40" s="6">
        <v>46142</v>
      </c>
      <c r="I40" s="29">
        <v>384.5</v>
      </c>
      <c r="J40" s="30">
        <f t="shared" si="25"/>
        <v>9.4817767653758489E-2</v>
      </c>
      <c r="K40" s="35">
        <f t="shared" si="26"/>
        <v>133.20000000000005</v>
      </c>
      <c r="L40" s="21">
        <f t="shared" si="27"/>
        <v>1</v>
      </c>
      <c r="M40" s="9">
        <f t="shared" si="28"/>
        <v>1</v>
      </c>
      <c r="N40">
        <f t="shared" si="29"/>
        <v>133.20000000000005</v>
      </c>
      <c r="O40" s="17">
        <f t="shared" ref="O40:O41" si="32">IF(K40&lt;0, K40, 0)</f>
        <v>0</v>
      </c>
      <c r="P40" s="86"/>
      <c r="Q40" s="78"/>
      <c r="R40" s="64">
        <v>10976.24</v>
      </c>
      <c r="S40" s="16">
        <v>509.56</v>
      </c>
    </row>
    <row r="41" spans="1:19" ht="18" customHeight="1">
      <c r="A41" s="6">
        <v>46141</v>
      </c>
      <c r="B41" t="s">
        <v>528</v>
      </c>
      <c r="C41" s="9">
        <v>18</v>
      </c>
      <c r="D41">
        <v>206.43</v>
      </c>
      <c r="E41" s="29">
        <v>230</v>
      </c>
      <c r="F41" s="50">
        <v>200</v>
      </c>
      <c r="G41" s="21">
        <f t="shared" si="31"/>
        <v>4.6656298600310988</v>
      </c>
      <c r="H41" s="6">
        <v>46156</v>
      </c>
      <c r="I41" s="29">
        <v>235.66</v>
      </c>
      <c r="J41" s="30">
        <f t="shared" si="25"/>
        <v>0.14159763600251907</v>
      </c>
      <c r="K41" s="35">
        <f t="shared" si="26"/>
        <v>526.13999999999987</v>
      </c>
      <c r="L41" s="21">
        <f t="shared" si="27"/>
        <v>15</v>
      </c>
      <c r="M41" s="9">
        <f t="shared" si="28"/>
        <v>1</v>
      </c>
      <c r="N41">
        <f t="shared" si="29"/>
        <v>526.13999999999987</v>
      </c>
      <c r="O41" s="17">
        <f t="shared" si="32"/>
        <v>0</v>
      </c>
      <c r="P41" s="86"/>
      <c r="Q41" s="78"/>
      <c r="R41" s="28">
        <v>10942.04</v>
      </c>
      <c r="S41" s="28">
        <v>-46.19</v>
      </c>
    </row>
    <row r="42" spans="1:19" ht="18" customHeight="1">
      <c r="A42" s="6">
        <v>46140</v>
      </c>
      <c r="B42" t="s">
        <v>229</v>
      </c>
      <c r="C42" s="9">
        <v>18</v>
      </c>
      <c r="D42">
        <v>166.6</v>
      </c>
      <c r="E42" s="29">
        <v>300</v>
      </c>
      <c r="F42" s="50">
        <v>140</v>
      </c>
      <c r="G42" s="21">
        <f t="shared" ref="G42:G43" si="33" xml:space="preserve"> (E42 - F42)/(D42-F42)</f>
        <v>6.0150375939849638</v>
      </c>
      <c r="H42" s="6">
        <v>46147</v>
      </c>
      <c r="I42" s="29">
        <v>186</v>
      </c>
      <c r="J42" s="30">
        <f t="shared" si="25"/>
        <v>0.11644657863145258</v>
      </c>
      <c r="K42" s="35">
        <f t="shared" si="26"/>
        <v>349.20000000000027</v>
      </c>
      <c r="L42" s="21">
        <f t="shared" si="27"/>
        <v>7</v>
      </c>
      <c r="M42" s="9">
        <f t="shared" si="28"/>
        <v>1</v>
      </c>
      <c r="N42">
        <f t="shared" si="29"/>
        <v>349.20000000000027</v>
      </c>
      <c r="O42" s="17">
        <f t="shared" ref="O42:O44" si="34">IF(K42&lt;0, K42, 0)</f>
        <v>0</v>
      </c>
      <c r="P42" s="86"/>
      <c r="Q42" s="78"/>
    </row>
    <row r="43" spans="1:19" ht="18" customHeight="1">
      <c r="A43" s="6">
        <v>46140</v>
      </c>
      <c r="B43" t="s">
        <v>911</v>
      </c>
      <c r="C43" s="9">
        <v>35</v>
      </c>
      <c r="D43">
        <v>72.400000000000006</v>
      </c>
      <c r="E43" s="29">
        <v>125</v>
      </c>
      <c r="F43" s="50">
        <v>70</v>
      </c>
      <c r="G43" s="21">
        <f t="shared" si="33"/>
        <v>22.916666666666611</v>
      </c>
      <c r="H43" s="6">
        <v>46155</v>
      </c>
      <c r="I43" s="29">
        <v>76.5</v>
      </c>
      <c r="J43" s="30">
        <f t="shared" si="25"/>
        <v>5.6629834254143585E-2</v>
      </c>
      <c r="K43" s="35">
        <f t="shared" si="26"/>
        <v>143.5</v>
      </c>
      <c r="L43" s="21">
        <f t="shared" si="27"/>
        <v>15</v>
      </c>
      <c r="M43" s="9">
        <f t="shared" si="28"/>
        <v>1</v>
      </c>
      <c r="N43">
        <f t="shared" si="29"/>
        <v>143.5</v>
      </c>
      <c r="O43" s="17">
        <f t="shared" si="34"/>
        <v>0</v>
      </c>
      <c r="P43" s="86"/>
      <c r="Q43" s="78"/>
    </row>
    <row r="44" spans="1:19" ht="18" customHeight="1">
      <c r="A44" s="6">
        <v>46139</v>
      </c>
      <c r="B44" t="s">
        <v>314</v>
      </c>
      <c r="C44" s="9">
        <v>7</v>
      </c>
      <c r="D44">
        <v>261.56</v>
      </c>
      <c r="E44" s="29">
        <v>300</v>
      </c>
      <c r="F44" s="50">
        <v>250</v>
      </c>
      <c r="G44" s="21">
        <f t="shared" ref="G44:G47" si="35" xml:space="preserve"> (E44 - F44)/(D44-F44)</f>
        <v>4.3252595155709335</v>
      </c>
      <c r="H44" s="6">
        <v>46169</v>
      </c>
      <c r="I44" s="29">
        <v>272</v>
      </c>
      <c r="J44" s="30">
        <f t="shared" si="25"/>
        <v>3.9914359993882931E-2</v>
      </c>
      <c r="K44" s="35">
        <f t="shared" si="26"/>
        <v>73.079999999999927</v>
      </c>
      <c r="L44" s="21">
        <f t="shared" si="27"/>
        <v>30</v>
      </c>
      <c r="M44" s="9">
        <f t="shared" si="28"/>
        <v>1</v>
      </c>
      <c r="N44">
        <f t="shared" si="29"/>
        <v>73.079999999999927</v>
      </c>
      <c r="O44" s="17">
        <f t="shared" si="34"/>
        <v>0</v>
      </c>
      <c r="P44" s="86"/>
      <c r="Q44" s="78"/>
    </row>
    <row r="45" spans="1:19" ht="18" customHeight="1">
      <c r="A45" s="6">
        <v>46139</v>
      </c>
      <c r="B45" t="s">
        <v>904</v>
      </c>
      <c r="C45" s="9">
        <v>12</v>
      </c>
      <c r="D45">
        <v>365.36</v>
      </c>
      <c r="E45" s="29">
        <v>400</v>
      </c>
      <c r="F45" s="50">
        <v>320</v>
      </c>
      <c r="G45" s="21">
        <f t="shared" si="35"/>
        <v>1.7636684303350965</v>
      </c>
      <c r="H45" s="6">
        <v>46146</v>
      </c>
      <c r="I45" s="29">
        <v>385</v>
      </c>
      <c r="J45" s="30">
        <f t="shared" si="25"/>
        <v>5.3755200350339427E-2</v>
      </c>
      <c r="K45" s="35">
        <f t="shared" si="26"/>
        <v>235.68000000000029</v>
      </c>
      <c r="L45" s="21">
        <f t="shared" si="27"/>
        <v>7</v>
      </c>
      <c r="M45" s="9">
        <f t="shared" si="28"/>
        <v>1</v>
      </c>
      <c r="N45">
        <f t="shared" si="29"/>
        <v>235.68000000000029</v>
      </c>
      <c r="O45" s="17">
        <f t="shared" ref="O45:O47" si="36">IF(K45&lt;0, K45, 0)</f>
        <v>0</v>
      </c>
      <c r="P45" s="86"/>
      <c r="Q45" s="78"/>
      <c r="R45" s="28">
        <v>10526.9</v>
      </c>
    </row>
    <row r="46" spans="1:19" ht="18" customHeight="1">
      <c r="A46" s="6">
        <v>46139</v>
      </c>
      <c r="B46" t="s">
        <v>314</v>
      </c>
      <c r="C46" s="9">
        <v>18</v>
      </c>
      <c r="D46">
        <v>261.58</v>
      </c>
      <c r="E46" s="29">
        <v>300</v>
      </c>
      <c r="F46" s="50">
        <v>250</v>
      </c>
      <c r="G46" s="21">
        <f t="shared" si="35"/>
        <v>4.317789291882562</v>
      </c>
      <c r="H46" s="6">
        <v>46147</v>
      </c>
      <c r="I46" s="29">
        <v>273.8</v>
      </c>
      <c r="J46" s="30">
        <f t="shared" si="25"/>
        <v>4.6716109794326943E-2</v>
      </c>
      <c r="K46" s="35">
        <f t="shared" si="26"/>
        <v>219.96000000000095</v>
      </c>
      <c r="L46" s="21">
        <f t="shared" si="27"/>
        <v>8</v>
      </c>
      <c r="M46" s="9">
        <f t="shared" si="28"/>
        <v>1</v>
      </c>
      <c r="N46">
        <f t="shared" si="29"/>
        <v>219.96000000000095</v>
      </c>
      <c r="O46" s="17">
        <f t="shared" si="36"/>
        <v>0</v>
      </c>
      <c r="P46" s="86"/>
      <c r="Q46" s="78"/>
      <c r="R46" s="28">
        <v>9284.7900000000009</v>
      </c>
    </row>
    <row r="47" spans="1:19" ht="18" customHeight="1">
      <c r="A47" s="6">
        <v>46134</v>
      </c>
      <c r="B47" t="s">
        <v>629</v>
      </c>
      <c r="C47" s="9">
        <v>186</v>
      </c>
      <c r="D47">
        <v>7.47</v>
      </c>
      <c r="E47" s="29">
        <v>10</v>
      </c>
      <c r="F47" s="50">
        <v>5</v>
      </c>
      <c r="G47" s="21">
        <f t="shared" si="35"/>
        <v>2.0242914979757085</v>
      </c>
      <c r="H47" s="6">
        <v>46148</v>
      </c>
      <c r="I47" s="29">
        <v>8.5</v>
      </c>
      <c r="J47" s="30">
        <f t="shared" si="25"/>
        <v>0.1378848728246318</v>
      </c>
      <c r="K47" s="35">
        <f t="shared" si="26"/>
        <v>191.58000000000015</v>
      </c>
      <c r="L47" s="21">
        <f t="shared" si="27"/>
        <v>14</v>
      </c>
      <c r="M47" s="9">
        <f t="shared" si="28"/>
        <v>1</v>
      </c>
      <c r="N47">
        <f t="shared" si="29"/>
        <v>191.58000000000015</v>
      </c>
      <c r="O47" s="17">
        <f t="shared" si="36"/>
        <v>0</v>
      </c>
      <c r="P47" s="86"/>
      <c r="Q47" s="78"/>
      <c r="R47" s="28"/>
    </row>
    <row r="48" spans="1:19" ht="18" customHeight="1">
      <c r="A48" s="6">
        <v>46133</v>
      </c>
      <c r="B48" t="s">
        <v>946</v>
      </c>
      <c r="C48" s="9">
        <v>266</v>
      </c>
      <c r="D48">
        <v>8</v>
      </c>
      <c r="E48" s="29">
        <v>10</v>
      </c>
      <c r="F48" s="50">
        <v>7</v>
      </c>
      <c r="G48" s="21">
        <f t="shared" ref="G48:G50" si="37" xml:space="preserve"> (E48 - F48)/(D48-F48)</f>
        <v>3</v>
      </c>
      <c r="H48" s="6">
        <v>46143</v>
      </c>
      <c r="I48" s="29">
        <v>8.3000000000000007</v>
      </c>
      <c r="J48" s="30">
        <f t="shared" si="25"/>
        <v>3.7500000000000089E-2</v>
      </c>
      <c r="K48" s="35">
        <f t="shared" si="26"/>
        <v>79.800000000000182</v>
      </c>
      <c r="L48" s="21">
        <f t="shared" si="27"/>
        <v>10</v>
      </c>
      <c r="M48" s="9">
        <f t="shared" si="28"/>
        <v>1</v>
      </c>
      <c r="N48">
        <f t="shared" si="29"/>
        <v>79.800000000000182</v>
      </c>
      <c r="O48" s="17">
        <f t="shared" ref="O48" si="38">IF(K48&lt;0, K48, 0)</f>
        <v>0</v>
      </c>
      <c r="P48" s="86"/>
      <c r="Q48" s="78"/>
    </row>
    <row r="49" spans="1:18" ht="18" customHeight="1">
      <c r="A49" s="6">
        <v>46133</v>
      </c>
      <c r="B49" t="s">
        <v>904</v>
      </c>
      <c r="C49" s="9">
        <v>12</v>
      </c>
      <c r="D49">
        <v>328.9</v>
      </c>
      <c r="E49" s="29">
        <v>400</v>
      </c>
      <c r="F49" s="50">
        <v>320</v>
      </c>
      <c r="G49" s="21">
        <f t="shared" si="37"/>
        <v>8.988764044943844</v>
      </c>
      <c r="H49" s="6">
        <v>46139</v>
      </c>
      <c r="I49" s="29">
        <v>364.91</v>
      </c>
      <c r="J49" s="30">
        <f t="shared" si="25"/>
        <v>0.10948616600790539</v>
      </c>
      <c r="K49" s="35">
        <f t="shared" si="26"/>
        <v>432.12000000000035</v>
      </c>
      <c r="L49" s="21">
        <f t="shared" si="27"/>
        <v>6</v>
      </c>
      <c r="M49" s="9">
        <f t="shared" si="28"/>
        <v>1</v>
      </c>
      <c r="N49">
        <f t="shared" si="29"/>
        <v>432.12000000000035</v>
      </c>
      <c r="O49" s="17">
        <f t="shared" ref="O49" si="39">IF(K49&lt;0, K49, 0)</f>
        <v>0</v>
      </c>
      <c r="P49" s="86"/>
      <c r="Q49" s="78"/>
    </row>
    <row r="50" spans="1:18" ht="18" customHeight="1">
      <c r="A50" s="6">
        <v>46133</v>
      </c>
      <c r="B50" t="s">
        <v>240</v>
      </c>
      <c r="C50" s="9">
        <v>21</v>
      </c>
      <c r="D50">
        <v>156.44999999999999</v>
      </c>
      <c r="E50" s="29">
        <v>175</v>
      </c>
      <c r="F50" s="50">
        <v>150</v>
      </c>
      <c r="G50" s="21">
        <f t="shared" si="37"/>
        <v>3.8759689922480689</v>
      </c>
      <c r="J50" s="30"/>
      <c r="K50" s="35"/>
      <c r="L50" s="37"/>
      <c r="M50" s="58"/>
      <c r="N50" s="38"/>
      <c r="O50" s="85"/>
      <c r="P50" s="86"/>
      <c r="Q50" s="78"/>
      <c r="R50" s="28">
        <v>9062.75</v>
      </c>
    </row>
    <row r="51" spans="1:18" ht="18" customHeight="1">
      <c r="A51" s="6">
        <v>46132</v>
      </c>
      <c r="B51" t="s">
        <v>639</v>
      </c>
      <c r="C51" s="9">
        <v>63</v>
      </c>
      <c r="D51">
        <v>28.12</v>
      </c>
      <c r="E51" s="29">
        <v>50</v>
      </c>
      <c r="F51" s="50">
        <v>19</v>
      </c>
      <c r="G51" s="21">
        <f t="shared" ref="G51:G58" si="40" xml:space="preserve"> (E51 - F51)/(D51-F51)</f>
        <v>3.3991228070175437</v>
      </c>
      <c r="H51" s="6">
        <v>46148</v>
      </c>
      <c r="I51" s="29">
        <v>32.549999999999997</v>
      </c>
      <c r="J51" s="30">
        <f>I51/D51 -1</f>
        <v>0.15753911806543375</v>
      </c>
      <c r="K51" s="35">
        <f>(C51*I51) - (C51*D51)</f>
        <v>279.08999999999946</v>
      </c>
      <c r="L51" s="21">
        <f>H51-A51</f>
        <v>16</v>
      </c>
      <c r="M51" s="9">
        <f>IF(J51&gt;0,1,0)</f>
        <v>1</v>
      </c>
      <c r="N51">
        <f>IF(K51&gt;0, K51, 0)</f>
        <v>279.08999999999946</v>
      </c>
      <c r="O51" s="17">
        <f t="shared" ref="O51" si="41">IF(K51&lt;0, K51, 0)</f>
        <v>0</v>
      </c>
      <c r="P51" s="86"/>
      <c r="Q51" s="78"/>
    </row>
    <row r="52" spans="1:18" ht="18" customHeight="1">
      <c r="A52" s="6">
        <v>46132</v>
      </c>
      <c r="B52" t="s">
        <v>622</v>
      </c>
      <c r="C52" s="9">
        <v>6</v>
      </c>
      <c r="D52">
        <v>192</v>
      </c>
      <c r="E52" s="29">
        <v>250</v>
      </c>
      <c r="F52" s="50">
        <v>185</v>
      </c>
      <c r="G52" s="21">
        <f t="shared" si="40"/>
        <v>9.2857142857142865</v>
      </c>
      <c r="H52" s="6">
        <v>46147</v>
      </c>
      <c r="I52" s="29">
        <v>219.5</v>
      </c>
      <c r="J52" s="30">
        <f>I52/D52 -1</f>
        <v>0.14322916666666674</v>
      </c>
      <c r="K52" s="35">
        <f>(C52*I52) - (C52*D52)</f>
        <v>165</v>
      </c>
      <c r="L52" s="21">
        <f>H52-A52</f>
        <v>15</v>
      </c>
      <c r="M52" s="9">
        <f>IF(J52&gt;0,1,0)</f>
        <v>1</v>
      </c>
      <c r="N52">
        <f>IF(K52&gt;0, K52, 0)</f>
        <v>165</v>
      </c>
      <c r="O52" s="17">
        <f t="shared" ref="O52:O53" si="42">IF(K52&lt;0, K52, 0)</f>
        <v>0</v>
      </c>
      <c r="P52" s="86"/>
      <c r="Q52" s="78"/>
    </row>
    <row r="53" spans="1:18" ht="18" customHeight="1">
      <c r="A53" s="6">
        <v>46132</v>
      </c>
      <c r="B53" t="s">
        <v>467</v>
      </c>
      <c r="C53" s="9">
        <v>21</v>
      </c>
      <c r="D53">
        <v>186.2</v>
      </c>
      <c r="E53" s="29">
        <v>250</v>
      </c>
      <c r="F53" s="50">
        <v>160</v>
      </c>
      <c r="G53" s="21">
        <f t="shared" si="40"/>
        <v>3.4351145038167954</v>
      </c>
      <c r="H53" s="6">
        <v>46174</v>
      </c>
      <c r="I53" s="29">
        <v>210.47</v>
      </c>
      <c r="J53" s="30">
        <f>I53/D53 -1</f>
        <v>0.13034371643394205</v>
      </c>
      <c r="K53" s="35">
        <f>(C53*I53) - (C53*D53)</f>
        <v>509.67000000000007</v>
      </c>
      <c r="L53" s="21">
        <f>H53-A53</f>
        <v>42</v>
      </c>
      <c r="M53" s="9">
        <f>IF(J53&gt;0,1,0)</f>
        <v>1</v>
      </c>
      <c r="N53">
        <f>IF(K53&gt;0, K53, 0)</f>
        <v>509.67000000000007</v>
      </c>
      <c r="O53" s="17">
        <f t="shared" si="42"/>
        <v>0</v>
      </c>
      <c r="P53" s="86"/>
      <c r="Q53" s="78"/>
    </row>
    <row r="54" spans="1:18" ht="18" customHeight="1">
      <c r="A54" s="6">
        <v>46132</v>
      </c>
      <c r="B54" t="s">
        <v>439</v>
      </c>
      <c r="C54" s="9">
        <v>25</v>
      </c>
      <c r="D54">
        <v>276.89999999999998</v>
      </c>
      <c r="E54" s="29">
        <v>300</v>
      </c>
      <c r="F54" s="50">
        <v>195</v>
      </c>
      <c r="G54" s="21">
        <f t="shared" si="40"/>
        <v>1.2820512820512824</v>
      </c>
      <c r="H54" s="6">
        <v>46133</v>
      </c>
      <c r="I54" s="29">
        <v>285</v>
      </c>
      <c r="J54" s="30">
        <f>I54/D54 -1</f>
        <v>2.9252437703142009E-2</v>
      </c>
      <c r="K54" s="35">
        <f>(C54*I54) - (C54*D54)</f>
        <v>202.50000000000091</v>
      </c>
      <c r="L54" s="21">
        <f>H54-A54</f>
        <v>1</v>
      </c>
      <c r="M54" s="9">
        <f>IF(J54&gt;0,1,0)</f>
        <v>1</v>
      </c>
      <c r="N54">
        <f>IF(K54&gt;0, K54, 0)</f>
        <v>202.50000000000091</v>
      </c>
      <c r="O54" s="17">
        <f t="shared" ref="O54:O58" si="43">IF(K54&lt;0, K54, 0)</f>
        <v>0</v>
      </c>
      <c r="P54" s="86"/>
      <c r="Q54" s="78"/>
    </row>
    <row r="55" spans="1:18" ht="18" customHeight="1">
      <c r="A55" s="6">
        <v>46132</v>
      </c>
      <c r="B55" t="s">
        <v>314</v>
      </c>
      <c r="C55" s="9">
        <v>18</v>
      </c>
      <c r="D55">
        <v>247</v>
      </c>
      <c r="E55" s="29">
        <v>250</v>
      </c>
      <c r="F55" s="50">
        <v>200</v>
      </c>
      <c r="G55" s="21">
        <f t="shared" si="40"/>
        <v>1.0638297872340425</v>
      </c>
      <c r="H55" s="6">
        <v>46139</v>
      </c>
      <c r="I55" s="29">
        <v>261.60000000000002</v>
      </c>
      <c r="J55" s="30">
        <f>I55/D55 -1</f>
        <v>5.9109311740890735E-2</v>
      </c>
      <c r="K55" s="35">
        <f>(C55*I55) - (C55*D55)</f>
        <v>262.80000000000018</v>
      </c>
      <c r="L55" s="21">
        <f>H55-A55</f>
        <v>7</v>
      </c>
      <c r="M55" s="9">
        <f>IF(J55&gt;0,1,0)</f>
        <v>1</v>
      </c>
      <c r="N55">
        <f>IF(K55&gt;0, K55, 0)</f>
        <v>262.80000000000018</v>
      </c>
      <c r="O55" s="17">
        <f t="shared" si="43"/>
        <v>0</v>
      </c>
      <c r="P55" s="86"/>
      <c r="Q55" s="78"/>
    </row>
    <row r="56" spans="1:18" ht="18" customHeight="1">
      <c r="A56" s="6">
        <v>46132</v>
      </c>
      <c r="B56" t="s">
        <v>349</v>
      </c>
      <c r="C56" s="9">
        <v>27</v>
      </c>
      <c r="D56">
        <v>207.5</v>
      </c>
      <c r="E56" s="29">
        <v>300</v>
      </c>
      <c r="F56" s="50">
        <v>190</v>
      </c>
      <c r="G56" s="21">
        <f t="shared" si="40"/>
        <v>6.2857142857142856</v>
      </c>
      <c r="H56" s="6">
        <v>46139</v>
      </c>
      <c r="I56" s="29">
        <v>221.3</v>
      </c>
      <c r="J56" s="30">
        <f>I56/D56 -1</f>
        <v>6.6506024096385508E-2</v>
      </c>
      <c r="K56" s="35">
        <f>(C56*I56) - (C56*D56)</f>
        <v>372.60000000000036</v>
      </c>
      <c r="L56" s="21">
        <f>H56-A56</f>
        <v>7</v>
      </c>
      <c r="M56" s="9">
        <f>IF(J56&gt;0,1,0)</f>
        <v>1</v>
      </c>
      <c r="N56">
        <f>IF(K56&gt;0, K56, 0)</f>
        <v>372.60000000000036</v>
      </c>
      <c r="O56" s="17">
        <f t="shared" si="43"/>
        <v>0</v>
      </c>
      <c r="P56" s="86"/>
      <c r="Q56" s="78"/>
    </row>
    <row r="57" spans="1:18" ht="18" customHeight="1">
      <c r="A57" s="6">
        <v>46132</v>
      </c>
      <c r="B57" t="s">
        <v>528</v>
      </c>
      <c r="C57" s="9">
        <v>28</v>
      </c>
      <c r="D57">
        <v>198.94</v>
      </c>
      <c r="E57" s="29">
        <v>205</v>
      </c>
      <c r="F57" s="50">
        <v>175</v>
      </c>
      <c r="G57" s="21">
        <f t="shared" si="40"/>
        <v>1.2531328320802007</v>
      </c>
      <c r="H57" s="6">
        <v>46141</v>
      </c>
      <c r="I57" s="29">
        <v>209.4</v>
      </c>
      <c r="J57" s="30">
        <f>I57/D57 -1</f>
        <v>5.2578666934754326E-2</v>
      </c>
      <c r="K57" s="35">
        <f>(C57*I57) - (C57*D57)</f>
        <v>292.88000000000011</v>
      </c>
      <c r="L57" s="21">
        <f>H57-A57</f>
        <v>9</v>
      </c>
      <c r="M57" s="9">
        <f>IF(J57&gt;0,1,0)</f>
        <v>1</v>
      </c>
      <c r="N57">
        <f>IF(K57&gt;0, K57, 0)</f>
        <v>292.88000000000011</v>
      </c>
      <c r="O57" s="17">
        <f t="shared" si="43"/>
        <v>0</v>
      </c>
      <c r="P57" s="86"/>
      <c r="Q57" s="78"/>
    </row>
    <row r="58" spans="1:18" ht="18" customHeight="1">
      <c r="A58" s="6">
        <v>46132</v>
      </c>
      <c r="B58" t="s">
        <v>944</v>
      </c>
      <c r="C58" s="9">
        <v>320</v>
      </c>
      <c r="D58">
        <v>11.77</v>
      </c>
      <c r="E58" s="29">
        <v>20</v>
      </c>
      <c r="F58" s="50">
        <v>10</v>
      </c>
      <c r="G58" s="21">
        <f t="shared" si="40"/>
        <v>5.649717514124295</v>
      </c>
      <c r="H58" s="6">
        <v>46156</v>
      </c>
      <c r="I58" s="29">
        <v>13</v>
      </c>
      <c r="J58" s="30">
        <f>I58/D58 -1</f>
        <v>0.10450297366185213</v>
      </c>
      <c r="K58" s="35">
        <f>(C58*I58) - (C58*D58)</f>
        <v>393.60000000000036</v>
      </c>
      <c r="L58" s="21">
        <f>H58-A58</f>
        <v>24</v>
      </c>
      <c r="M58" s="9">
        <f>IF(J58&gt;0,1,0)</f>
        <v>1</v>
      </c>
      <c r="N58">
        <f>IF(K58&gt;0, K58, 0)</f>
        <v>393.60000000000036</v>
      </c>
      <c r="O58" s="17">
        <f t="shared" si="43"/>
        <v>0</v>
      </c>
      <c r="P58" s="86"/>
      <c r="Q58" s="78"/>
      <c r="R58" s="28">
        <v>8860.25</v>
      </c>
    </row>
    <row r="59" spans="1:18" ht="18" customHeight="1">
      <c r="A59" s="6">
        <v>46127</v>
      </c>
      <c r="B59" t="s">
        <v>562</v>
      </c>
      <c r="C59" s="9">
        <v>7</v>
      </c>
      <c r="D59">
        <v>180.25</v>
      </c>
      <c r="E59" s="29">
        <v>250</v>
      </c>
      <c r="F59" s="50">
        <v>170</v>
      </c>
      <c r="G59" s="21">
        <f t="shared" ref="G59:G61" si="44" xml:space="preserve"> (E59 - F59)/(D59-F59)</f>
        <v>7.8048780487804876</v>
      </c>
      <c r="J59" s="30"/>
      <c r="K59" s="35"/>
      <c r="L59" s="37"/>
      <c r="M59" s="58"/>
      <c r="N59" s="38"/>
      <c r="O59" s="85"/>
      <c r="P59" s="86"/>
      <c r="Q59" s="78"/>
    </row>
    <row r="60" spans="1:18" ht="18" customHeight="1">
      <c r="A60" s="6">
        <v>46127</v>
      </c>
      <c r="B60" t="s">
        <v>915</v>
      </c>
      <c r="C60" s="9">
        <v>12</v>
      </c>
      <c r="D60">
        <v>96.35</v>
      </c>
      <c r="E60" s="29">
        <v>200</v>
      </c>
      <c r="F60" s="50">
        <v>88</v>
      </c>
      <c r="G60" s="21">
        <f t="shared" si="44"/>
        <v>13.413173652694621</v>
      </c>
      <c r="H60" s="6">
        <v>46142</v>
      </c>
      <c r="I60" s="16">
        <v>88.1</v>
      </c>
      <c r="J60" s="25">
        <f t="shared" ref="J60:J65" si="45">I60/D60 -1</f>
        <v>-8.5625324338349795E-2</v>
      </c>
      <c r="K60" s="36">
        <f t="shared" ref="K60:K65" si="46">(C60*I60) - (C60*D60)</f>
        <v>-99</v>
      </c>
      <c r="L60" s="24">
        <f t="shared" ref="L60:L65" si="47">H60-A60</f>
        <v>15</v>
      </c>
      <c r="M60" s="52">
        <f t="shared" ref="M60:M65" si="48">IF(J60&gt;0,1,0)</f>
        <v>0</v>
      </c>
      <c r="N60" s="24">
        <f t="shared" ref="N60:N65" si="49">IF(K60&gt;0, K60, 0)</f>
        <v>0</v>
      </c>
      <c r="O60" s="17">
        <f>IF(K60&lt;0, K60, 0)</f>
        <v>-99</v>
      </c>
      <c r="P60" s="86"/>
      <c r="Q60" s="78"/>
    </row>
    <row r="61" spans="1:18" ht="18" customHeight="1">
      <c r="A61" s="6">
        <v>46127</v>
      </c>
      <c r="B61" t="s">
        <v>472</v>
      </c>
      <c r="C61" s="9">
        <v>9</v>
      </c>
      <c r="D61">
        <v>94.6</v>
      </c>
      <c r="E61" s="29">
        <v>120</v>
      </c>
      <c r="F61" s="50">
        <v>88</v>
      </c>
      <c r="G61" s="21">
        <f t="shared" si="44"/>
        <v>4.8484848484848531</v>
      </c>
      <c r="H61" s="6">
        <v>46169</v>
      </c>
      <c r="I61" s="29">
        <v>112.15</v>
      </c>
      <c r="J61" s="30">
        <f t="shared" si="45"/>
        <v>0.18551797040169138</v>
      </c>
      <c r="K61" s="35">
        <f t="shared" si="46"/>
        <v>157.95000000000005</v>
      </c>
      <c r="L61" s="21">
        <f t="shared" si="47"/>
        <v>42</v>
      </c>
      <c r="M61" s="9">
        <f t="shared" si="48"/>
        <v>1</v>
      </c>
      <c r="N61">
        <f t="shared" si="49"/>
        <v>157.95000000000005</v>
      </c>
      <c r="O61" s="17">
        <f t="shared" ref="O61" si="50">IF(K61&lt;0, K61, 0)</f>
        <v>0</v>
      </c>
      <c r="P61" s="86"/>
      <c r="Q61" s="78"/>
    </row>
    <row r="62" spans="1:18" ht="18" customHeight="1">
      <c r="A62" s="6">
        <v>46126</v>
      </c>
      <c r="B62" t="s">
        <v>629</v>
      </c>
      <c r="C62" s="9">
        <v>183</v>
      </c>
      <c r="D62">
        <v>6.25</v>
      </c>
      <c r="E62" s="29">
        <v>10</v>
      </c>
      <c r="F62" s="50">
        <v>5</v>
      </c>
      <c r="G62" s="21">
        <f t="shared" ref="G62:G64" si="51" xml:space="preserve"> (E62 - F62)/(D62-F62)</f>
        <v>4</v>
      </c>
      <c r="H62" s="6">
        <v>46134</v>
      </c>
      <c r="I62" s="29">
        <v>7.47</v>
      </c>
      <c r="J62" s="30">
        <f t="shared" si="45"/>
        <v>0.19520000000000004</v>
      </c>
      <c r="K62" s="35">
        <f t="shared" si="46"/>
        <v>223.26</v>
      </c>
      <c r="L62" s="21">
        <f t="shared" si="47"/>
        <v>8</v>
      </c>
      <c r="M62" s="9">
        <f t="shared" si="48"/>
        <v>1</v>
      </c>
      <c r="N62">
        <f t="shared" si="49"/>
        <v>223.26</v>
      </c>
      <c r="O62" s="17">
        <f t="shared" ref="O62" si="52">IF(K62&lt;0, K62, 0)</f>
        <v>0</v>
      </c>
      <c r="P62" s="86"/>
      <c r="Q62" s="78"/>
      <c r="R62" s="28">
        <v>6421.33</v>
      </c>
    </row>
    <row r="63" spans="1:18" ht="18" customHeight="1">
      <c r="A63" s="6">
        <v>46126</v>
      </c>
      <c r="B63" t="s">
        <v>467</v>
      </c>
      <c r="C63" s="9">
        <v>21</v>
      </c>
      <c r="D63">
        <v>173.4</v>
      </c>
      <c r="E63" s="29">
        <v>250</v>
      </c>
      <c r="F63" s="50">
        <v>160</v>
      </c>
      <c r="G63" s="21">
        <f t="shared" si="51"/>
        <v>6.7164179104477579</v>
      </c>
      <c r="H63" s="6">
        <v>46132</v>
      </c>
      <c r="I63" s="29">
        <v>186.4</v>
      </c>
      <c r="J63" s="30">
        <f t="shared" si="45"/>
        <v>7.4971164936562751E-2</v>
      </c>
      <c r="K63" s="35">
        <f t="shared" si="46"/>
        <v>273</v>
      </c>
      <c r="L63" s="21">
        <f t="shared" si="47"/>
        <v>6</v>
      </c>
      <c r="M63" s="9">
        <f t="shared" si="48"/>
        <v>1</v>
      </c>
      <c r="N63">
        <f t="shared" si="49"/>
        <v>273</v>
      </c>
      <c r="O63" s="17">
        <f t="shared" ref="O63" si="53">IF(K63&lt;0, K63, 0)</f>
        <v>0</v>
      </c>
      <c r="P63" s="86"/>
      <c r="Q63" s="78"/>
      <c r="R63" s="64">
        <v>6476.33</v>
      </c>
    </row>
    <row r="64" spans="1:18" ht="18" customHeight="1">
      <c r="A64" s="6">
        <v>46126</v>
      </c>
      <c r="B64" t="s">
        <v>944</v>
      </c>
      <c r="C64" s="9">
        <v>320</v>
      </c>
      <c r="D64">
        <v>11.2</v>
      </c>
      <c r="E64" s="29">
        <v>20</v>
      </c>
      <c r="F64" s="50">
        <v>10</v>
      </c>
      <c r="G64" s="21">
        <f t="shared" si="51"/>
        <v>8.3333333333333375</v>
      </c>
      <c r="H64" s="6">
        <v>46132</v>
      </c>
      <c r="I64" s="29">
        <v>11.77</v>
      </c>
      <c r="J64" s="30">
        <f t="shared" si="45"/>
        <v>5.0892857142857073E-2</v>
      </c>
      <c r="K64" s="35">
        <f t="shared" si="46"/>
        <v>182.39999999999964</v>
      </c>
      <c r="L64" s="21">
        <f t="shared" si="47"/>
        <v>6</v>
      </c>
      <c r="M64" s="9">
        <f t="shared" si="48"/>
        <v>1</v>
      </c>
      <c r="N64">
        <f t="shared" si="49"/>
        <v>182.39999999999964</v>
      </c>
      <c r="O64" s="17">
        <f t="shared" ref="O64:O65" si="54">IF(K64&lt;0, K64, 0)</f>
        <v>0</v>
      </c>
      <c r="P64" s="86"/>
      <c r="Q64" s="78"/>
    </row>
    <row r="65" spans="1:19" ht="18" customHeight="1">
      <c r="A65" s="6">
        <v>46125</v>
      </c>
      <c r="B65" t="s">
        <v>314</v>
      </c>
      <c r="C65" s="9">
        <v>7</v>
      </c>
      <c r="D65">
        <v>238.95</v>
      </c>
      <c r="E65" s="29">
        <v>250</v>
      </c>
      <c r="F65" s="50">
        <v>200</v>
      </c>
      <c r="G65" s="21">
        <f t="shared" ref="G65:G68" si="55" xml:space="preserve"> (E65 - F65)/(D65-F65)</f>
        <v>1.283697047496791</v>
      </c>
      <c r="H65" s="6">
        <v>46139</v>
      </c>
      <c r="I65" s="29">
        <v>261.57</v>
      </c>
      <c r="J65" s="30">
        <f t="shared" si="45"/>
        <v>9.4664155681104756E-2</v>
      </c>
      <c r="K65" s="35">
        <f t="shared" si="46"/>
        <v>158.34000000000015</v>
      </c>
      <c r="L65" s="21">
        <f t="shared" si="47"/>
        <v>14</v>
      </c>
      <c r="M65" s="9">
        <f t="shared" si="48"/>
        <v>1</v>
      </c>
      <c r="N65">
        <f t="shared" si="49"/>
        <v>158.34000000000015</v>
      </c>
      <c r="O65" s="17">
        <f t="shared" si="54"/>
        <v>0</v>
      </c>
      <c r="P65" s="86"/>
      <c r="Q65" s="78"/>
    </row>
    <row r="66" spans="1:19" ht="18" customHeight="1">
      <c r="A66" s="6">
        <v>46125</v>
      </c>
      <c r="B66" t="s">
        <v>879</v>
      </c>
      <c r="C66" s="9">
        <v>20</v>
      </c>
      <c r="D66">
        <v>132.85</v>
      </c>
      <c r="E66" s="29">
        <v>200</v>
      </c>
      <c r="F66" s="50">
        <v>100</v>
      </c>
      <c r="G66" s="21">
        <f t="shared" si="55"/>
        <v>3.044140030441401</v>
      </c>
      <c r="H66" s="6">
        <v>46127</v>
      </c>
      <c r="I66" s="29">
        <v>167</v>
      </c>
      <c r="J66" s="30">
        <f t="shared" ref="J66:J73" si="56">I66/D66 -1</f>
        <v>0.25705683101242016</v>
      </c>
      <c r="K66" s="35">
        <f t="shared" ref="K66:K73" si="57">(C66*I66) - (C66*D66)</f>
        <v>683</v>
      </c>
      <c r="L66" s="21">
        <f t="shared" ref="L66:L73" si="58">H66-A66</f>
        <v>2</v>
      </c>
      <c r="M66" s="9">
        <f t="shared" ref="M66:M73" si="59">IF(J66&gt;0,1,0)</f>
        <v>1</v>
      </c>
      <c r="N66">
        <f t="shared" ref="N66:N73" si="60">IF(K66&gt;0, K66, 0)</f>
        <v>683</v>
      </c>
      <c r="O66" s="17">
        <f t="shared" ref="O66:O67" si="61">IF(K66&lt;0, K66, 0)</f>
        <v>0</v>
      </c>
      <c r="P66" s="86"/>
      <c r="Q66" s="78"/>
    </row>
    <row r="67" spans="1:19" ht="18" customHeight="1">
      <c r="A67" s="6">
        <v>46125</v>
      </c>
      <c r="B67" t="s">
        <v>439</v>
      </c>
      <c r="C67" s="9">
        <v>25</v>
      </c>
      <c r="D67">
        <v>245.15</v>
      </c>
      <c r="E67" s="29">
        <v>300</v>
      </c>
      <c r="F67" s="50">
        <v>195</v>
      </c>
      <c r="G67" s="21">
        <f t="shared" si="55"/>
        <v>2.093718843469591</v>
      </c>
      <c r="H67" s="6">
        <v>46132</v>
      </c>
      <c r="I67" s="29">
        <v>276.89999999999998</v>
      </c>
      <c r="J67" s="30">
        <f t="shared" si="56"/>
        <v>0.12951254334081153</v>
      </c>
      <c r="K67" s="35">
        <f t="shared" si="57"/>
        <v>793.74999999999909</v>
      </c>
      <c r="L67" s="21">
        <f t="shared" si="58"/>
        <v>7</v>
      </c>
      <c r="M67" s="9">
        <f t="shared" si="59"/>
        <v>1</v>
      </c>
      <c r="N67">
        <f t="shared" si="60"/>
        <v>793.74999999999909</v>
      </c>
      <c r="O67" s="17">
        <f t="shared" si="61"/>
        <v>0</v>
      </c>
      <c r="P67" s="86"/>
      <c r="Q67" s="78"/>
    </row>
    <row r="68" spans="1:19" ht="18" customHeight="1">
      <c r="A68" s="6">
        <v>46125</v>
      </c>
      <c r="B68" t="s">
        <v>314</v>
      </c>
      <c r="C68" s="9">
        <v>18</v>
      </c>
      <c r="D68">
        <v>238.65</v>
      </c>
      <c r="E68" s="29">
        <v>250</v>
      </c>
      <c r="F68" s="50">
        <v>200</v>
      </c>
      <c r="G68" s="21">
        <f t="shared" si="55"/>
        <v>1.2936610608020698</v>
      </c>
      <c r="H68" s="6">
        <v>46132</v>
      </c>
      <c r="I68" s="29">
        <v>247.12</v>
      </c>
      <c r="J68" s="30">
        <f t="shared" si="56"/>
        <v>3.5491305258747108E-2</v>
      </c>
      <c r="K68" s="35">
        <f t="shared" si="57"/>
        <v>152.46000000000004</v>
      </c>
      <c r="L68" s="21">
        <f t="shared" si="58"/>
        <v>7</v>
      </c>
      <c r="M68" s="9">
        <f t="shared" si="59"/>
        <v>1</v>
      </c>
      <c r="N68">
        <f t="shared" si="60"/>
        <v>152.46000000000004</v>
      </c>
      <c r="O68" s="17">
        <f>IF(K68&lt;0, K68, 0)</f>
        <v>0</v>
      </c>
      <c r="P68" s="86"/>
      <c r="Q68" s="78"/>
      <c r="R68" s="28">
        <v>5793.33</v>
      </c>
    </row>
    <row r="69" spans="1:19" ht="18" customHeight="1">
      <c r="A69" s="6">
        <v>46121</v>
      </c>
      <c r="B69" t="s">
        <v>439</v>
      </c>
      <c r="C69" s="9">
        <v>25</v>
      </c>
      <c r="D69">
        <v>234.19</v>
      </c>
      <c r="E69" s="29">
        <v>300</v>
      </c>
      <c r="F69" s="50">
        <v>195</v>
      </c>
      <c r="G69" s="21">
        <f t="shared" ref="G69:G70" si="62" xml:space="preserve"> (E69 - F69)/(D69-F69)</f>
        <v>2.6792549119673388</v>
      </c>
      <c r="H69" s="6">
        <v>46125</v>
      </c>
      <c r="I69" s="29">
        <v>245.2</v>
      </c>
      <c r="J69" s="30">
        <f t="shared" si="56"/>
        <v>4.7013109014048426E-2</v>
      </c>
      <c r="K69" s="35">
        <f t="shared" si="57"/>
        <v>275.25</v>
      </c>
      <c r="L69" s="21">
        <f t="shared" si="58"/>
        <v>4</v>
      </c>
      <c r="M69" s="9">
        <f t="shared" si="59"/>
        <v>1</v>
      </c>
      <c r="N69">
        <f t="shared" si="60"/>
        <v>275.25</v>
      </c>
      <c r="O69" s="17">
        <f t="shared" ref="O69:O73" si="63">IF(K69&lt;0, K69, 0)</f>
        <v>0</v>
      </c>
      <c r="P69" s="86"/>
      <c r="Q69" s="78"/>
    </row>
    <row r="70" spans="1:19" ht="18" customHeight="1">
      <c r="A70" s="6">
        <v>46121</v>
      </c>
      <c r="B70" t="s">
        <v>314</v>
      </c>
      <c r="C70" s="9">
        <v>18</v>
      </c>
      <c r="D70">
        <v>231.57</v>
      </c>
      <c r="E70" s="29">
        <v>250</v>
      </c>
      <c r="F70" s="50">
        <v>200</v>
      </c>
      <c r="G70" s="21">
        <f t="shared" si="62"/>
        <v>1.5837820715869499</v>
      </c>
      <c r="H70" s="6">
        <v>46125</v>
      </c>
      <c r="I70" s="29">
        <v>238.7</v>
      </c>
      <c r="J70" s="30">
        <f t="shared" si="56"/>
        <v>3.0789825970548801E-2</v>
      </c>
      <c r="K70" s="35">
        <f t="shared" si="57"/>
        <v>128.33999999999924</v>
      </c>
      <c r="L70" s="21">
        <f t="shared" si="58"/>
        <v>4</v>
      </c>
      <c r="M70" s="9">
        <f t="shared" si="59"/>
        <v>1</v>
      </c>
      <c r="N70">
        <f t="shared" si="60"/>
        <v>128.33999999999924</v>
      </c>
      <c r="O70" s="17">
        <f t="shared" si="63"/>
        <v>0</v>
      </c>
      <c r="P70" s="86"/>
      <c r="Q70" s="78"/>
      <c r="R70" s="28">
        <v>4594.79</v>
      </c>
    </row>
    <row r="71" spans="1:19" ht="18" customHeight="1">
      <c r="A71" s="6">
        <v>46113</v>
      </c>
      <c r="B71" t="s">
        <v>639</v>
      </c>
      <c r="C71" s="9">
        <v>61</v>
      </c>
      <c r="D71">
        <v>22.9</v>
      </c>
      <c r="E71" s="29">
        <v>50</v>
      </c>
      <c r="F71" s="50">
        <v>19</v>
      </c>
      <c r="G71" s="21">
        <f t="shared" ref="G71" si="64" xml:space="preserve"> (E71 - F71)/(D71-F71)</f>
        <v>7.9487179487179516</v>
      </c>
      <c r="H71" s="6">
        <v>46132</v>
      </c>
      <c r="I71" s="29">
        <v>28.12</v>
      </c>
      <c r="J71" s="30">
        <f t="shared" si="56"/>
        <v>0.22794759825327526</v>
      </c>
      <c r="K71" s="35">
        <f t="shared" si="57"/>
        <v>318.4200000000003</v>
      </c>
      <c r="L71" s="21">
        <f t="shared" si="58"/>
        <v>19</v>
      </c>
      <c r="M71" s="9">
        <f t="shared" si="59"/>
        <v>1</v>
      </c>
      <c r="N71">
        <f t="shared" si="60"/>
        <v>318.4200000000003</v>
      </c>
      <c r="O71" s="17">
        <f t="shared" ref="O71" si="65">IF(K71&lt;0, K71, 0)</f>
        <v>0</v>
      </c>
      <c r="P71" s="86"/>
      <c r="Q71" s="78"/>
      <c r="R71" s="28">
        <v>3883.61</v>
      </c>
    </row>
    <row r="72" spans="1:19" ht="18" customHeight="1">
      <c r="A72" s="6">
        <v>46108</v>
      </c>
      <c r="B72" t="s">
        <v>126</v>
      </c>
      <c r="C72" s="9">
        <v>153</v>
      </c>
      <c r="D72">
        <v>7.14</v>
      </c>
      <c r="E72" s="29">
        <v>15</v>
      </c>
      <c r="F72" s="50">
        <v>5.5</v>
      </c>
      <c r="G72" s="21">
        <f t="shared" ref="G72" si="66" xml:space="preserve"> (E72 - F72)/(D72-F72)</f>
        <v>5.7926829268292694</v>
      </c>
      <c r="H72" s="6">
        <v>46132</v>
      </c>
      <c r="I72" s="29">
        <v>7.75</v>
      </c>
      <c r="J72" s="30">
        <f t="shared" si="56"/>
        <v>8.5434173669467928E-2</v>
      </c>
      <c r="K72" s="35">
        <f t="shared" si="57"/>
        <v>93.330000000000155</v>
      </c>
      <c r="L72" s="21">
        <f t="shared" si="58"/>
        <v>24</v>
      </c>
      <c r="M72" s="9">
        <f t="shared" si="59"/>
        <v>1</v>
      </c>
      <c r="N72">
        <f t="shared" si="60"/>
        <v>93.330000000000155</v>
      </c>
      <c r="O72" s="17">
        <f t="shared" si="63"/>
        <v>0</v>
      </c>
      <c r="P72" s="86"/>
      <c r="Q72" s="78"/>
      <c r="S72" s="16">
        <v>512.03</v>
      </c>
    </row>
    <row r="73" spans="1:19" ht="18" customHeight="1">
      <c r="A73" s="6">
        <v>46097</v>
      </c>
      <c r="B73" t="s">
        <v>909</v>
      </c>
      <c r="C73" s="9">
        <v>81</v>
      </c>
      <c r="D73">
        <v>49.61</v>
      </c>
      <c r="E73" s="29">
        <v>60</v>
      </c>
      <c r="F73" s="50">
        <v>47</v>
      </c>
      <c r="G73" s="21">
        <f t="shared" ref="G73:G74" si="67" xml:space="preserve"> (E73 - F73)/(D73-F73)</f>
        <v>4.9808429118773958</v>
      </c>
      <c r="H73" s="6">
        <v>46125</v>
      </c>
      <c r="I73" s="29">
        <v>52</v>
      </c>
      <c r="J73" s="30">
        <f t="shared" si="56"/>
        <v>4.8175771013908575E-2</v>
      </c>
      <c r="K73" s="35">
        <f t="shared" si="57"/>
        <v>193.59000000000015</v>
      </c>
      <c r="L73" s="21">
        <f t="shared" si="58"/>
        <v>28</v>
      </c>
      <c r="M73" s="9">
        <f t="shared" si="59"/>
        <v>1</v>
      </c>
      <c r="N73">
        <f t="shared" si="60"/>
        <v>193.59000000000015</v>
      </c>
      <c r="O73" s="17">
        <f t="shared" si="63"/>
        <v>0</v>
      </c>
      <c r="P73" s="86"/>
      <c r="Q73" s="78"/>
      <c r="R73" s="28">
        <v>4331.3</v>
      </c>
      <c r="S73" s="28">
        <v>-25.14</v>
      </c>
    </row>
    <row r="74" spans="1:19" ht="18" customHeight="1">
      <c r="A74" s="6">
        <v>46097</v>
      </c>
      <c r="B74" t="s">
        <v>18</v>
      </c>
      <c r="C74" s="9">
        <v>154</v>
      </c>
      <c r="D74">
        <v>57.59</v>
      </c>
      <c r="E74" s="29">
        <v>35</v>
      </c>
      <c r="F74" s="50">
        <v>25</v>
      </c>
      <c r="G74" s="21">
        <f t="shared" si="67"/>
        <v>0.30684258975145745</v>
      </c>
      <c r="J74" s="30"/>
      <c r="K74" s="35"/>
      <c r="L74" s="37"/>
      <c r="M74" s="58"/>
      <c r="N74" s="38"/>
      <c r="O74" s="85"/>
      <c r="P74" s="86"/>
      <c r="Q74" s="78"/>
      <c r="R74" s="64">
        <v>4375.0200000000004</v>
      </c>
    </row>
    <row r="75" spans="1:19" ht="18" customHeight="1">
      <c r="A75" s="6">
        <v>46091</v>
      </c>
      <c r="B75" t="s">
        <v>126</v>
      </c>
      <c r="C75" s="9">
        <v>153</v>
      </c>
      <c r="D75">
        <v>6.4</v>
      </c>
      <c r="E75" s="29">
        <v>15</v>
      </c>
      <c r="F75" s="50">
        <v>5.5</v>
      </c>
      <c r="G75" s="21">
        <f t="shared" ref="G75" si="68" xml:space="preserve"> (E75 - F75)/(D75-F75)</f>
        <v>10.555555555555552</v>
      </c>
      <c r="H75" s="6">
        <v>46108</v>
      </c>
      <c r="I75" s="29">
        <v>7.16</v>
      </c>
      <c r="J75" s="30">
        <f>I75/D75 -1</f>
        <v>0.11874999999999991</v>
      </c>
      <c r="K75" s="35">
        <f>(C75*I75) - (C75*D75)</f>
        <v>116.27999999999997</v>
      </c>
      <c r="L75" s="21">
        <f>H75-A75</f>
        <v>17</v>
      </c>
      <c r="M75" s="9">
        <f>IF(J75&gt;0,1,0)</f>
        <v>1</v>
      </c>
      <c r="N75">
        <f>IF(K75&gt;0, K75, 0)</f>
        <v>116.27999999999997</v>
      </c>
      <c r="O75" s="17">
        <f>IF(K75&lt;0, K75, 0)</f>
        <v>0</v>
      </c>
      <c r="P75" s="86"/>
      <c r="Q75" s="78"/>
      <c r="R75" s="28">
        <v>4062.72</v>
      </c>
    </row>
    <row r="76" spans="1:19" ht="18" customHeight="1">
      <c r="A76" s="6">
        <v>46085</v>
      </c>
      <c r="B76" t="s">
        <v>314</v>
      </c>
      <c r="C76" s="9">
        <v>7</v>
      </c>
      <c r="D76">
        <v>217.25</v>
      </c>
      <c r="E76" s="29">
        <v>250</v>
      </c>
      <c r="F76" s="50">
        <v>200</v>
      </c>
      <c r="G76" s="21">
        <f t="shared" ref="G76:G78" si="69" xml:space="preserve"> (E76 - F76)/(D76-F76)</f>
        <v>2.8985507246376812</v>
      </c>
      <c r="H76" s="6">
        <v>46125</v>
      </c>
      <c r="I76" s="29">
        <v>239</v>
      </c>
      <c r="J76" s="30">
        <f>I76/D76 -1</f>
        <v>0.10011507479861903</v>
      </c>
      <c r="K76" s="35">
        <f>(C76*I76) - (C76*D76)</f>
        <v>152.25</v>
      </c>
      <c r="L76" s="21">
        <f>H76-A76</f>
        <v>40</v>
      </c>
      <c r="M76" s="9">
        <f>IF(J76&gt;0,1,0)</f>
        <v>1</v>
      </c>
      <c r="N76">
        <f>IF(K76&gt;0, K76, 0)</f>
        <v>152.25</v>
      </c>
      <c r="O76" s="17">
        <f t="shared" ref="O76" si="70">IF(K76&lt;0, K76, 0)</f>
        <v>0</v>
      </c>
      <c r="P76" s="86"/>
      <c r="Q76" s="78"/>
    </row>
    <row r="77" spans="1:19" ht="18" customHeight="1">
      <c r="A77" s="6">
        <v>46085</v>
      </c>
      <c r="B77" t="s">
        <v>697</v>
      </c>
      <c r="C77" s="9">
        <v>51</v>
      </c>
      <c r="D77">
        <v>26.5</v>
      </c>
      <c r="E77" s="29">
        <v>35</v>
      </c>
      <c r="F77" s="50">
        <v>20</v>
      </c>
      <c r="G77" s="21">
        <f t="shared" si="69"/>
        <v>2.3076923076923075</v>
      </c>
      <c r="J77" s="30"/>
      <c r="K77" s="35"/>
      <c r="L77" s="37"/>
      <c r="M77" s="58"/>
      <c r="N77" s="38"/>
      <c r="O77" s="85"/>
      <c r="P77" s="86"/>
      <c r="Q77" s="78"/>
    </row>
    <row r="78" spans="1:19" ht="18" customHeight="1">
      <c r="A78" s="6">
        <v>46085</v>
      </c>
      <c r="B78" t="s">
        <v>314</v>
      </c>
      <c r="C78" s="9">
        <v>18</v>
      </c>
      <c r="D78">
        <v>217.19</v>
      </c>
      <c r="E78" s="29">
        <v>250</v>
      </c>
      <c r="F78" s="50">
        <v>200</v>
      </c>
      <c r="G78" s="21">
        <f t="shared" si="69"/>
        <v>2.9086678301337989</v>
      </c>
      <c r="H78" s="6">
        <v>46121</v>
      </c>
      <c r="I78" s="29">
        <v>231.7</v>
      </c>
      <c r="J78" s="30">
        <f>I78/D78 -1</f>
        <v>6.6807864082140123E-2</v>
      </c>
      <c r="K78" s="35">
        <f>(C78*I78) - (C78*D78)</f>
        <v>261.17999999999938</v>
      </c>
      <c r="L78" s="21">
        <f>H78-A78</f>
        <v>36</v>
      </c>
      <c r="M78" s="9">
        <f>IF(J78&gt;0,1,0)</f>
        <v>1</v>
      </c>
      <c r="N78">
        <f>IF(K78&gt;0, K78, 0)</f>
        <v>261.17999999999938</v>
      </c>
      <c r="O78" s="17">
        <f>IF(K78&lt;0, K78, 0)</f>
        <v>0</v>
      </c>
      <c r="P78" s="86"/>
      <c r="Q78" s="78"/>
      <c r="R78" s="28">
        <v>3626.58</v>
      </c>
    </row>
    <row r="79" spans="1:19" ht="18" customHeight="1">
      <c r="A79" s="6">
        <v>46084</v>
      </c>
      <c r="B79" s="22" t="s">
        <v>942</v>
      </c>
      <c r="C79" s="9">
        <v>400</v>
      </c>
      <c r="D79">
        <v>0.4</v>
      </c>
      <c r="E79" s="29">
        <v>2.6</v>
      </c>
      <c r="F79" s="50">
        <v>0.2</v>
      </c>
      <c r="G79" s="21">
        <f t="shared" ref="G79" si="71" xml:space="preserve"> (E79 - F79)/(D79-F79)</f>
        <v>11.999999999999998</v>
      </c>
      <c r="H79" s="6">
        <v>46102</v>
      </c>
      <c r="I79" s="16">
        <v>0</v>
      </c>
      <c r="J79" s="25">
        <f>I79/D79 -1</f>
        <v>-1</v>
      </c>
      <c r="K79" s="36">
        <f>(C79*I79) - (C79*D79)</f>
        <v>-160</v>
      </c>
      <c r="L79" s="24">
        <f>H79-A79</f>
        <v>18</v>
      </c>
      <c r="M79" s="52">
        <f>IF(J79&gt;0,1,0)</f>
        <v>0</v>
      </c>
      <c r="N79" s="24">
        <f>IF(K79&gt;0, K79, 0)</f>
        <v>0</v>
      </c>
      <c r="O79" s="17">
        <f>IF(K79&lt;0, K79, 0)</f>
        <v>-160</v>
      </c>
      <c r="P79" s="86"/>
      <c r="Q79" s="78"/>
    </row>
    <row r="80" spans="1:19" ht="18" customHeight="1">
      <c r="A80" s="6">
        <v>46080</v>
      </c>
      <c r="B80" t="s">
        <v>622</v>
      </c>
      <c r="C80" s="9">
        <v>7</v>
      </c>
      <c r="D80">
        <v>194.5</v>
      </c>
      <c r="E80" s="29">
        <v>270</v>
      </c>
      <c r="F80" s="50">
        <v>190</v>
      </c>
      <c r="G80" s="21">
        <f t="shared" ref="G80:G81" si="72" xml:space="preserve"> (E80 - F80)/(D80-F80)</f>
        <v>17.777777777777779</v>
      </c>
      <c r="H80" s="6">
        <v>46113</v>
      </c>
      <c r="I80" s="29">
        <v>200.1</v>
      </c>
      <c r="J80" s="30">
        <f>I80/D80 -1</f>
        <v>2.8791773778920282E-2</v>
      </c>
      <c r="K80" s="35">
        <f>(C80*I80) - (C80*D80)</f>
        <v>39.200000000000045</v>
      </c>
      <c r="L80" s="21">
        <f>H80-A80</f>
        <v>33</v>
      </c>
      <c r="M80" s="9">
        <f>IF(J80&gt;0,1,0)</f>
        <v>1</v>
      </c>
      <c r="N80">
        <f>IF(K80&gt;0, K80, 0)</f>
        <v>39.200000000000045</v>
      </c>
      <c r="O80" s="17">
        <f>IF(K80&lt;0, K80, 0)</f>
        <v>0</v>
      </c>
      <c r="P80" s="86"/>
      <c r="Q80" s="78"/>
      <c r="R80" s="28">
        <v>3196.34</v>
      </c>
    </row>
    <row r="81" spans="1:19" ht="18" customHeight="1">
      <c r="A81" s="6">
        <v>46078</v>
      </c>
      <c r="B81" t="s">
        <v>879</v>
      </c>
      <c r="C81" s="9">
        <v>20</v>
      </c>
      <c r="D81">
        <v>117.21</v>
      </c>
      <c r="E81" s="29">
        <v>200</v>
      </c>
      <c r="F81" s="50">
        <v>100</v>
      </c>
      <c r="G81" s="21">
        <f t="shared" si="72"/>
        <v>5.8105752469494503</v>
      </c>
      <c r="H81" s="6">
        <v>46125</v>
      </c>
      <c r="I81" s="29">
        <v>133.1</v>
      </c>
      <c r="J81" s="30">
        <f>I81/D81 -1</f>
        <v>0.13556863748826897</v>
      </c>
      <c r="K81" s="35">
        <f>(C81*I81) - (C81*D81)</f>
        <v>317.80000000000018</v>
      </c>
      <c r="L81" s="21">
        <f>H81-A81</f>
        <v>47</v>
      </c>
      <c r="M81" s="9">
        <f>IF(J81&gt;0,1,0)</f>
        <v>1</v>
      </c>
      <c r="N81">
        <f>IF(K81&gt;0, K81, 0)</f>
        <v>317.80000000000018</v>
      </c>
      <c r="O81" s="17">
        <f>IF(K81&lt;0, K81, 0)</f>
        <v>0</v>
      </c>
      <c r="P81" s="86"/>
      <c r="Q81" s="78"/>
      <c r="S81" s="16">
        <v>438.83</v>
      </c>
    </row>
    <row r="82" spans="1:19" ht="18" customHeight="1">
      <c r="A82" s="6">
        <v>46073</v>
      </c>
      <c r="B82" t="s">
        <v>629</v>
      </c>
      <c r="C82" s="9">
        <v>155</v>
      </c>
      <c r="D82">
        <v>6.6</v>
      </c>
      <c r="E82" s="29">
        <v>10</v>
      </c>
      <c r="F82" s="50">
        <v>6</v>
      </c>
      <c r="G82" s="21">
        <f t="shared" ref="G82:G84" si="73" xml:space="preserve"> (E82 - F82)/(D82-F82)</f>
        <v>6.6666666666666705</v>
      </c>
      <c r="H82" s="6">
        <v>46079</v>
      </c>
      <c r="I82" s="29">
        <v>7.62</v>
      </c>
      <c r="J82" s="30">
        <f>I82/D82 -1</f>
        <v>0.15454545454545454</v>
      </c>
      <c r="K82" s="35">
        <f>(C82*I82) - (C82*D82)</f>
        <v>158.09999999999991</v>
      </c>
      <c r="L82" s="21">
        <f>H82-A82</f>
        <v>6</v>
      </c>
      <c r="M82" s="9">
        <f>IF(J82&gt;0,1,0)</f>
        <v>1</v>
      </c>
      <c r="N82">
        <f>IF(K82&gt;0, K82, 0)</f>
        <v>158.09999999999991</v>
      </c>
      <c r="O82" s="17">
        <f>IF(K82&lt;0, K82, 0)</f>
        <v>0</v>
      </c>
      <c r="P82" s="86"/>
      <c r="Q82" s="78"/>
      <c r="R82" s="64">
        <v>3806.86</v>
      </c>
      <c r="S82" s="28">
        <v>-38.31</v>
      </c>
    </row>
    <row r="83" spans="1:19" ht="18" customHeight="1">
      <c r="A83" s="6">
        <v>46073</v>
      </c>
      <c r="B83" t="s">
        <v>921</v>
      </c>
      <c r="C83" s="9">
        <v>21</v>
      </c>
      <c r="D83">
        <v>57.33</v>
      </c>
      <c r="E83" s="29">
        <v>70</v>
      </c>
      <c r="F83" s="50">
        <v>53</v>
      </c>
      <c r="G83" s="21">
        <f t="shared" si="73"/>
        <v>3.9260969976905327</v>
      </c>
      <c r="J83" s="30"/>
      <c r="K83" s="35"/>
      <c r="L83" s="37"/>
      <c r="M83" s="58"/>
      <c r="N83" s="38"/>
      <c r="O83" s="85"/>
      <c r="P83" s="86"/>
      <c r="Q83" s="78"/>
    </row>
    <row r="84" spans="1:19" ht="18" customHeight="1">
      <c r="A84" s="6">
        <v>46073</v>
      </c>
      <c r="B84" t="s">
        <v>697</v>
      </c>
      <c r="C84" s="9">
        <v>50</v>
      </c>
      <c r="D84">
        <v>22.86</v>
      </c>
      <c r="E84" s="29">
        <v>35</v>
      </c>
      <c r="F84" s="50">
        <v>20</v>
      </c>
      <c r="G84" s="21">
        <f t="shared" si="73"/>
        <v>5.2447552447552459</v>
      </c>
      <c r="H84" s="6">
        <v>46085</v>
      </c>
      <c r="I84" s="29">
        <v>26.56</v>
      </c>
      <c r="J84" s="30">
        <f>I84/D84 -1</f>
        <v>0.16185476815398081</v>
      </c>
      <c r="K84" s="35">
        <f>(C84*I84) - (C84*D84)</f>
        <v>185</v>
      </c>
      <c r="L84" s="21">
        <f>H84-A84</f>
        <v>12</v>
      </c>
      <c r="M84" s="9">
        <f>IF(J84&gt;0,1,0)</f>
        <v>1</v>
      </c>
      <c r="N84">
        <f>IF(K84&gt;0, K84, 0)</f>
        <v>185</v>
      </c>
      <c r="O84" s="17">
        <f>IF(K84&lt;0, K84, 0)</f>
        <v>0</v>
      </c>
      <c r="P84" s="86"/>
      <c r="Q84" s="78"/>
    </row>
    <row r="85" spans="1:19" ht="18" customHeight="1">
      <c r="A85" s="6">
        <v>46072</v>
      </c>
      <c r="B85" t="s">
        <v>235</v>
      </c>
      <c r="C85" s="9">
        <v>3</v>
      </c>
      <c r="D85">
        <v>333.5</v>
      </c>
      <c r="E85" s="29">
        <v>400</v>
      </c>
      <c r="F85" s="50">
        <v>300</v>
      </c>
      <c r="G85" s="21">
        <f t="shared" ref="G85:G102" si="74" xml:space="preserve"> (E85 - F85)/(D85-F85)</f>
        <v>2.9850746268656718</v>
      </c>
      <c r="H85" s="6">
        <v>46125</v>
      </c>
      <c r="I85" s="29">
        <v>376.74</v>
      </c>
      <c r="J85" s="30">
        <f>I85/D85 -1</f>
        <v>0.1296551724137931</v>
      </c>
      <c r="K85" s="35">
        <f>(C85*I85) - (C85*D85)</f>
        <v>129.72000000000003</v>
      </c>
      <c r="L85" s="21">
        <f>H85-A85</f>
        <v>53</v>
      </c>
      <c r="M85" s="9">
        <f>IF(J85&gt;0,1,0)</f>
        <v>1</v>
      </c>
      <c r="N85">
        <f>IF(K85&gt;0, K85, 0)</f>
        <v>129.72000000000003</v>
      </c>
      <c r="O85" s="17">
        <f>IF(K85&lt;0, K85, 0)</f>
        <v>0</v>
      </c>
      <c r="P85" s="86"/>
      <c r="Q85" s="78"/>
    </row>
    <row r="86" spans="1:19" ht="18" customHeight="1">
      <c r="A86" s="6">
        <v>46072</v>
      </c>
      <c r="B86" t="s">
        <v>637</v>
      </c>
      <c r="C86" s="9">
        <v>24</v>
      </c>
      <c r="D86">
        <v>199.25</v>
      </c>
      <c r="E86" s="29">
        <v>250</v>
      </c>
      <c r="F86" s="50">
        <v>200</v>
      </c>
      <c r="G86" s="21">
        <f t="shared" si="74"/>
        <v>-66.666666666666671</v>
      </c>
      <c r="J86" s="30"/>
      <c r="K86" s="35"/>
      <c r="L86" s="37"/>
      <c r="M86" s="58"/>
      <c r="N86" s="38"/>
      <c r="O86" s="85"/>
      <c r="P86" s="86"/>
      <c r="Q86" s="78"/>
      <c r="R86" s="28">
        <v>3585.76</v>
      </c>
    </row>
    <row r="87" spans="1:19" ht="18" customHeight="1">
      <c r="A87" s="6">
        <v>46066</v>
      </c>
      <c r="B87" t="s">
        <v>314</v>
      </c>
      <c r="C87" s="9">
        <v>7</v>
      </c>
      <c r="D87">
        <v>200.14</v>
      </c>
      <c r="E87" s="29">
        <v>250</v>
      </c>
      <c r="F87" s="50">
        <v>200</v>
      </c>
      <c r="G87" s="21">
        <f t="shared" si="74"/>
        <v>357.14285714289196</v>
      </c>
      <c r="H87" s="6">
        <v>46085</v>
      </c>
      <c r="I87" s="29">
        <v>217.3</v>
      </c>
      <c r="J87" s="30">
        <f t="shared" ref="J87:J92" si="75">I87/D87 -1</f>
        <v>8.5739982012591254E-2</v>
      </c>
      <c r="K87" s="35">
        <f t="shared" ref="K87:K92" si="76">(C87*I87) - (C87*D87)</f>
        <v>120.12000000000012</v>
      </c>
      <c r="L87" s="21">
        <f t="shared" ref="L87:L92" si="77">H87-A87</f>
        <v>19</v>
      </c>
      <c r="M87" s="9">
        <f t="shared" ref="M87:M92" si="78">IF(J87&gt;0,1,0)</f>
        <v>1</v>
      </c>
      <c r="N87">
        <f t="shared" ref="N87:N92" si="79">IF(K87&gt;0, K87, 0)</f>
        <v>120.12000000000012</v>
      </c>
      <c r="O87" s="17">
        <f t="shared" ref="O87:O93" si="80">IF(K87&lt;0, K87, 0)</f>
        <v>0</v>
      </c>
      <c r="P87" s="86"/>
      <c r="Q87" s="78"/>
      <c r="R87" s="28">
        <v>3387.33</v>
      </c>
    </row>
    <row r="88" spans="1:19" ht="18" customHeight="1">
      <c r="A88" s="6">
        <v>46066</v>
      </c>
      <c r="B88" t="s">
        <v>240</v>
      </c>
      <c r="C88" s="9">
        <v>9</v>
      </c>
      <c r="D88">
        <v>154.5</v>
      </c>
      <c r="E88" s="29">
        <v>180</v>
      </c>
      <c r="F88" s="50">
        <v>140</v>
      </c>
      <c r="G88" s="21">
        <f t="shared" si="74"/>
        <v>2.7586206896551726</v>
      </c>
      <c r="H88" s="6">
        <v>46078</v>
      </c>
      <c r="I88" s="29">
        <v>157.5</v>
      </c>
      <c r="J88" s="30">
        <f t="shared" si="75"/>
        <v>1.9417475728155331E-2</v>
      </c>
      <c r="K88" s="35">
        <f t="shared" si="76"/>
        <v>27</v>
      </c>
      <c r="L88" s="21">
        <f t="shared" si="77"/>
        <v>12</v>
      </c>
      <c r="M88" s="9">
        <f t="shared" si="78"/>
        <v>1</v>
      </c>
      <c r="N88">
        <f t="shared" si="79"/>
        <v>27</v>
      </c>
      <c r="O88" s="17">
        <f t="shared" si="80"/>
        <v>0</v>
      </c>
      <c r="P88" s="86"/>
      <c r="Q88" s="78"/>
      <c r="R88" s="64">
        <v>3621.41</v>
      </c>
    </row>
    <row r="89" spans="1:19" ht="18" customHeight="1">
      <c r="A89" s="6">
        <v>46063</v>
      </c>
      <c r="B89" t="s">
        <v>314</v>
      </c>
      <c r="C89" s="9">
        <v>17</v>
      </c>
      <c r="D89">
        <v>209.99</v>
      </c>
      <c r="E89" s="29">
        <v>250</v>
      </c>
      <c r="F89" s="50">
        <v>200</v>
      </c>
      <c r="G89" s="21">
        <f t="shared" si="74"/>
        <v>5.0050050050050006</v>
      </c>
      <c r="H89" s="6">
        <v>46085</v>
      </c>
      <c r="I89" s="29">
        <v>217.35</v>
      </c>
      <c r="J89" s="30">
        <f t="shared" si="75"/>
        <v>3.5049288061336226E-2</v>
      </c>
      <c r="K89" s="35">
        <f t="shared" si="76"/>
        <v>125.11999999999989</v>
      </c>
      <c r="L89" s="21">
        <f t="shared" si="77"/>
        <v>22</v>
      </c>
      <c r="M89" s="9">
        <f t="shared" si="78"/>
        <v>1</v>
      </c>
      <c r="N89">
        <f t="shared" si="79"/>
        <v>125.11999999999989</v>
      </c>
      <c r="O89" s="17">
        <f t="shared" si="80"/>
        <v>0</v>
      </c>
      <c r="P89" s="86"/>
      <c r="Q89" s="78"/>
      <c r="R89" s="28">
        <v>3427.36</v>
      </c>
    </row>
    <row r="90" spans="1:19" ht="18" customHeight="1">
      <c r="A90" s="6">
        <v>46062</v>
      </c>
      <c r="B90" t="s">
        <v>629</v>
      </c>
      <c r="C90" s="9">
        <v>178</v>
      </c>
      <c r="D90">
        <v>6.35</v>
      </c>
      <c r="E90" s="29">
        <v>10</v>
      </c>
      <c r="F90" s="50">
        <v>6</v>
      </c>
      <c r="G90" s="21">
        <f t="shared" si="74"/>
        <v>11.428571428571439</v>
      </c>
      <c r="H90" s="6">
        <v>46072</v>
      </c>
      <c r="I90" s="29">
        <v>6.8</v>
      </c>
      <c r="J90" s="30">
        <f t="shared" si="75"/>
        <v>7.0866141732283561E-2</v>
      </c>
      <c r="K90" s="35">
        <f t="shared" si="76"/>
        <v>80.099999999999909</v>
      </c>
      <c r="L90" s="21">
        <f t="shared" si="77"/>
        <v>10</v>
      </c>
      <c r="M90" s="9">
        <f t="shared" si="78"/>
        <v>1</v>
      </c>
      <c r="N90">
        <f t="shared" si="79"/>
        <v>80.099999999999909</v>
      </c>
      <c r="O90" s="17">
        <f t="shared" si="80"/>
        <v>0</v>
      </c>
      <c r="P90" s="86"/>
      <c r="Q90" s="78"/>
    </row>
    <row r="91" spans="1:19" ht="18" customHeight="1">
      <c r="A91" s="6">
        <v>46062</v>
      </c>
      <c r="B91" t="s">
        <v>467</v>
      </c>
      <c r="C91" s="9">
        <v>6</v>
      </c>
      <c r="D91">
        <v>194</v>
      </c>
      <c r="E91" s="29">
        <v>275</v>
      </c>
      <c r="F91" s="50">
        <v>180</v>
      </c>
      <c r="G91" s="21">
        <f t="shared" si="74"/>
        <v>6.7857142857142856</v>
      </c>
      <c r="H91" s="6">
        <v>46079</v>
      </c>
      <c r="I91" s="29">
        <v>200</v>
      </c>
      <c r="J91" s="30">
        <f t="shared" si="75"/>
        <v>3.0927835051546282E-2</v>
      </c>
      <c r="K91" s="35">
        <f t="shared" si="76"/>
        <v>36</v>
      </c>
      <c r="L91" s="21">
        <f t="shared" si="77"/>
        <v>17</v>
      </c>
      <c r="M91" s="9">
        <f t="shared" si="78"/>
        <v>1</v>
      </c>
      <c r="N91">
        <f t="shared" si="79"/>
        <v>36</v>
      </c>
      <c r="O91" s="17">
        <f t="shared" si="80"/>
        <v>0</v>
      </c>
      <c r="P91" s="86"/>
      <c r="Q91" s="78"/>
    </row>
    <row r="92" spans="1:19" ht="18" customHeight="1">
      <c r="A92" s="6">
        <v>46062</v>
      </c>
      <c r="B92" t="s">
        <v>439</v>
      </c>
      <c r="C92" s="9">
        <v>24</v>
      </c>
      <c r="D92">
        <v>215.45</v>
      </c>
      <c r="E92" s="29">
        <v>300</v>
      </c>
      <c r="F92" s="50">
        <v>195</v>
      </c>
      <c r="G92" s="21">
        <f t="shared" si="74"/>
        <v>5.1344743276283644</v>
      </c>
      <c r="H92" s="6">
        <v>46121</v>
      </c>
      <c r="I92" s="29">
        <v>234.2</v>
      </c>
      <c r="J92" s="30">
        <f t="shared" si="75"/>
        <v>8.7027152471571112E-2</v>
      </c>
      <c r="K92" s="35">
        <f t="shared" si="76"/>
        <v>450</v>
      </c>
      <c r="L92" s="21">
        <f t="shared" si="77"/>
        <v>59</v>
      </c>
      <c r="M92" s="9">
        <f t="shared" si="78"/>
        <v>1</v>
      </c>
      <c r="N92">
        <f t="shared" si="79"/>
        <v>450</v>
      </c>
      <c r="O92" s="17">
        <f t="shared" si="80"/>
        <v>0</v>
      </c>
      <c r="P92" s="86"/>
      <c r="Q92" s="78"/>
    </row>
    <row r="93" spans="1:19" ht="18" customHeight="1">
      <c r="A93" s="6">
        <v>46062</v>
      </c>
      <c r="B93" t="s">
        <v>857</v>
      </c>
      <c r="C93" s="9">
        <v>50</v>
      </c>
      <c r="D93">
        <v>85.18</v>
      </c>
      <c r="E93" s="29">
        <v>125</v>
      </c>
      <c r="F93" s="50">
        <v>70</v>
      </c>
      <c r="G93" s="21">
        <f t="shared" si="74"/>
        <v>3.6231884057970998</v>
      </c>
      <c r="H93" s="6">
        <v>46171</v>
      </c>
      <c r="I93" s="29">
        <v>92.52</v>
      </c>
      <c r="J93" s="30">
        <f t="shared" ref="J93:J98" si="81">I93/D93 -1</f>
        <v>8.6170462549894244E-2</v>
      </c>
      <c r="K93" s="35">
        <f t="shared" ref="K93:K98" si="82">(C93*I93) - (C93*D93)</f>
        <v>367</v>
      </c>
      <c r="L93" s="21">
        <f t="shared" ref="L93:L98" si="83">H93-A93</f>
        <v>109</v>
      </c>
      <c r="M93" s="9">
        <f t="shared" ref="M93:M98" si="84">IF(J93&gt;0,1,0)</f>
        <v>1</v>
      </c>
      <c r="N93">
        <f t="shared" ref="N93:N98" si="85">IF(K93&gt;0, K93, 0)</f>
        <v>367</v>
      </c>
      <c r="O93" s="17">
        <f t="shared" si="80"/>
        <v>0</v>
      </c>
      <c r="P93" s="86"/>
      <c r="Q93" s="78"/>
      <c r="R93" s="28">
        <v>3033.6</v>
      </c>
    </row>
    <row r="94" spans="1:19" ht="18" customHeight="1">
      <c r="A94" s="6">
        <v>46057</v>
      </c>
      <c r="B94" t="s">
        <v>439</v>
      </c>
      <c r="C94" s="9">
        <v>14</v>
      </c>
      <c r="D94">
        <v>200.56</v>
      </c>
      <c r="E94" s="29">
        <v>300</v>
      </c>
      <c r="F94" s="50">
        <v>195</v>
      </c>
      <c r="G94" s="21">
        <f t="shared" si="74"/>
        <v>18.884892086330929</v>
      </c>
      <c r="H94" s="6">
        <v>46062</v>
      </c>
      <c r="I94" s="29">
        <v>215.5</v>
      </c>
      <c r="J94" s="30">
        <f t="shared" si="81"/>
        <v>7.4491424012764318E-2</v>
      </c>
      <c r="K94" s="35">
        <f t="shared" si="82"/>
        <v>209.15999999999985</v>
      </c>
      <c r="L94" s="21">
        <f t="shared" si="83"/>
        <v>5</v>
      </c>
      <c r="M94" s="9">
        <f t="shared" si="84"/>
        <v>1</v>
      </c>
      <c r="N94">
        <f t="shared" si="85"/>
        <v>209.15999999999985</v>
      </c>
      <c r="O94" s="17">
        <f>IF(K94&lt;0, K94, 0)</f>
        <v>0</v>
      </c>
      <c r="P94" s="86"/>
      <c r="Q94" s="78"/>
      <c r="R94" s="28">
        <v>1474.08</v>
      </c>
    </row>
    <row r="95" spans="1:19" ht="18" customHeight="1">
      <c r="A95" s="6">
        <v>46057</v>
      </c>
      <c r="B95" s="22" t="s">
        <v>941</v>
      </c>
      <c r="C95" s="9">
        <v>200</v>
      </c>
      <c r="D95">
        <v>1.05</v>
      </c>
      <c r="E95" s="29">
        <v>5</v>
      </c>
      <c r="F95" s="50">
        <v>0.52</v>
      </c>
      <c r="G95" s="21">
        <f t="shared" si="74"/>
        <v>8.4528301886792452</v>
      </c>
      <c r="H95" s="6">
        <v>46081</v>
      </c>
      <c r="I95" s="16">
        <v>0</v>
      </c>
      <c r="J95" s="25">
        <f t="shared" si="81"/>
        <v>-1</v>
      </c>
      <c r="K95" s="36">
        <f t="shared" si="82"/>
        <v>-210</v>
      </c>
      <c r="L95" s="24">
        <f t="shared" si="83"/>
        <v>24</v>
      </c>
      <c r="M95" s="52">
        <f t="shared" si="84"/>
        <v>0</v>
      </c>
      <c r="N95" s="24">
        <f t="shared" si="85"/>
        <v>0</v>
      </c>
      <c r="O95" s="17">
        <f>IF(K95&lt;0, K95, 0)</f>
        <v>-210</v>
      </c>
      <c r="P95" s="86"/>
      <c r="Q95" s="78"/>
      <c r="R95" s="28">
        <v>1250.78</v>
      </c>
    </row>
    <row r="96" spans="1:19" ht="18" customHeight="1">
      <c r="A96" s="6">
        <v>46052</v>
      </c>
      <c r="B96" s="22" t="s">
        <v>939</v>
      </c>
      <c r="C96" s="9">
        <v>100</v>
      </c>
      <c r="D96">
        <v>0.55000000000000004</v>
      </c>
      <c r="E96" s="29">
        <v>1.5</v>
      </c>
      <c r="F96" s="50">
        <v>0.25</v>
      </c>
      <c r="G96" s="21">
        <f t="shared" si="74"/>
        <v>4.1666666666666661</v>
      </c>
      <c r="H96" s="6">
        <v>46129</v>
      </c>
      <c r="I96" s="16">
        <v>0</v>
      </c>
      <c r="J96" s="25">
        <f t="shared" si="81"/>
        <v>-1</v>
      </c>
      <c r="K96" s="36">
        <f t="shared" si="82"/>
        <v>-55.000000000000007</v>
      </c>
      <c r="L96" s="24">
        <f t="shared" si="83"/>
        <v>77</v>
      </c>
      <c r="M96" s="52">
        <f t="shared" si="84"/>
        <v>0</v>
      </c>
      <c r="N96" s="24">
        <f t="shared" si="85"/>
        <v>0</v>
      </c>
      <c r="O96" s="17">
        <f>IF(K96&lt;0, K96, 0)</f>
        <v>-55.000000000000007</v>
      </c>
      <c r="P96" s="86"/>
      <c r="Q96" s="78"/>
      <c r="R96" s="28"/>
    </row>
    <row r="97" spans="1:19" ht="18" customHeight="1">
      <c r="A97" s="6">
        <v>46052</v>
      </c>
      <c r="B97" s="22" t="s">
        <v>939</v>
      </c>
      <c r="C97" s="9">
        <v>100</v>
      </c>
      <c r="D97">
        <v>0.55000000000000004</v>
      </c>
      <c r="E97" s="29">
        <v>1.5</v>
      </c>
      <c r="F97" s="50">
        <v>0.25</v>
      </c>
      <c r="G97" s="21">
        <f t="shared" si="74"/>
        <v>4.1666666666666661</v>
      </c>
      <c r="H97" s="6">
        <v>46065</v>
      </c>
      <c r="I97" s="29">
        <v>1.35</v>
      </c>
      <c r="J97" s="30">
        <f t="shared" si="81"/>
        <v>1.4545454545454546</v>
      </c>
      <c r="K97" s="35">
        <f t="shared" si="82"/>
        <v>80</v>
      </c>
      <c r="L97" s="21">
        <f t="shared" si="83"/>
        <v>13</v>
      </c>
      <c r="M97" s="9">
        <f t="shared" si="84"/>
        <v>1</v>
      </c>
      <c r="N97">
        <f t="shared" si="85"/>
        <v>80</v>
      </c>
      <c r="O97" s="17">
        <f>IF(K97&lt;0, K97, 0)</f>
        <v>0</v>
      </c>
      <c r="P97" s="86"/>
      <c r="Q97" s="78"/>
      <c r="R97" s="28">
        <v>1107.56</v>
      </c>
      <c r="S97" s="16">
        <v>509.08</v>
      </c>
    </row>
    <row r="98" spans="1:19" ht="18" customHeight="1">
      <c r="A98" s="6">
        <v>46052</v>
      </c>
      <c r="B98" t="s">
        <v>528</v>
      </c>
      <c r="C98" s="9">
        <v>28</v>
      </c>
      <c r="D98">
        <v>193</v>
      </c>
      <c r="E98" s="29">
        <v>205</v>
      </c>
      <c r="F98" s="50">
        <v>175</v>
      </c>
      <c r="G98" s="21">
        <f t="shared" si="74"/>
        <v>1.6666666666666667</v>
      </c>
      <c r="H98" s="6">
        <v>46132</v>
      </c>
      <c r="I98" s="29">
        <v>198.97</v>
      </c>
      <c r="J98" s="30">
        <f t="shared" si="81"/>
        <v>3.0932642487046635E-2</v>
      </c>
      <c r="K98" s="35">
        <f t="shared" si="82"/>
        <v>167.15999999999985</v>
      </c>
      <c r="L98" s="21">
        <f t="shared" si="83"/>
        <v>80</v>
      </c>
      <c r="M98" s="9">
        <f t="shared" si="84"/>
        <v>1</v>
      </c>
      <c r="N98">
        <f t="shared" si="85"/>
        <v>167.15999999999985</v>
      </c>
      <c r="O98" s="17">
        <f t="shared" ref="O98" si="86">IF(K98&lt;0, K98, 0)</f>
        <v>0</v>
      </c>
      <c r="P98" s="86"/>
      <c r="Q98" s="78"/>
      <c r="R98" s="64">
        <v>1600.04</v>
      </c>
      <c r="S98" s="28">
        <v>-47.2</v>
      </c>
    </row>
    <row r="99" spans="1:19" ht="18" customHeight="1">
      <c r="A99" s="6">
        <v>46050</v>
      </c>
      <c r="B99" t="s">
        <v>646</v>
      </c>
      <c r="C99" s="9">
        <v>22</v>
      </c>
      <c r="D99">
        <v>55</v>
      </c>
      <c r="E99" s="29">
        <v>90</v>
      </c>
      <c r="F99" s="50">
        <v>54</v>
      </c>
      <c r="G99" s="21">
        <f t="shared" si="74"/>
        <v>36</v>
      </c>
      <c r="H99" s="6">
        <v>46174</v>
      </c>
      <c r="I99" s="29">
        <v>57</v>
      </c>
      <c r="J99" s="30">
        <f t="shared" ref="J99" si="87">I99/D99 -1</f>
        <v>3.6363636363636376E-2</v>
      </c>
      <c r="K99" s="35">
        <f t="shared" ref="K99" si="88">(C99*I99) - (C99*D99)</f>
        <v>44</v>
      </c>
      <c r="L99" s="21">
        <f t="shared" ref="L99" si="89">H99-A99</f>
        <v>124</v>
      </c>
      <c r="M99" s="9">
        <f t="shared" ref="M99" si="90">IF(J99&gt;0,1,0)</f>
        <v>1</v>
      </c>
      <c r="N99">
        <f t="shared" ref="N99" si="91">IF(K99&gt;0, K99, 0)</f>
        <v>44</v>
      </c>
      <c r="O99" s="17">
        <f t="shared" ref="O99" si="92">IF(K99&lt;0, K99, 0)</f>
        <v>0</v>
      </c>
      <c r="P99" s="86"/>
      <c r="Q99" s="78"/>
    </row>
    <row r="100" spans="1:19" ht="18" customHeight="1">
      <c r="A100" s="6">
        <v>46050</v>
      </c>
      <c r="B100" t="s">
        <v>940</v>
      </c>
      <c r="C100" s="9">
        <v>17</v>
      </c>
      <c r="D100">
        <v>78.430000000000007</v>
      </c>
      <c r="E100" s="29">
        <v>90</v>
      </c>
      <c r="F100" s="50">
        <v>70</v>
      </c>
      <c r="G100" s="21">
        <f t="shared" si="74"/>
        <v>2.3724792408066411</v>
      </c>
      <c r="H100" s="6">
        <v>46066</v>
      </c>
      <c r="I100" s="29">
        <v>85</v>
      </c>
      <c r="J100" s="30">
        <f>I100/D100 -1</f>
        <v>8.3768965956904085E-2</v>
      </c>
      <c r="K100" s="35">
        <f>(C100*I100) - (C100*D100)</f>
        <v>111.68999999999983</v>
      </c>
      <c r="L100" s="21">
        <f>H100-A100</f>
        <v>16</v>
      </c>
      <c r="M100" s="9">
        <f>IF(J100&gt;0,1,0)</f>
        <v>1</v>
      </c>
      <c r="N100">
        <f>IF(K100&gt;0, K100, 0)</f>
        <v>111.68999999999983</v>
      </c>
      <c r="O100" s="17">
        <f>IF(K100&lt;0, K100, 0)</f>
        <v>0</v>
      </c>
      <c r="P100" s="86"/>
      <c r="Q100" s="78"/>
    </row>
    <row r="101" spans="1:19" ht="18" customHeight="1">
      <c r="A101" s="6">
        <v>46050</v>
      </c>
      <c r="B101" t="s">
        <v>229</v>
      </c>
      <c r="C101" s="9">
        <v>12</v>
      </c>
      <c r="D101">
        <v>165.65</v>
      </c>
      <c r="E101" s="29">
        <v>300</v>
      </c>
      <c r="F101" s="50">
        <v>170</v>
      </c>
      <c r="G101" s="21">
        <f t="shared" si="74"/>
        <v>-29.885057471264407</v>
      </c>
      <c r="H101" s="6">
        <v>46132</v>
      </c>
      <c r="I101" s="29">
        <v>175.05</v>
      </c>
      <c r="J101" s="30">
        <f>I101/D101 -1</f>
        <v>5.6746151524298183E-2</v>
      </c>
      <c r="K101" s="35">
        <f>(C101*I101) - (C101*D101)</f>
        <v>112.80000000000018</v>
      </c>
      <c r="L101" s="21">
        <f>H101-A101</f>
        <v>82</v>
      </c>
      <c r="M101" s="9">
        <f>IF(J101&gt;0,1,0)</f>
        <v>1</v>
      </c>
      <c r="N101">
        <f>IF(K101&gt;0, K101, 0)</f>
        <v>112.80000000000018</v>
      </c>
      <c r="O101" s="17">
        <f t="shared" ref="O101:O102" si="93">IF(K101&lt;0, K101, 0)</f>
        <v>0</v>
      </c>
      <c r="P101" s="86"/>
      <c r="Q101" s="78"/>
    </row>
    <row r="102" spans="1:19" ht="18" customHeight="1">
      <c r="A102" s="6">
        <v>46050</v>
      </c>
      <c r="B102" t="s">
        <v>349</v>
      </c>
      <c r="C102" s="9">
        <v>27</v>
      </c>
      <c r="D102">
        <v>195</v>
      </c>
      <c r="E102" s="29">
        <v>300</v>
      </c>
      <c r="F102" s="50">
        <v>190</v>
      </c>
      <c r="G102" s="21">
        <f t="shared" si="74"/>
        <v>22</v>
      </c>
      <c r="H102" s="6">
        <v>46132</v>
      </c>
      <c r="I102" s="29">
        <v>207.8</v>
      </c>
      <c r="J102" s="30">
        <f>I102/D102 -1</f>
        <v>6.5641025641025808E-2</v>
      </c>
      <c r="K102" s="35">
        <f>(C102*I102) - (C102*D102)</f>
        <v>345.60000000000036</v>
      </c>
      <c r="L102" s="21">
        <f>H102-A102</f>
        <v>82</v>
      </c>
      <c r="M102" s="9">
        <f>IF(J102&gt;0,1,0)</f>
        <v>1</v>
      </c>
      <c r="N102">
        <f>IF(K102&gt;0, K102, 0)</f>
        <v>345.60000000000036</v>
      </c>
      <c r="O102" s="17">
        <f t="shared" si="93"/>
        <v>0</v>
      </c>
      <c r="P102" s="86"/>
      <c r="Q102" s="78"/>
      <c r="R102" s="28">
        <v>1161.8800000000001</v>
      </c>
    </row>
    <row r="103" spans="1:19" ht="18" customHeight="1">
      <c r="A103" s="6">
        <v>46049</v>
      </c>
      <c r="B103" t="s">
        <v>286</v>
      </c>
      <c r="C103" s="9">
        <v>407</v>
      </c>
      <c r="D103">
        <v>9.3000000000000007</v>
      </c>
      <c r="E103" s="29">
        <v>13</v>
      </c>
      <c r="F103" s="50">
        <v>9</v>
      </c>
      <c r="G103" s="21">
        <f t="shared" ref="G103:G108" si="94" xml:space="preserve"> (E103 - F103)/(D103-F103)</f>
        <v>13.333333333333302</v>
      </c>
      <c r="H103" s="6">
        <v>46157</v>
      </c>
      <c r="I103" s="29">
        <v>10.55</v>
      </c>
      <c r="J103" s="30">
        <f>I103/D103 -1</f>
        <v>0.13440860215053752</v>
      </c>
      <c r="K103" s="35">
        <f>(C103*I103) - (C103*D103)</f>
        <v>508.75</v>
      </c>
      <c r="L103" s="21">
        <f>H103-A103</f>
        <v>108</v>
      </c>
      <c r="M103" s="9">
        <f>IF(J103&gt;0,1,0)</f>
        <v>1</v>
      </c>
      <c r="N103">
        <f>IF(K103&gt;0, K103, 0)</f>
        <v>508.75</v>
      </c>
      <c r="O103" s="17">
        <f t="shared" ref="O103" si="95">IF(K103&lt;0, K103, 0)</f>
        <v>0</v>
      </c>
      <c r="P103" s="86"/>
      <c r="Q103" s="78"/>
    </row>
    <row r="104" spans="1:19" ht="18" customHeight="1">
      <c r="A104" s="6">
        <v>46049</v>
      </c>
      <c r="B104" t="s">
        <v>879</v>
      </c>
      <c r="C104" s="9">
        <v>31</v>
      </c>
      <c r="D104">
        <v>129.4</v>
      </c>
      <c r="E104" s="29">
        <v>200</v>
      </c>
      <c r="F104" s="50">
        <v>124</v>
      </c>
      <c r="G104" s="21">
        <f t="shared" si="94"/>
        <v>14.074074074074058</v>
      </c>
      <c r="H104" s="6">
        <v>46072</v>
      </c>
      <c r="I104" s="29">
        <v>130</v>
      </c>
      <c r="J104" s="30">
        <f t="shared" ref="J104:J121" si="96">I104/D104 -1</f>
        <v>4.6367851622874934E-3</v>
      </c>
      <c r="K104" s="35">
        <f t="shared" ref="K104:K121" si="97">(C104*I104) - (C104*D104)</f>
        <v>18.599999999999909</v>
      </c>
      <c r="L104" s="21">
        <f t="shared" ref="L104:L121" si="98">H104-A104</f>
        <v>23</v>
      </c>
      <c r="M104" s="9">
        <f t="shared" ref="M104:M121" si="99">IF(J104&gt;0,1,0)</f>
        <v>1</v>
      </c>
      <c r="N104">
        <f t="shared" ref="N104:N121" si="100">IF(K104&gt;0, K104, 0)</f>
        <v>18.599999999999909</v>
      </c>
      <c r="O104" s="17">
        <f t="shared" ref="O104:O122" si="101">IF(K104&lt;0, K104, 0)</f>
        <v>0</v>
      </c>
      <c r="P104" s="86"/>
      <c r="Q104" s="78"/>
      <c r="R104" s="28">
        <v>1041.33</v>
      </c>
    </row>
    <row r="105" spans="1:19" ht="18" customHeight="1">
      <c r="A105" s="6">
        <v>46045</v>
      </c>
      <c r="B105" t="s">
        <v>508</v>
      </c>
      <c r="C105" s="9">
        <v>7</v>
      </c>
      <c r="D105">
        <v>662.76</v>
      </c>
      <c r="E105" s="29">
        <v>800</v>
      </c>
      <c r="F105" s="50">
        <v>600</v>
      </c>
      <c r="G105" s="21">
        <f t="shared" si="94"/>
        <v>3.1867431485022313</v>
      </c>
      <c r="H105" s="6">
        <v>46049</v>
      </c>
      <c r="I105" s="29">
        <v>675</v>
      </c>
      <c r="J105" s="30">
        <f t="shared" si="96"/>
        <v>1.846822379141777E-2</v>
      </c>
      <c r="K105" s="35">
        <f t="shared" si="97"/>
        <v>85.680000000000291</v>
      </c>
      <c r="L105" s="21">
        <f t="shared" si="98"/>
        <v>4</v>
      </c>
      <c r="M105" s="9">
        <f t="shared" si="99"/>
        <v>1</v>
      </c>
      <c r="N105">
        <f t="shared" si="100"/>
        <v>85.680000000000291</v>
      </c>
      <c r="O105" s="17">
        <f t="shared" si="101"/>
        <v>0</v>
      </c>
      <c r="P105" s="86"/>
      <c r="Q105" s="78"/>
      <c r="R105" s="28">
        <v>836.87</v>
      </c>
    </row>
    <row r="106" spans="1:19" ht="18" customHeight="1">
      <c r="A106" s="6">
        <v>46043</v>
      </c>
      <c r="B106" t="s">
        <v>938</v>
      </c>
      <c r="C106" s="9">
        <v>152</v>
      </c>
      <c r="D106">
        <v>5.79</v>
      </c>
      <c r="E106" s="29">
        <v>9</v>
      </c>
      <c r="F106" s="50">
        <v>5</v>
      </c>
      <c r="G106" s="21">
        <f t="shared" si="94"/>
        <v>5.0632911392405058</v>
      </c>
      <c r="H106" s="6">
        <v>46070</v>
      </c>
      <c r="I106" s="16">
        <v>4.25</v>
      </c>
      <c r="J106" s="25">
        <f t="shared" si="96"/>
        <v>-0.26597582037996548</v>
      </c>
      <c r="K106" s="36">
        <f t="shared" si="97"/>
        <v>-234.08000000000004</v>
      </c>
      <c r="L106" s="24">
        <f t="shared" si="98"/>
        <v>27</v>
      </c>
      <c r="M106" s="52">
        <f t="shared" si="99"/>
        <v>0</v>
      </c>
      <c r="N106" s="24">
        <f t="shared" si="100"/>
        <v>0</v>
      </c>
      <c r="O106" s="17">
        <f t="shared" si="101"/>
        <v>-234.08000000000004</v>
      </c>
      <c r="P106" s="86"/>
      <c r="Q106" s="78"/>
    </row>
    <row r="107" spans="1:19" ht="18" customHeight="1">
      <c r="A107" s="6">
        <v>46043</v>
      </c>
      <c r="B107" t="s">
        <v>937</v>
      </c>
      <c r="C107" s="9">
        <v>29</v>
      </c>
      <c r="D107">
        <v>31.52</v>
      </c>
      <c r="E107" s="29">
        <v>60</v>
      </c>
      <c r="F107" s="50">
        <v>28</v>
      </c>
      <c r="G107" s="21">
        <f t="shared" si="94"/>
        <v>9.0909090909090917</v>
      </c>
      <c r="H107" s="6">
        <v>46072</v>
      </c>
      <c r="I107" s="29">
        <v>32</v>
      </c>
      <c r="J107" s="30">
        <f t="shared" si="96"/>
        <v>1.5228426395939021E-2</v>
      </c>
      <c r="K107" s="35">
        <f t="shared" si="97"/>
        <v>13.919999999999959</v>
      </c>
      <c r="L107" s="21">
        <f t="shared" si="98"/>
        <v>29</v>
      </c>
      <c r="M107" s="9">
        <f t="shared" si="99"/>
        <v>1</v>
      </c>
      <c r="N107">
        <f t="shared" si="100"/>
        <v>13.919999999999959</v>
      </c>
      <c r="O107" s="17">
        <f t="shared" si="101"/>
        <v>0</v>
      </c>
      <c r="P107" s="86"/>
      <c r="Q107" s="78"/>
    </row>
    <row r="108" spans="1:19" ht="18" customHeight="1">
      <c r="A108" s="6">
        <v>46042</v>
      </c>
      <c r="B108" t="s">
        <v>348</v>
      </c>
      <c r="C108" s="9">
        <v>14</v>
      </c>
      <c r="D108">
        <v>71.3</v>
      </c>
      <c r="E108" s="29">
        <v>90</v>
      </c>
      <c r="F108" s="50">
        <v>60</v>
      </c>
      <c r="G108" s="21">
        <f t="shared" si="94"/>
        <v>2.6548672566371687</v>
      </c>
      <c r="H108" s="6">
        <v>46050</v>
      </c>
      <c r="I108" s="29">
        <v>72</v>
      </c>
      <c r="J108" s="30">
        <f t="shared" si="96"/>
        <v>9.817671809256634E-3</v>
      </c>
      <c r="K108" s="35">
        <f t="shared" si="97"/>
        <v>9.8000000000000682</v>
      </c>
      <c r="L108" s="21">
        <f t="shared" si="98"/>
        <v>8</v>
      </c>
      <c r="M108" s="9">
        <f t="shared" si="99"/>
        <v>1</v>
      </c>
      <c r="N108">
        <f t="shared" si="100"/>
        <v>9.8000000000000682</v>
      </c>
      <c r="O108" s="17">
        <f t="shared" si="101"/>
        <v>0</v>
      </c>
      <c r="P108" s="86"/>
      <c r="Q108" s="78"/>
      <c r="R108" s="28">
        <v>757.05</v>
      </c>
    </row>
    <row r="109" spans="1:19" ht="18" customHeight="1">
      <c r="A109" s="6">
        <v>46036</v>
      </c>
      <c r="B109" t="s">
        <v>19</v>
      </c>
      <c r="C109" s="9">
        <v>59</v>
      </c>
      <c r="D109">
        <v>20.45</v>
      </c>
      <c r="E109" s="29">
        <v>25</v>
      </c>
      <c r="F109" s="50">
        <v>17.5</v>
      </c>
      <c r="G109" s="21">
        <f t="shared" ref="G109:G121" si="102" xml:space="preserve"> (E109 - F109)/(D109-F109)</f>
        <v>2.542372881355933</v>
      </c>
      <c r="H109" s="6">
        <v>46049</v>
      </c>
      <c r="I109" s="29">
        <v>22</v>
      </c>
      <c r="J109" s="30">
        <f t="shared" si="96"/>
        <v>7.5794621026894937E-2</v>
      </c>
      <c r="K109" s="35">
        <f t="shared" si="97"/>
        <v>91.450000000000045</v>
      </c>
      <c r="L109" s="21">
        <f t="shared" si="98"/>
        <v>13</v>
      </c>
      <c r="M109" s="9">
        <f t="shared" si="99"/>
        <v>1</v>
      </c>
      <c r="N109">
        <f t="shared" si="100"/>
        <v>91.450000000000045</v>
      </c>
      <c r="O109" s="17">
        <f t="shared" si="101"/>
        <v>0</v>
      </c>
      <c r="P109" s="86"/>
      <c r="Q109" s="78"/>
      <c r="R109" s="28">
        <v>354.62</v>
      </c>
    </row>
    <row r="110" spans="1:19" ht="18" customHeight="1">
      <c r="A110" s="6">
        <v>46035</v>
      </c>
      <c r="B110" t="s">
        <v>937</v>
      </c>
      <c r="C110" s="9">
        <v>43</v>
      </c>
      <c r="D110">
        <v>28.28</v>
      </c>
      <c r="E110" s="29">
        <v>60</v>
      </c>
      <c r="F110" s="50">
        <v>28</v>
      </c>
      <c r="G110" s="21">
        <f t="shared" si="102"/>
        <v>114.28571428571382</v>
      </c>
      <c r="H110" s="6">
        <v>46042</v>
      </c>
      <c r="I110" s="29">
        <v>31.19</v>
      </c>
      <c r="J110" s="30">
        <f t="shared" si="96"/>
        <v>0.10289957567185293</v>
      </c>
      <c r="K110" s="35">
        <f t="shared" si="97"/>
        <v>125.13000000000011</v>
      </c>
      <c r="L110" s="21">
        <f t="shared" si="98"/>
        <v>7</v>
      </c>
      <c r="M110" s="9">
        <f t="shared" si="99"/>
        <v>1</v>
      </c>
      <c r="N110">
        <f t="shared" si="100"/>
        <v>125.13000000000011</v>
      </c>
      <c r="O110" s="17">
        <f t="shared" si="101"/>
        <v>0</v>
      </c>
      <c r="P110" s="86"/>
      <c r="Q110" s="78"/>
      <c r="R110" s="64">
        <v>784.62</v>
      </c>
    </row>
    <row r="111" spans="1:19" ht="18" customHeight="1">
      <c r="A111" s="6">
        <v>46035</v>
      </c>
      <c r="B111" t="s">
        <v>562</v>
      </c>
      <c r="C111" s="9">
        <v>13</v>
      </c>
      <c r="D111">
        <v>201</v>
      </c>
      <c r="E111" s="29">
        <v>250</v>
      </c>
      <c r="F111" s="50">
        <v>200</v>
      </c>
      <c r="G111" s="21">
        <f t="shared" si="102"/>
        <v>50</v>
      </c>
      <c r="H111" s="6">
        <v>46058</v>
      </c>
      <c r="I111" s="29">
        <v>215</v>
      </c>
      <c r="J111" s="30">
        <f t="shared" si="96"/>
        <v>6.9651741293532243E-2</v>
      </c>
      <c r="K111" s="35">
        <f t="shared" si="97"/>
        <v>182</v>
      </c>
      <c r="L111" s="21">
        <f t="shared" si="98"/>
        <v>23</v>
      </c>
      <c r="M111" s="9">
        <f t="shared" si="99"/>
        <v>1</v>
      </c>
      <c r="N111">
        <f t="shared" si="100"/>
        <v>182</v>
      </c>
      <c r="O111" s="17">
        <f t="shared" si="101"/>
        <v>0</v>
      </c>
      <c r="P111" s="86"/>
      <c r="Q111" s="78"/>
      <c r="R111" s="28">
        <v>509.86</v>
      </c>
    </row>
    <row r="112" spans="1:19" ht="18" customHeight="1">
      <c r="A112" s="6">
        <v>46034</v>
      </c>
      <c r="B112" t="s">
        <v>508</v>
      </c>
      <c r="C112" s="9">
        <v>7</v>
      </c>
      <c r="D112">
        <v>647.5</v>
      </c>
      <c r="E112" s="29">
        <v>800</v>
      </c>
      <c r="F112" s="50">
        <v>600</v>
      </c>
      <c r="G112" s="21">
        <f t="shared" si="102"/>
        <v>4.2105263157894735</v>
      </c>
      <c r="H112" s="6">
        <v>46045</v>
      </c>
      <c r="I112" s="29">
        <v>662.76</v>
      </c>
      <c r="J112" s="30">
        <f t="shared" si="96"/>
        <v>2.3567567567567504E-2</v>
      </c>
      <c r="K112" s="35">
        <f t="shared" si="97"/>
        <v>106.81999999999971</v>
      </c>
      <c r="L112" s="21">
        <f t="shared" si="98"/>
        <v>11</v>
      </c>
      <c r="M112" s="9">
        <f t="shared" si="99"/>
        <v>1</v>
      </c>
      <c r="N112">
        <f t="shared" si="100"/>
        <v>106.81999999999971</v>
      </c>
      <c r="O112" s="17">
        <f t="shared" si="101"/>
        <v>0</v>
      </c>
      <c r="P112" s="86"/>
      <c r="Q112" s="78"/>
      <c r="R112" s="28">
        <v>133.6</v>
      </c>
    </row>
    <row r="113" spans="1:18" ht="18" customHeight="1">
      <c r="A113" s="6">
        <v>46031</v>
      </c>
      <c r="B113" t="s">
        <v>311</v>
      </c>
      <c r="C113" s="9">
        <v>178</v>
      </c>
      <c r="D113">
        <v>4.63</v>
      </c>
      <c r="E113" s="29">
        <v>7</v>
      </c>
      <c r="F113" s="50">
        <v>4.3</v>
      </c>
      <c r="G113" s="21">
        <f t="shared" si="102"/>
        <v>8.1818181818181799</v>
      </c>
      <c r="H113" s="6">
        <v>46091</v>
      </c>
      <c r="I113" s="29">
        <v>5.5</v>
      </c>
      <c r="J113" s="30">
        <f t="shared" si="96"/>
        <v>0.1879049676025919</v>
      </c>
      <c r="K113" s="35">
        <f t="shared" si="97"/>
        <v>154.86000000000001</v>
      </c>
      <c r="L113" s="21">
        <f t="shared" si="98"/>
        <v>60</v>
      </c>
      <c r="M113" s="9">
        <f t="shared" si="99"/>
        <v>1</v>
      </c>
      <c r="N113">
        <f t="shared" si="100"/>
        <v>154.86000000000001</v>
      </c>
      <c r="O113" s="17">
        <f t="shared" si="101"/>
        <v>0</v>
      </c>
      <c r="P113" s="86"/>
      <c r="Q113" s="78"/>
    </row>
    <row r="114" spans="1:18" ht="18" customHeight="1">
      <c r="A114" s="6">
        <v>46031</v>
      </c>
      <c r="B114" s="22" t="s">
        <v>936</v>
      </c>
      <c r="C114" s="9">
        <v>100</v>
      </c>
      <c r="D114">
        <v>1.05</v>
      </c>
      <c r="E114" s="29">
        <v>5</v>
      </c>
      <c r="F114" s="50">
        <v>0.5</v>
      </c>
      <c r="G114" s="21">
        <f t="shared" si="102"/>
        <v>8.1818181818181817</v>
      </c>
      <c r="H114" s="6">
        <v>46042</v>
      </c>
      <c r="I114" s="29">
        <v>2.57</v>
      </c>
      <c r="J114" s="30">
        <f t="shared" si="96"/>
        <v>1.4476190476190474</v>
      </c>
      <c r="K114" s="35">
        <f t="shared" si="97"/>
        <v>152</v>
      </c>
      <c r="L114" s="21">
        <f t="shared" si="98"/>
        <v>11</v>
      </c>
      <c r="M114" s="9">
        <f t="shared" si="99"/>
        <v>1</v>
      </c>
      <c r="N114">
        <f t="shared" si="100"/>
        <v>152</v>
      </c>
      <c r="O114" s="17">
        <f t="shared" si="101"/>
        <v>0</v>
      </c>
      <c r="P114" s="86"/>
      <c r="Q114" s="78"/>
    </row>
    <row r="115" spans="1:18" ht="18" customHeight="1">
      <c r="A115" s="6">
        <v>46031</v>
      </c>
      <c r="B115" s="22" t="s">
        <v>936</v>
      </c>
      <c r="C115" s="9">
        <v>100</v>
      </c>
      <c r="D115">
        <v>1.05</v>
      </c>
      <c r="E115" s="29">
        <v>5</v>
      </c>
      <c r="F115" s="50">
        <v>0.5</v>
      </c>
      <c r="G115" s="21">
        <f t="shared" si="102"/>
        <v>8.1818181818181817</v>
      </c>
      <c r="H115" s="6">
        <v>46036</v>
      </c>
      <c r="I115" s="29">
        <v>2.2200000000000002</v>
      </c>
      <c r="J115" s="30">
        <f t="shared" si="96"/>
        <v>1.1142857142857143</v>
      </c>
      <c r="K115" s="35">
        <f t="shared" si="97"/>
        <v>117.00000000000003</v>
      </c>
      <c r="L115" s="21">
        <f t="shared" si="98"/>
        <v>5</v>
      </c>
      <c r="M115" s="9">
        <f t="shared" si="99"/>
        <v>1</v>
      </c>
      <c r="N115">
        <f t="shared" si="100"/>
        <v>117.00000000000003</v>
      </c>
      <c r="O115" s="17">
        <f t="shared" si="101"/>
        <v>0</v>
      </c>
      <c r="P115" s="86"/>
      <c r="Q115" s="78"/>
    </row>
    <row r="116" spans="1:18" ht="18" customHeight="1">
      <c r="A116" s="6">
        <v>46031</v>
      </c>
      <c r="B116" t="s">
        <v>633</v>
      </c>
      <c r="C116" s="9">
        <v>13</v>
      </c>
      <c r="D116">
        <v>65.680000000000007</v>
      </c>
      <c r="E116" s="29">
        <v>90</v>
      </c>
      <c r="F116" s="50">
        <v>60</v>
      </c>
      <c r="G116" s="21">
        <f t="shared" si="102"/>
        <v>5.2816901408450638</v>
      </c>
      <c r="H116" s="6">
        <v>46072</v>
      </c>
      <c r="I116" s="29">
        <v>69.75</v>
      </c>
      <c r="J116" s="30">
        <f t="shared" si="96"/>
        <v>6.196711327649207E-2</v>
      </c>
      <c r="K116" s="35">
        <f t="shared" si="97"/>
        <v>52.909999999999854</v>
      </c>
      <c r="L116" s="21">
        <f t="shared" si="98"/>
        <v>41</v>
      </c>
      <c r="M116" s="9">
        <f t="shared" si="99"/>
        <v>1</v>
      </c>
      <c r="N116">
        <f t="shared" si="100"/>
        <v>52.909999999999854</v>
      </c>
      <c r="O116" s="17">
        <f t="shared" si="101"/>
        <v>0</v>
      </c>
      <c r="P116" s="86"/>
      <c r="Q116" s="78"/>
      <c r="R116" s="28">
        <v>41.2</v>
      </c>
    </row>
    <row r="117" spans="1:18" ht="18" customHeight="1">
      <c r="A117" s="6">
        <v>46030</v>
      </c>
      <c r="B117" t="s">
        <v>126</v>
      </c>
      <c r="C117" s="9">
        <v>142</v>
      </c>
      <c r="D117">
        <v>9.57</v>
      </c>
      <c r="E117" s="29">
        <v>17</v>
      </c>
      <c r="F117" s="50">
        <v>9</v>
      </c>
      <c r="G117" s="21">
        <f t="shared" si="102"/>
        <v>14.035087719298238</v>
      </c>
      <c r="H117" s="6">
        <v>46066</v>
      </c>
      <c r="I117" s="29">
        <v>10.15</v>
      </c>
      <c r="J117" s="30">
        <f t="shared" si="96"/>
        <v>6.0606060606060552E-2</v>
      </c>
      <c r="K117" s="35">
        <f t="shared" si="97"/>
        <v>82.3599999999999</v>
      </c>
      <c r="L117" s="21">
        <f t="shared" si="98"/>
        <v>36</v>
      </c>
      <c r="M117" s="9">
        <f t="shared" si="99"/>
        <v>1</v>
      </c>
      <c r="N117">
        <f t="shared" si="100"/>
        <v>82.3599999999999</v>
      </c>
      <c r="O117" s="17">
        <f t="shared" si="101"/>
        <v>0</v>
      </c>
      <c r="P117" s="86"/>
      <c r="Q117" s="78"/>
      <c r="R117" s="28"/>
    </row>
    <row r="118" spans="1:18">
      <c r="A118" s="6">
        <v>46030</v>
      </c>
      <c r="B118" t="s">
        <v>126</v>
      </c>
      <c r="C118" s="9">
        <v>1</v>
      </c>
      <c r="D118">
        <v>9.57</v>
      </c>
      <c r="E118" s="29">
        <v>17</v>
      </c>
      <c r="F118" s="50">
        <v>9</v>
      </c>
      <c r="G118" s="21">
        <f t="shared" si="102"/>
        <v>14.035087719298238</v>
      </c>
      <c r="H118" s="6">
        <v>46048</v>
      </c>
      <c r="I118" s="29">
        <v>9.9</v>
      </c>
      <c r="J118" s="30">
        <f t="shared" si="96"/>
        <v>3.4482758620689724E-2</v>
      </c>
      <c r="K118" s="35">
        <f t="shared" si="97"/>
        <v>0.33000000000000007</v>
      </c>
      <c r="L118" s="21">
        <f t="shared" si="98"/>
        <v>18</v>
      </c>
      <c r="M118" s="9">
        <f t="shared" si="99"/>
        <v>1</v>
      </c>
      <c r="N118">
        <f t="shared" si="100"/>
        <v>0.33000000000000007</v>
      </c>
      <c r="O118" s="17">
        <f t="shared" si="101"/>
        <v>0</v>
      </c>
      <c r="P118" s="86"/>
      <c r="Q118" s="78"/>
    </row>
    <row r="119" spans="1:18">
      <c r="A119" s="6">
        <v>46030</v>
      </c>
      <c r="B119" t="s">
        <v>925</v>
      </c>
      <c r="C119" s="9">
        <v>40</v>
      </c>
      <c r="D119">
        <v>108.13</v>
      </c>
      <c r="E119" s="29">
        <v>150</v>
      </c>
      <c r="F119" s="50">
        <v>95</v>
      </c>
      <c r="G119" s="21">
        <f t="shared" si="102"/>
        <v>4.1888804265041903</v>
      </c>
      <c r="H119" s="6">
        <v>46052</v>
      </c>
      <c r="I119" s="29">
        <v>115.5</v>
      </c>
      <c r="J119" s="30">
        <f t="shared" si="96"/>
        <v>6.815869786368256E-2</v>
      </c>
      <c r="K119" s="35">
        <f t="shared" si="97"/>
        <v>294.80000000000018</v>
      </c>
      <c r="L119" s="21">
        <f t="shared" si="98"/>
        <v>22</v>
      </c>
      <c r="M119" s="9">
        <f t="shared" si="99"/>
        <v>1</v>
      </c>
      <c r="N119">
        <f t="shared" si="100"/>
        <v>294.80000000000018</v>
      </c>
      <c r="O119" s="17">
        <f t="shared" si="101"/>
        <v>0</v>
      </c>
      <c r="P119" s="86"/>
      <c r="Q119" s="78"/>
    </row>
    <row r="120" spans="1:18">
      <c r="A120" s="6">
        <v>46030</v>
      </c>
      <c r="B120" t="s">
        <v>129</v>
      </c>
      <c r="C120" s="9">
        <v>7</v>
      </c>
      <c r="D120">
        <v>923.8</v>
      </c>
      <c r="E120" s="29">
        <v>1000</v>
      </c>
      <c r="F120" s="50">
        <v>880</v>
      </c>
      <c r="G120" s="21">
        <f t="shared" si="102"/>
        <v>2.7397260273972632</v>
      </c>
      <c r="H120" s="6">
        <v>46034</v>
      </c>
      <c r="I120" s="29">
        <v>937</v>
      </c>
      <c r="J120" s="30">
        <f t="shared" si="96"/>
        <v>1.4288807101104251E-2</v>
      </c>
      <c r="K120" s="35">
        <f t="shared" si="97"/>
        <v>92.400000000000546</v>
      </c>
      <c r="L120" s="21">
        <f t="shared" si="98"/>
        <v>4</v>
      </c>
      <c r="M120" s="9">
        <f t="shared" si="99"/>
        <v>1</v>
      </c>
      <c r="N120">
        <f t="shared" si="100"/>
        <v>92.400000000000546</v>
      </c>
      <c r="O120" s="17">
        <f t="shared" si="101"/>
        <v>0</v>
      </c>
      <c r="P120" s="86"/>
      <c r="Q120" s="78"/>
    </row>
    <row r="121" spans="1:18">
      <c r="A121" s="6">
        <v>46030</v>
      </c>
      <c r="B121" s="61" t="s">
        <v>922</v>
      </c>
      <c r="C121" s="9">
        <v>6</v>
      </c>
      <c r="D121">
        <v>440.04</v>
      </c>
      <c r="E121" s="29">
        <v>550</v>
      </c>
      <c r="F121" s="50">
        <v>400</v>
      </c>
      <c r="G121" s="21">
        <f t="shared" si="102"/>
        <v>3.7462537462537444</v>
      </c>
      <c r="H121" s="6">
        <v>46035</v>
      </c>
      <c r="I121" s="29">
        <v>490</v>
      </c>
      <c r="J121" s="30">
        <f t="shared" si="96"/>
        <v>0.11353513316971187</v>
      </c>
      <c r="K121" s="35">
        <f t="shared" si="97"/>
        <v>299.75999999999976</v>
      </c>
      <c r="L121" s="21">
        <f t="shared" si="98"/>
        <v>5</v>
      </c>
      <c r="M121" s="9">
        <f t="shared" si="99"/>
        <v>1</v>
      </c>
      <c r="N121">
        <f t="shared" si="100"/>
        <v>299.75999999999976</v>
      </c>
      <c r="O121" s="17">
        <f t="shared" si="101"/>
        <v>0</v>
      </c>
      <c r="P121" s="86"/>
      <c r="Q121" s="78"/>
      <c r="R121" s="64">
        <v>608.79999999999995</v>
      </c>
    </row>
    <row r="122" spans="1:18">
      <c r="A122" s="6">
        <v>46027</v>
      </c>
      <c r="B122" t="s">
        <v>94</v>
      </c>
      <c r="C122" s="9">
        <v>6</v>
      </c>
      <c r="D122">
        <v>267</v>
      </c>
      <c r="E122" s="29">
        <v>300</v>
      </c>
      <c r="F122" s="50">
        <v>260</v>
      </c>
      <c r="G122" s="21">
        <f t="shared" ref="G122:G145" si="103" xml:space="preserve"> (E122 - F122)/(D122-F122)</f>
        <v>5.7142857142857144</v>
      </c>
      <c r="H122" s="6">
        <v>46147</v>
      </c>
      <c r="I122" s="29">
        <v>284.39999999999998</v>
      </c>
      <c r="J122" s="30">
        <f>I122/D122 -1</f>
        <v>6.5168539325842545E-2</v>
      </c>
      <c r="K122" s="35">
        <f>(C122*I122) - (C122*D122)</f>
        <v>104.39999999999986</v>
      </c>
      <c r="L122" s="21">
        <f>H122-A122</f>
        <v>120</v>
      </c>
      <c r="M122" s="9">
        <f>IF(J122&gt;0,1,0)</f>
        <v>1</v>
      </c>
      <c r="N122">
        <f>IF(K122&gt;0, K122, 0)</f>
        <v>104.39999999999986</v>
      </c>
      <c r="O122" s="17">
        <f t="shared" si="101"/>
        <v>0</v>
      </c>
      <c r="P122" s="86"/>
      <c r="Q122" s="78"/>
      <c r="R122" s="28">
        <v>197.1</v>
      </c>
    </row>
    <row r="123" spans="1:18">
      <c r="A123" s="6">
        <v>46022</v>
      </c>
      <c r="B123" t="s">
        <v>826</v>
      </c>
      <c r="C123" s="9">
        <v>8</v>
      </c>
      <c r="D123">
        <v>162</v>
      </c>
      <c r="E123" s="29">
        <v>200</v>
      </c>
      <c r="F123" s="50">
        <v>150</v>
      </c>
      <c r="G123" s="21">
        <f t="shared" si="103"/>
        <v>4.166666666666667</v>
      </c>
      <c r="H123" s="6">
        <v>46050</v>
      </c>
      <c r="I123" s="29">
        <v>166</v>
      </c>
      <c r="J123" s="30">
        <f>I123/D123 -1</f>
        <v>2.4691358024691468E-2</v>
      </c>
      <c r="K123" s="35">
        <f>(C123*I123) - (C123*D123)</f>
        <v>32</v>
      </c>
      <c r="L123" s="21">
        <f>H123-A123</f>
        <v>28</v>
      </c>
      <c r="M123" s="9">
        <f>IF(J123&gt;0,1,0)</f>
        <v>1</v>
      </c>
      <c r="N123">
        <f>IF(K123&gt;0, K123, 0)</f>
        <v>32</v>
      </c>
      <c r="O123" s="17">
        <f>IF(K123&lt;0, K123, 0)</f>
        <v>0</v>
      </c>
      <c r="P123" s="86"/>
      <c r="Q123" s="78"/>
    </row>
    <row r="124" spans="1:18">
      <c r="A124" s="6">
        <v>46021</v>
      </c>
      <c r="B124" t="s">
        <v>925</v>
      </c>
      <c r="C124" s="9">
        <v>38</v>
      </c>
      <c r="D124">
        <v>105.4</v>
      </c>
      <c r="E124" s="29">
        <v>150</v>
      </c>
      <c r="F124" s="50">
        <v>95</v>
      </c>
      <c r="G124" s="21">
        <f t="shared" si="103"/>
        <v>5.2884615384615357</v>
      </c>
      <c r="H124" s="6">
        <v>46030</v>
      </c>
      <c r="I124" s="29">
        <v>108.52</v>
      </c>
      <c r="J124" s="30">
        <f>I124/D124 -1</f>
        <v>2.960151802656541E-2</v>
      </c>
      <c r="K124" s="35">
        <f>(C124*I124) - (C124*D124)</f>
        <v>118.55999999999995</v>
      </c>
      <c r="L124" s="21">
        <f>H124-A124</f>
        <v>9</v>
      </c>
      <c r="M124" s="9">
        <f>IF(J124&gt;0,1,0)</f>
        <v>1</v>
      </c>
      <c r="N124">
        <f>IF(K124&gt;0, K124, 0)</f>
        <v>118.55999999999995</v>
      </c>
      <c r="O124" s="17">
        <f>IF(K124&lt;0, K124, 0)</f>
        <v>0</v>
      </c>
      <c r="P124" s="86"/>
      <c r="Q124" s="78"/>
    </row>
    <row r="125" spans="1:18">
      <c r="A125" s="6">
        <v>46021</v>
      </c>
      <c r="B125" t="s">
        <v>528</v>
      </c>
      <c r="C125" s="9">
        <v>28</v>
      </c>
      <c r="D125">
        <v>188</v>
      </c>
      <c r="E125" s="29">
        <v>205</v>
      </c>
      <c r="F125" s="50">
        <v>175</v>
      </c>
      <c r="G125" s="21">
        <f t="shared" si="103"/>
        <v>2.3076923076923075</v>
      </c>
      <c r="H125" s="6">
        <v>46052</v>
      </c>
      <c r="I125" s="29">
        <v>193.12</v>
      </c>
      <c r="J125" s="30">
        <f>I125/D125 -1</f>
        <v>2.7234042553191617E-2</v>
      </c>
      <c r="K125" s="35">
        <f>(C125*I125) - (C125*D125)</f>
        <v>143.36000000000058</v>
      </c>
      <c r="L125" s="21">
        <f>H125-A125</f>
        <v>31</v>
      </c>
      <c r="M125" s="9">
        <f>IF(J125&gt;0,1,0)</f>
        <v>1</v>
      </c>
      <c r="N125">
        <f>IF(K125&gt;0, K125, 0)</f>
        <v>143.36000000000058</v>
      </c>
      <c r="O125" s="17">
        <f>IF(K125&lt;0, K125, 0)</f>
        <v>0</v>
      </c>
      <c r="P125" s="86"/>
      <c r="Q125" s="78"/>
    </row>
    <row r="126" spans="1:18">
      <c r="A126" s="6">
        <v>46020</v>
      </c>
      <c r="B126" t="s">
        <v>629</v>
      </c>
      <c r="C126" s="9">
        <v>219</v>
      </c>
      <c r="D126">
        <v>6.6</v>
      </c>
      <c r="E126" s="29">
        <v>10</v>
      </c>
      <c r="F126" s="50">
        <v>5.5</v>
      </c>
      <c r="G126" s="21">
        <f t="shared" si="103"/>
        <v>4.0909090909090926</v>
      </c>
      <c r="H126" s="6">
        <v>46027</v>
      </c>
      <c r="I126" s="29">
        <v>7.5</v>
      </c>
      <c r="J126" s="30">
        <f>I126/D126 -1</f>
        <v>0.13636363636363646</v>
      </c>
      <c r="K126" s="35">
        <f>(C126*I126) - (C126*D126)</f>
        <v>197.10000000000014</v>
      </c>
      <c r="L126" s="21">
        <f>H126-A126</f>
        <v>7</v>
      </c>
      <c r="M126" s="9">
        <f>IF(J126&gt;0,1,0)</f>
        <v>1</v>
      </c>
      <c r="N126">
        <f>IF(K126&gt;0, K126, 0)</f>
        <v>197.10000000000014</v>
      </c>
      <c r="O126" s="17">
        <f>IF(K126&lt;0, K126, 0)</f>
        <v>0</v>
      </c>
      <c r="P126" s="86"/>
      <c r="Q126" s="78"/>
      <c r="R126" s="28"/>
    </row>
    <row r="127" spans="1:18">
      <c r="A127" s="6">
        <v>46014</v>
      </c>
      <c r="B127" t="s">
        <v>426</v>
      </c>
      <c r="C127" s="9">
        <v>9</v>
      </c>
      <c r="D127">
        <v>487</v>
      </c>
      <c r="E127" s="29">
        <v>550</v>
      </c>
      <c r="F127" s="50">
        <v>470</v>
      </c>
      <c r="G127" s="21">
        <f t="shared" si="103"/>
        <v>4.7058823529411766</v>
      </c>
      <c r="J127" s="30"/>
      <c r="K127" s="35"/>
      <c r="L127" s="37"/>
      <c r="M127" s="58"/>
      <c r="N127" s="38"/>
      <c r="O127" s="85"/>
      <c r="P127" s="86"/>
      <c r="Q127" s="78"/>
      <c r="R127" s="28"/>
    </row>
    <row r="128" spans="1:18">
      <c r="A128" s="6">
        <v>46013</v>
      </c>
      <c r="B128" t="s">
        <v>565</v>
      </c>
      <c r="C128" s="9">
        <v>170</v>
      </c>
      <c r="D128">
        <v>5.65</v>
      </c>
      <c r="E128" s="29">
        <v>6</v>
      </c>
      <c r="F128" s="50">
        <v>5.3</v>
      </c>
      <c r="G128" s="21">
        <f t="shared" si="103"/>
        <v>1.9999999999999976</v>
      </c>
      <c r="H128" s="6">
        <v>46035</v>
      </c>
      <c r="I128" s="29">
        <v>6.1</v>
      </c>
      <c r="J128" s="30">
        <f>I128/D128 -1</f>
        <v>7.9646017699114946E-2</v>
      </c>
      <c r="K128" s="35">
        <f>(C128*I128) - (C128*D128)</f>
        <v>76.499999999999886</v>
      </c>
      <c r="L128" s="21">
        <f>H128-A128</f>
        <v>22</v>
      </c>
      <c r="M128" s="9">
        <f>IF(J128&gt;0,1,0)</f>
        <v>1</v>
      </c>
      <c r="N128">
        <f>IF(K128&gt;0, K128, 0)</f>
        <v>76.499999999999886</v>
      </c>
      <c r="O128" s="17">
        <f>IF(K128&lt;0, K128, 0)</f>
        <v>0</v>
      </c>
      <c r="P128" s="86"/>
      <c r="Q128" s="78"/>
    </row>
    <row r="129" spans="1:19">
      <c r="A129" s="6">
        <v>46013</v>
      </c>
      <c r="B129" s="61" t="s">
        <v>830</v>
      </c>
      <c r="C129" s="9">
        <v>5</v>
      </c>
      <c r="D129">
        <v>253.38</v>
      </c>
      <c r="E129" s="29">
        <v>325</v>
      </c>
      <c r="F129" s="50">
        <v>230</v>
      </c>
      <c r="G129" s="21">
        <f t="shared" si="103"/>
        <v>4.0633019674935849</v>
      </c>
      <c r="H129" s="6">
        <v>46062</v>
      </c>
      <c r="I129" s="29">
        <v>258</v>
      </c>
      <c r="J129" s="30">
        <f>I129/D129 -1</f>
        <v>1.8233483305706955E-2</v>
      </c>
      <c r="K129" s="35">
        <f>(C129*I129) - (C129*D129)</f>
        <v>23.099999999999909</v>
      </c>
      <c r="L129" s="21">
        <f>H129-A129</f>
        <v>49</v>
      </c>
      <c r="M129" s="9">
        <f>IF(J129&gt;0,1,0)</f>
        <v>1</v>
      </c>
      <c r="N129">
        <f>IF(K129&gt;0, K129, 0)</f>
        <v>23.099999999999909</v>
      </c>
      <c r="O129" s="17">
        <f>IF(K129&lt;0, K129, 0)</f>
        <v>0</v>
      </c>
      <c r="P129" s="86"/>
      <c r="Q129" s="78"/>
      <c r="R129" s="28"/>
    </row>
    <row r="130" spans="1:19">
      <c r="A130" s="6">
        <v>46010</v>
      </c>
      <c r="B130" t="s">
        <v>235</v>
      </c>
      <c r="C130" s="9">
        <v>3</v>
      </c>
      <c r="D130">
        <v>337.4</v>
      </c>
      <c r="E130" s="29">
        <v>400</v>
      </c>
      <c r="F130" s="50">
        <v>320</v>
      </c>
      <c r="G130" s="21">
        <f t="shared" si="103"/>
        <v>4.5977011494252933</v>
      </c>
      <c r="H130" s="6">
        <v>46031</v>
      </c>
      <c r="I130" s="29">
        <v>340</v>
      </c>
      <c r="J130" s="30">
        <f>I130/D130 -1</f>
        <v>7.7059869590989649E-3</v>
      </c>
      <c r="K130" s="35">
        <f>(C130*I130) - (C130*D130)</f>
        <v>7.8000000000000682</v>
      </c>
      <c r="L130" s="21">
        <f>H130-A130</f>
        <v>21</v>
      </c>
      <c r="M130" s="9">
        <f>IF(J130&gt;0,1,0)</f>
        <v>1</v>
      </c>
      <c r="N130">
        <f>IF(K130&gt;0, K130, 0)</f>
        <v>7.8000000000000682</v>
      </c>
      <c r="O130" s="17">
        <f>IF(K130&lt;0, K130, 0)</f>
        <v>0</v>
      </c>
      <c r="P130" s="86"/>
      <c r="Q130" s="78"/>
      <c r="R130" s="28"/>
    </row>
    <row r="131" spans="1:19">
      <c r="A131" s="6">
        <v>46008</v>
      </c>
      <c r="B131" t="s">
        <v>75</v>
      </c>
      <c r="C131" s="9">
        <v>52</v>
      </c>
      <c r="D131">
        <v>19.899999999999999</v>
      </c>
      <c r="E131" s="29">
        <v>25</v>
      </c>
      <c r="F131" s="50">
        <v>17</v>
      </c>
      <c r="G131" s="21">
        <f t="shared" si="103"/>
        <v>2.7586206896551739</v>
      </c>
      <c r="J131" s="30"/>
      <c r="K131" s="35"/>
      <c r="L131" s="37"/>
      <c r="M131" s="58"/>
      <c r="N131" s="38"/>
      <c r="O131" s="85"/>
      <c r="P131" s="86"/>
      <c r="Q131" s="78"/>
    </row>
    <row r="132" spans="1:19">
      <c r="A132" s="6">
        <v>46008</v>
      </c>
      <c r="B132" t="s">
        <v>19</v>
      </c>
      <c r="C132" s="9">
        <v>58</v>
      </c>
      <c r="D132">
        <v>17.78</v>
      </c>
      <c r="E132" s="29">
        <v>20</v>
      </c>
      <c r="F132" s="50">
        <v>16</v>
      </c>
      <c r="G132" s="21">
        <f t="shared" si="103"/>
        <v>2.2471910112359534</v>
      </c>
      <c r="H132" s="6">
        <v>46036</v>
      </c>
      <c r="I132" s="29">
        <v>20.5</v>
      </c>
      <c r="J132" s="30">
        <f>I132/D132 -1</f>
        <v>0.15298087739032606</v>
      </c>
      <c r="K132" s="35">
        <f>(C132*I132) - (C132*D132)</f>
        <v>157.76</v>
      </c>
      <c r="L132" s="21">
        <f>H132-A132</f>
        <v>28</v>
      </c>
      <c r="M132" s="9">
        <f>IF(J132&gt;0,1,0)</f>
        <v>1</v>
      </c>
      <c r="N132">
        <f>IF(K132&gt;0, K132, 0)</f>
        <v>157.76</v>
      </c>
      <c r="O132" s="17">
        <f>IF(K132&lt;0, K132, 0)</f>
        <v>0</v>
      </c>
      <c r="P132" s="86"/>
      <c r="Q132" s="78"/>
    </row>
    <row r="133" spans="1:19">
      <c r="A133" s="6">
        <v>46008</v>
      </c>
      <c r="B133" s="61" t="s">
        <v>699</v>
      </c>
      <c r="C133" s="9">
        <v>14</v>
      </c>
      <c r="D133">
        <v>89.05</v>
      </c>
      <c r="E133" s="29">
        <v>100</v>
      </c>
      <c r="F133" s="50">
        <v>86</v>
      </c>
      <c r="G133" s="21">
        <f t="shared" si="103"/>
        <v>4.5901639344262337</v>
      </c>
      <c r="H133" s="6">
        <v>46059</v>
      </c>
      <c r="I133" s="29">
        <v>92</v>
      </c>
      <c r="J133" s="30">
        <f>I133/D133 -1</f>
        <v>3.3127456485120721E-2</v>
      </c>
      <c r="K133" s="35">
        <f>(C133*I133) - (C133*D133)</f>
        <v>41.299999999999955</v>
      </c>
      <c r="L133" s="21">
        <f>H133-A133</f>
        <v>51</v>
      </c>
      <c r="M133" s="9">
        <f>IF(J133&gt;0,1,0)</f>
        <v>1</v>
      </c>
      <c r="N133">
        <f>IF(K133&gt;0, K133, 0)</f>
        <v>41.299999999999955</v>
      </c>
      <c r="O133" s="17">
        <f>IF(K133&lt;0, K133, 0)</f>
        <v>0</v>
      </c>
      <c r="P133" s="86"/>
      <c r="Q133" s="78"/>
      <c r="R133" s="28"/>
    </row>
    <row r="134" spans="1:19">
      <c r="A134" s="6">
        <v>46000</v>
      </c>
      <c r="B134" t="s">
        <v>68</v>
      </c>
      <c r="C134" s="9">
        <v>7</v>
      </c>
      <c r="D134">
        <v>169.8</v>
      </c>
      <c r="E134" s="29">
        <v>180</v>
      </c>
      <c r="F134" s="50">
        <v>160</v>
      </c>
      <c r="G134" s="21">
        <f t="shared" si="103"/>
        <v>2.0408163265306101</v>
      </c>
      <c r="H134" s="6">
        <v>46072</v>
      </c>
      <c r="I134" s="29">
        <v>174.5</v>
      </c>
      <c r="J134" s="30">
        <f>I134/D134 -1</f>
        <v>2.7679623085983485E-2</v>
      </c>
      <c r="K134" s="35">
        <f>(C134*I134) - (C134*D134)</f>
        <v>32.899999999999864</v>
      </c>
      <c r="L134" s="21">
        <f>H134-A134</f>
        <v>72</v>
      </c>
      <c r="M134" s="9">
        <f>IF(J134&gt;0,1,0)</f>
        <v>1</v>
      </c>
      <c r="N134">
        <f>IF(K134&gt;0, K134, 0)</f>
        <v>32.899999999999864</v>
      </c>
      <c r="O134" s="17">
        <f>IF(K134&lt;0, K134, 0)</f>
        <v>0</v>
      </c>
      <c r="P134" s="86"/>
      <c r="Q134" s="78"/>
      <c r="R134" s="28"/>
    </row>
    <row r="135" spans="1:19">
      <c r="A135" s="6">
        <v>46000</v>
      </c>
      <c r="B135" t="s">
        <v>24</v>
      </c>
      <c r="C135" s="9">
        <v>3</v>
      </c>
      <c r="D135">
        <v>359.7</v>
      </c>
      <c r="E135" s="29">
        <v>400</v>
      </c>
      <c r="F135" s="50">
        <v>330</v>
      </c>
      <c r="G135" s="21">
        <f t="shared" si="103"/>
        <v>2.3569023569023577</v>
      </c>
      <c r="J135" s="30"/>
      <c r="K135" s="35"/>
      <c r="L135" s="37"/>
      <c r="M135" s="58"/>
      <c r="N135" s="38"/>
      <c r="O135" s="85"/>
      <c r="P135" s="86"/>
      <c r="Q135" s="78"/>
      <c r="R135" s="28"/>
    </row>
    <row r="136" spans="1:19">
      <c r="A136" s="6">
        <v>45999</v>
      </c>
      <c r="B136" t="s">
        <v>348</v>
      </c>
      <c r="C136" s="9">
        <v>14</v>
      </c>
      <c r="D136">
        <v>62.4</v>
      </c>
      <c r="E136" s="29">
        <v>90</v>
      </c>
      <c r="F136" s="50">
        <v>60</v>
      </c>
      <c r="G136" s="21">
        <f t="shared" si="103"/>
        <v>12.500000000000007</v>
      </c>
      <c r="H136" s="6">
        <v>46042</v>
      </c>
      <c r="I136" s="29">
        <v>71.349999999999994</v>
      </c>
      <c r="J136" s="30">
        <f>I136/D136 -1</f>
        <v>0.14342948717948723</v>
      </c>
      <c r="K136" s="35">
        <f>(C136*I136) - (C136*D136)</f>
        <v>125.29999999999984</v>
      </c>
      <c r="L136" s="21">
        <f>H136-A136</f>
        <v>43</v>
      </c>
      <c r="M136" s="9">
        <f>IF(J136&gt;0,1,0)</f>
        <v>1</v>
      </c>
      <c r="N136">
        <f>IF(K136&gt;0, K136, 0)</f>
        <v>125.29999999999984</v>
      </c>
      <c r="O136" s="17">
        <f>IF(K136&lt;0, K136, 0)</f>
        <v>0</v>
      </c>
      <c r="P136" s="86"/>
      <c r="Q136" s="78"/>
    </row>
    <row r="137" spans="1:19">
      <c r="A137" s="6">
        <v>45996</v>
      </c>
      <c r="B137" t="s">
        <v>930</v>
      </c>
      <c r="C137" s="9">
        <v>4</v>
      </c>
      <c r="D137">
        <v>320.99</v>
      </c>
      <c r="E137" s="29">
        <v>350</v>
      </c>
      <c r="F137" s="50">
        <v>300</v>
      </c>
      <c r="G137" s="21">
        <f t="shared" si="103"/>
        <v>2.3820867079561685</v>
      </c>
      <c r="H137" s="6">
        <v>46141</v>
      </c>
      <c r="I137" s="29">
        <v>351.25</v>
      </c>
      <c r="J137" s="30">
        <f>I137/D137 -1</f>
        <v>9.4270849559176195E-2</v>
      </c>
      <c r="K137" s="35">
        <f>(C137*I137) - (C137*D137)</f>
        <v>121.03999999999996</v>
      </c>
      <c r="L137" s="21">
        <f>H137-A137</f>
        <v>145</v>
      </c>
      <c r="M137" s="9">
        <f>IF(J137&gt;0,1,0)</f>
        <v>1</v>
      </c>
      <c r="N137">
        <f>IF(K137&gt;0, K137, 0)</f>
        <v>121.03999999999996</v>
      </c>
      <c r="O137" s="17">
        <f t="shared" ref="O137" si="104">IF(K137&lt;0, K137, 0)</f>
        <v>0</v>
      </c>
      <c r="P137" s="86"/>
      <c r="Q137" s="78"/>
      <c r="R137" s="28"/>
    </row>
    <row r="138" spans="1:19">
      <c r="A138" s="6">
        <v>45995</v>
      </c>
      <c r="B138" t="s">
        <v>129</v>
      </c>
      <c r="C138" s="9">
        <v>7</v>
      </c>
      <c r="D138">
        <v>890.98</v>
      </c>
      <c r="E138" s="29">
        <v>1000</v>
      </c>
      <c r="F138" s="50">
        <v>880</v>
      </c>
      <c r="G138" s="21">
        <f t="shared" si="103"/>
        <v>10.928961748633862</v>
      </c>
      <c r="H138" s="6">
        <v>46030</v>
      </c>
      <c r="I138" s="29">
        <v>924</v>
      </c>
      <c r="J138" s="30">
        <f>I138/D138 -1</f>
        <v>3.7060315607533312E-2</v>
      </c>
      <c r="K138" s="35">
        <f>(C138*I138) - (C138*D138)</f>
        <v>231.13999999999942</v>
      </c>
      <c r="L138" s="21">
        <f>H138-A138</f>
        <v>35</v>
      </c>
      <c r="M138" s="9">
        <f>IF(J138&gt;0,1,0)</f>
        <v>1</v>
      </c>
      <c r="N138">
        <f>IF(K138&gt;0, K138, 0)</f>
        <v>231.13999999999942</v>
      </c>
      <c r="O138" s="17">
        <f>IF(K138&lt;0, K138, 0)</f>
        <v>0</v>
      </c>
      <c r="P138" s="86"/>
      <c r="Q138" s="78"/>
    </row>
    <row r="139" spans="1:19">
      <c r="A139" s="6">
        <v>45987</v>
      </c>
      <c r="B139" s="61" t="s">
        <v>346</v>
      </c>
      <c r="C139" s="9">
        <v>48</v>
      </c>
      <c r="D139">
        <v>105.15</v>
      </c>
      <c r="E139" s="29">
        <v>130</v>
      </c>
      <c r="F139" s="50">
        <v>100</v>
      </c>
      <c r="G139" s="21">
        <f t="shared" si="103"/>
        <v>5.8252427184465958</v>
      </c>
      <c r="J139" s="30"/>
      <c r="K139" s="35"/>
      <c r="L139" s="37"/>
      <c r="M139" s="58"/>
      <c r="N139" s="38"/>
      <c r="O139" s="85"/>
      <c r="P139" s="86"/>
      <c r="Q139" s="78"/>
      <c r="R139" s="28"/>
      <c r="S139" s="16"/>
    </row>
    <row r="140" spans="1:19">
      <c r="A140" s="6">
        <v>45982</v>
      </c>
      <c r="B140" t="s">
        <v>316</v>
      </c>
      <c r="C140" s="9">
        <v>71</v>
      </c>
      <c r="D140">
        <v>104.44</v>
      </c>
      <c r="E140" s="29">
        <v>130</v>
      </c>
      <c r="F140" s="50">
        <v>100</v>
      </c>
      <c r="G140" s="21">
        <f t="shared" si="103"/>
        <v>6.7567567567567606</v>
      </c>
      <c r="I140" t="s">
        <v>933</v>
      </c>
      <c r="J140" s="30"/>
      <c r="K140" s="35"/>
      <c r="L140" s="37"/>
      <c r="M140" s="58"/>
      <c r="N140" s="38"/>
      <c r="O140" s="85"/>
      <c r="P140" s="86"/>
      <c r="Q140" s="78"/>
    </row>
    <row r="141" spans="1:19">
      <c r="A141" s="6">
        <v>45975</v>
      </c>
      <c r="B141" t="s">
        <v>886</v>
      </c>
      <c r="C141" s="9">
        <v>39</v>
      </c>
      <c r="D141">
        <v>28.78</v>
      </c>
      <c r="E141" s="29">
        <v>40</v>
      </c>
      <c r="F141" s="50">
        <v>25</v>
      </c>
      <c r="G141" s="21">
        <f t="shared" si="103"/>
        <v>3.968253968253967</v>
      </c>
      <c r="J141" s="30"/>
      <c r="K141" s="35"/>
      <c r="L141" s="37"/>
      <c r="M141" s="58"/>
      <c r="N141" s="38"/>
      <c r="O141" s="85"/>
      <c r="P141" s="86"/>
      <c r="Q141" s="78"/>
    </row>
    <row r="142" spans="1:19">
      <c r="A142" s="6">
        <v>45959</v>
      </c>
      <c r="B142" t="s">
        <v>848</v>
      </c>
      <c r="C142" s="9">
        <v>5</v>
      </c>
      <c r="D142">
        <v>260.10000000000002</v>
      </c>
      <c r="E142" s="29">
        <v>350</v>
      </c>
      <c r="F142" s="50">
        <v>250</v>
      </c>
      <c r="G142" s="21">
        <f t="shared" si="103"/>
        <v>9.9009900990098796</v>
      </c>
      <c r="H142" s="6">
        <v>46030</v>
      </c>
      <c r="I142" s="29">
        <v>272.5</v>
      </c>
      <c r="J142" s="30">
        <f>I142/D142 -1</f>
        <v>4.7673971549403893E-2</v>
      </c>
      <c r="K142" s="35">
        <f>(C142*I142) - (C142*D142)</f>
        <v>62</v>
      </c>
      <c r="L142" s="21">
        <f>H142-A142</f>
        <v>71</v>
      </c>
      <c r="M142" s="9">
        <f>IF(J142&gt;0,1,0)</f>
        <v>1</v>
      </c>
      <c r="N142">
        <f>IF(K142&gt;0, K142, 0)</f>
        <v>62</v>
      </c>
      <c r="O142" s="17">
        <f>IF(K142&lt;0, K142, 0)</f>
        <v>0</v>
      </c>
      <c r="P142" s="86"/>
      <c r="Q142" s="78"/>
      <c r="R142" s="29"/>
      <c r="S142" s="16"/>
    </row>
    <row r="143" spans="1:19">
      <c r="A143" s="6">
        <v>45938</v>
      </c>
      <c r="B143" t="s">
        <v>733</v>
      </c>
      <c r="C143" s="9">
        <v>30</v>
      </c>
      <c r="D143">
        <v>159.49</v>
      </c>
      <c r="E143" s="29">
        <v>180</v>
      </c>
      <c r="F143" s="75">
        <v>140</v>
      </c>
      <c r="G143" s="21">
        <f t="shared" si="103"/>
        <v>2.052334530528475</v>
      </c>
      <c r="H143" s="6">
        <v>46101</v>
      </c>
      <c r="I143" s="29">
        <v>169.9</v>
      </c>
      <c r="J143" s="30">
        <f>I143/D143 -1</f>
        <v>6.5270549877735284E-2</v>
      </c>
      <c r="K143" s="35">
        <f>(C143*I143) - (C143*D143)</f>
        <v>312.29999999999927</v>
      </c>
      <c r="L143" s="21">
        <f>H143-A143</f>
        <v>163</v>
      </c>
      <c r="M143" s="9">
        <f>IF(J143&gt;0,1,0)</f>
        <v>1</v>
      </c>
      <c r="N143">
        <f>IF(K143&gt;0, K143, 0)</f>
        <v>312.29999999999927</v>
      </c>
      <c r="O143" s="17">
        <f>IF(K143&lt;0, K143, 0)</f>
        <v>0</v>
      </c>
      <c r="P143" s="86"/>
      <c r="Q143" s="78"/>
      <c r="R143" s="28"/>
    </row>
    <row r="144" spans="1:19">
      <c r="A144" s="6">
        <v>45936</v>
      </c>
      <c r="B144" t="s">
        <v>899</v>
      </c>
      <c r="C144" s="9">
        <v>435</v>
      </c>
      <c r="D144">
        <v>5.14</v>
      </c>
      <c r="E144" s="29">
        <v>7.5</v>
      </c>
      <c r="F144" s="50">
        <v>4.3499999999999996</v>
      </c>
      <c r="G144" s="21">
        <f t="shared" si="103"/>
        <v>3.9873417721518991</v>
      </c>
      <c r="J144" s="30"/>
      <c r="K144" s="35"/>
      <c r="L144" s="37"/>
      <c r="M144" s="58"/>
      <c r="N144" s="38"/>
      <c r="O144" s="85"/>
      <c r="P144" s="86"/>
      <c r="Q144" s="78"/>
    </row>
    <row r="145" spans="1:19">
      <c r="A145" s="6">
        <v>45932</v>
      </c>
      <c r="B145" t="s">
        <v>639</v>
      </c>
      <c r="C145" s="9">
        <v>28</v>
      </c>
      <c r="D145">
        <v>51.05</v>
      </c>
      <c r="E145" s="29">
        <v>60</v>
      </c>
      <c r="F145" s="50">
        <v>40</v>
      </c>
      <c r="G145" s="21">
        <f t="shared" si="103"/>
        <v>1.8099547511312222</v>
      </c>
      <c r="H145" s="6">
        <v>46031</v>
      </c>
      <c r="I145" s="16">
        <v>30.5</v>
      </c>
      <c r="J145" s="25">
        <f>I145/D145 -1</f>
        <v>-0.40254652301665028</v>
      </c>
      <c r="K145" s="36">
        <f>(C145*I145) - (C145*D145)</f>
        <v>-575.39999999999986</v>
      </c>
      <c r="L145" s="24">
        <f>H145-A145</f>
        <v>99</v>
      </c>
      <c r="M145" s="52">
        <f>IF(J145&gt;0,1,0)</f>
        <v>0</v>
      </c>
      <c r="N145" s="24">
        <f>IF(K145&gt;0, K145, 0)</f>
        <v>0</v>
      </c>
      <c r="O145" s="17">
        <f>IF(K145&lt;0, K145, 0)</f>
        <v>-575.39999999999986</v>
      </c>
      <c r="P145" s="86"/>
      <c r="Q145" s="78"/>
    </row>
    <row r="146" spans="1:19">
      <c r="A146" s="6">
        <v>45915</v>
      </c>
      <c r="B146" t="s">
        <v>157</v>
      </c>
      <c r="C146" s="9">
        <v>11</v>
      </c>
      <c r="D146">
        <v>350.6</v>
      </c>
      <c r="E146" s="29">
        <v>370</v>
      </c>
      <c r="F146" s="50">
        <v>325</v>
      </c>
      <c r="G146" s="21">
        <f t="shared" ref="G146:G156" si="105" xml:space="preserve"> (E146 - F146)/(D146-F146)</f>
        <v>1.7578124999999984</v>
      </c>
      <c r="H146" s="6">
        <v>46150</v>
      </c>
      <c r="I146" s="29">
        <v>365</v>
      </c>
      <c r="J146" s="30">
        <f>I146/D146 -1</f>
        <v>4.1072447233314158E-2</v>
      </c>
      <c r="K146" s="35">
        <f>(C146*I146) - (C146*D146)</f>
        <v>158.39999999999964</v>
      </c>
      <c r="L146" s="21">
        <f>H146-A146</f>
        <v>235</v>
      </c>
      <c r="M146" s="9">
        <f>IF(J146&gt;0,1,0)</f>
        <v>1</v>
      </c>
      <c r="N146">
        <f>IF(K146&gt;0, K146, 0)</f>
        <v>158.39999999999964</v>
      </c>
      <c r="O146" s="17">
        <f>IF(K146&lt;0, K146, 0)</f>
        <v>0</v>
      </c>
      <c r="P146" s="86"/>
      <c r="Q146" s="78"/>
      <c r="R146" s="28"/>
    </row>
    <row r="147" spans="1:19">
      <c r="A147" s="6">
        <v>45884</v>
      </c>
      <c r="B147" s="22" t="s">
        <v>438</v>
      </c>
      <c r="C147" s="9">
        <v>200</v>
      </c>
      <c r="D147">
        <v>2.15</v>
      </c>
      <c r="E147" s="29">
        <v>6</v>
      </c>
      <c r="F147" s="50">
        <v>0.6</v>
      </c>
      <c r="G147" s="21">
        <f t="shared" si="105"/>
        <v>3.4838709677419359</v>
      </c>
      <c r="H147" s="6">
        <v>46038</v>
      </c>
      <c r="I147" s="16">
        <v>0</v>
      </c>
      <c r="J147" s="25">
        <f>I147/D147 -1</f>
        <v>-1</v>
      </c>
      <c r="K147" s="36">
        <f>(C147*I147) - (C147*D147)</f>
        <v>-430</v>
      </c>
      <c r="L147" s="24">
        <f>H147-A147</f>
        <v>154</v>
      </c>
      <c r="M147" s="52">
        <f>IF(J147&gt;0,1,0)</f>
        <v>0</v>
      </c>
      <c r="N147" s="24">
        <f>IF(K147&gt;0, K147, 0)</f>
        <v>0</v>
      </c>
      <c r="O147" s="17">
        <f>IF(K147&lt;0, K147, 0)</f>
        <v>-430</v>
      </c>
      <c r="P147" s="86"/>
      <c r="Q147" s="78"/>
      <c r="R147" s="28"/>
    </row>
    <row r="148" spans="1:19">
      <c r="A148" s="6">
        <v>45863</v>
      </c>
      <c r="B148" t="s">
        <v>231</v>
      </c>
      <c r="C148" s="9">
        <v>71</v>
      </c>
      <c r="D148">
        <v>76.13</v>
      </c>
      <c r="E148" s="29">
        <v>90</v>
      </c>
      <c r="F148" s="50">
        <v>75</v>
      </c>
      <c r="G148" s="21">
        <f t="shared" ref="G148" si="106" xml:space="preserve"> (E148 - F148)/(D148-F148)</f>
        <v>13.274336283185894</v>
      </c>
      <c r="H148" s="6"/>
      <c r="I148" s="16"/>
      <c r="J148" s="25"/>
      <c r="K148" s="36"/>
      <c r="L148" s="24"/>
      <c r="M148" s="52"/>
      <c r="N148" s="24"/>
      <c r="O148" s="17"/>
      <c r="P148" s="86"/>
      <c r="Q148" s="78"/>
      <c r="R148" s="28"/>
    </row>
    <row r="149" spans="1:19">
      <c r="A149" s="6">
        <v>46062</v>
      </c>
      <c r="B149" t="s">
        <v>231</v>
      </c>
      <c r="C149" s="9">
        <v>21</v>
      </c>
      <c r="D149">
        <v>41.1</v>
      </c>
      <c r="E149" s="29">
        <v>90</v>
      </c>
      <c r="F149" s="50">
        <v>75</v>
      </c>
      <c r="G149" s="21">
        <f t="shared" si="105"/>
        <v>-0.44247787610619471</v>
      </c>
      <c r="H149" s="6">
        <v>46094</v>
      </c>
      <c r="I149" s="29">
        <v>44.95</v>
      </c>
      <c r="J149" s="30">
        <f>I149/D149 -1</f>
        <v>9.36739659367396E-2</v>
      </c>
      <c r="K149" s="35">
        <f>(C149*I149) - (C149*D149)</f>
        <v>80.850000000000023</v>
      </c>
      <c r="L149" s="21">
        <f>H149-A149</f>
        <v>32</v>
      </c>
      <c r="M149" s="9">
        <f>IF(J149&gt;0,1,0)</f>
        <v>1</v>
      </c>
      <c r="N149">
        <f>IF(K149&gt;0, K149, 0)</f>
        <v>80.850000000000023</v>
      </c>
      <c r="O149" s="17">
        <f>IF(K149&lt;0, K149, 0)</f>
        <v>0</v>
      </c>
      <c r="P149" s="86"/>
      <c r="Q149" s="78"/>
      <c r="R149" s="29"/>
      <c r="S149" s="128"/>
    </row>
    <row r="150" spans="1:19">
      <c r="A150" s="6">
        <v>45860</v>
      </c>
      <c r="B150" t="s">
        <v>240</v>
      </c>
      <c r="C150" s="9">
        <v>31</v>
      </c>
      <c r="D150">
        <v>162.38</v>
      </c>
      <c r="E150" s="29">
        <v>200</v>
      </c>
      <c r="F150" s="50">
        <v>160</v>
      </c>
      <c r="G150" s="21">
        <f t="shared" si="105"/>
        <v>16.806722689075663</v>
      </c>
      <c r="H150" s="6">
        <v>46057</v>
      </c>
      <c r="I150" s="29">
        <v>167</v>
      </c>
      <c r="J150" s="30">
        <f>I150/D150 -1</f>
        <v>2.8451779775834574E-2</v>
      </c>
      <c r="K150" s="35">
        <f>(C150*I150) - (C150*D150)</f>
        <v>143.22000000000025</v>
      </c>
      <c r="L150" s="21">
        <f>H150-A150</f>
        <v>197</v>
      </c>
      <c r="M150" s="9">
        <f>IF(J150&gt;0,1,0)</f>
        <v>1</v>
      </c>
      <c r="N150">
        <f>IF(K150&gt;0, K150, 0)</f>
        <v>143.22000000000025</v>
      </c>
      <c r="O150" s="17">
        <f>IF(K150&lt;0, K150, 0)</f>
        <v>0</v>
      </c>
      <c r="P150" s="86"/>
      <c r="Q150" s="78"/>
      <c r="R150" s="28"/>
    </row>
    <row r="151" spans="1:19">
      <c r="A151" s="6">
        <v>45679</v>
      </c>
      <c r="B151" t="s">
        <v>132</v>
      </c>
      <c r="C151" s="9">
        <v>170</v>
      </c>
      <c r="D151">
        <v>5.88</v>
      </c>
      <c r="E151" s="29">
        <v>15</v>
      </c>
      <c r="F151" s="50">
        <v>6</v>
      </c>
      <c r="G151" s="21">
        <f t="shared" ref="G151" si="107" xml:space="preserve"> (E151 - F151)/(D151-F151)</f>
        <v>-74.999999999999929</v>
      </c>
      <c r="H151" s="6"/>
      <c r="I151" s="29"/>
      <c r="J151" s="30"/>
      <c r="K151" s="35"/>
      <c r="O151" s="17"/>
      <c r="P151" s="86"/>
      <c r="Q151" s="78"/>
      <c r="R151" s="28"/>
    </row>
    <row r="152" spans="1:19">
      <c r="A152" s="6">
        <v>45679</v>
      </c>
      <c r="B152" t="s">
        <v>132</v>
      </c>
      <c r="C152" s="9">
        <v>6</v>
      </c>
      <c r="D152">
        <v>1.41</v>
      </c>
      <c r="E152" s="29">
        <v>15</v>
      </c>
      <c r="F152" s="50">
        <v>6</v>
      </c>
      <c r="G152" s="21">
        <f t="shared" ref="G152" si="108" xml:space="preserve"> (E152 - F152)/(D152-F152)</f>
        <v>-1.9607843137254903</v>
      </c>
      <c r="H152" s="6">
        <v>46155</v>
      </c>
      <c r="I152" s="29">
        <v>2.25</v>
      </c>
      <c r="J152" s="30">
        <f>I152/D152 -1</f>
        <v>0.59574468085106402</v>
      </c>
      <c r="K152" s="35">
        <f>(C152*I152) - (C152*D152)</f>
        <v>5.0400000000000009</v>
      </c>
      <c r="L152" s="21">
        <f>H152-A152</f>
        <v>476</v>
      </c>
      <c r="M152" s="9">
        <f>IF(J152&gt;0,1,0)</f>
        <v>1</v>
      </c>
      <c r="N152">
        <f>IF(K152&gt;0, K152, 0)</f>
        <v>5.0400000000000009</v>
      </c>
      <c r="O152" s="17">
        <f>IF(K152&lt;0, K152, 0)</f>
        <v>0</v>
      </c>
      <c r="P152" s="86"/>
      <c r="Q152" s="78"/>
      <c r="R152" s="28"/>
    </row>
    <row r="153" spans="1:19">
      <c r="A153" s="6">
        <v>46027</v>
      </c>
      <c r="B153" t="s">
        <v>132</v>
      </c>
      <c r="C153" s="9">
        <v>13</v>
      </c>
      <c r="D153">
        <v>0.48</v>
      </c>
      <c r="E153" s="29">
        <v>15</v>
      </c>
      <c r="F153" s="50">
        <v>6</v>
      </c>
      <c r="G153" s="21">
        <f t="shared" si="105"/>
        <v>-1.6304347826086958</v>
      </c>
      <c r="H153" s="6">
        <v>46134</v>
      </c>
      <c r="I153" s="29">
        <v>1.73</v>
      </c>
      <c r="J153" s="30">
        <f>I153/D153 -1</f>
        <v>2.604166666666667</v>
      </c>
      <c r="K153" s="35">
        <f>(C153*I153) - (C153*D153)</f>
        <v>16.25</v>
      </c>
      <c r="L153" s="21">
        <f>H153-A153</f>
        <v>107</v>
      </c>
      <c r="M153" s="9">
        <f>IF(J153&gt;0,1,0)</f>
        <v>1</v>
      </c>
      <c r="N153">
        <f>IF(K153&gt;0, K153, 0)</f>
        <v>16.25</v>
      </c>
      <c r="O153" s="17">
        <f>IF(K153&lt;0, K153, 0)</f>
        <v>0</v>
      </c>
      <c r="P153" s="86"/>
      <c r="Q153" s="78"/>
      <c r="R153" s="28"/>
    </row>
    <row r="154" spans="1:19">
      <c r="A154" s="6">
        <v>46020</v>
      </c>
      <c r="B154" t="s">
        <v>132</v>
      </c>
      <c r="C154" s="9">
        <v>1</v>
      </c>
      <c r="D154">
        <v>0.36</v>
      </c>
      <c r="E154" s="29">
        <v>15</v>
      </c>
      <c r="F154" s="50">
        <v>6</v>
      </c>
      <c r="G154" s="21">
        <f t="shared" ref="G154" si="109" xml:space="preserve"> (E154 - F154)/(D154-F154)</f>
        <v>-1.595744680851064</v>
      </c>
      <c r="H154" s="6">
        <v>46124</v>
      </c>
      <c r="I154" s="29">
        <v>1.95</v>
      </c>
      <c r="J154" s="30">
        <f>I154/D154 -1</f>
        <v>4.416666666666667</v>
      </c>
      <c r="K154" s="35">
        <f>(C154*I154) - (C154*D154)</f>
        <v>1.5899999999999999</v>
      </c>
      <c r="L154" s="21">
        <f>H154-A154</f>
        <v>104</v>
      </c>
      <c r="M154" s="9">
        <f>IF(J154&gt;0,1,0)</f>
        <v>1</v>
      </c>
      <c r="N154">
        <f>IF(K154&gt;0, K154, 0)</f>
        <v>1.5899999999999999</v>
      </c>
      <c r="O154" s="17">
        <f>IF(K154&lt;0, K154, 0)</f>
        <v>0</v>
      </c>
      <c r="P154" s="86"/>
      <c r="Q154" s="78"/>
      <c r="R154" s="28"/>
    </row>
    <row r="155" spans="1:19">
      <c r="A155" s="6">
        <v>46000</v>
      </c>
      <c r="B155" t="s">
        <v>132</v>
      </c>
      <c r="C155" s="9">
        <v>36</v>
      </c>
      <c r="D155">
        <v>0.65</v>
      </c>
      <c r="E155" s="29">
        <v>15</v>
      </c>
      <c r="F155" s="50">
        <v>6</v>
      </c>
      <c r="G155" s="21">
        <f t="shared" si="105"/>
        <v>-1.6822429906542058</v>
      </c>
      <c r="H155" s="6">
        <v>46065</v>
      </c>
      <c r="I155" s="29">
        <v>2.15</v>
      </c>
      <c r="J155" s="30">
        <f>I155/D155 -1</f>
        <v>2.3076923076923075</v>
      </c>
      <c r="K155" s="35">
        <f>(C155*I155) - (C155*D155)</f>
        <v>53.999999999999986</v>
      </c>
      <c r="L155" s="21">
        <f>H155-A155</f>
        <v>65</v>
      </c>
      <c r="M155" s="9">
        <f>IF(J155&gt;0,1,0)</f>
        <v>1</v>
      </c>
      <c r="N155">
        <f>IF(K155&gt;0, K155, 0)</f>
        <v>53.999999999999986</v>
      </c>
      <c r="O155" s="17">
        <f>IF(K155&lt;0, K155, 0)</f>
        <v>0</v>
      </c>
      <c r="P155" s="86"/>
      <c r="Q155" s="78"/>
      <c r="R155" s="28"/>
    </row>
    <row r="156" spans="1:19">
      <c r="A156" s="6">
        <v>45642</v>
      </c>
      <c r="B156" t="s">
        <v>227</v>
      </c>
      <c r="C156" s="9">
        <v>22</v>
      </c>
      <c r="D156">
        <v>372.98</v>
      </c>
      <c r="E156" s="29">
        <v>550</v>
      </c>
      <c r="F156" s="50">
        <v>450</v>
      </c>
      <c r="G156" s="21">
        <f t="shared" si="105"/>
        <v>-1.298364061282784</v>
      </c>
      <c r="J156" s="30"/>
      <c r="K156" s="35"/>
      <c r="L156" s="37"/>
      <c r="M156" s="58"/>
      <c r="N156" s="38"/>
      <c r="O156" s="85"/>
      <c r="P156" s="86"/>
      <c r="Q156" s="78"/>
      <c r="R156" s="28"/>
    </row>
    <row r="157" spans="1:19">
      <c r="A157" s="6">
        <v>46036</v>
      </c>
      <c r="B157" t="s">
        <v>227</v>
      </c>
      <c r="C157" s="9">
        <v>2</v>
      </c>
      <c r="D157">
        <v>302.10000000000002</v>
      </c>
      <c r="E157" s="29">
        <v>550</v>
      </c>
      <c r="F157" s="50">
        <v>450</v>
      </c>
      <c r="G157" s="21">
        <f t="shared" ref="G157:G167" si="110" xml:space="preserve"> (E157 - F157)/(D157-F157)</f>
        <v>-0.67613252197430707</v>
      </c>
      <c r="H157" s="6">
        <v>46062</v>
      </c>
      <c r="I157" s="16">
        <v>267.5</v>
      </c>
      <c r="J157" s="25">
        <f>I157/D157 -1</f>
        <v>-0.11453161204899043</v>
      </c>
      <c r="K157" s="36">
        <f>(C157*I157) - (C157*D157)</f>
        <v>-69.200000000000045</v>
      </c>
      <c r="L157" s="24">
        <f>H157-A157</f>
        <v>26</v>
      </c>
      <c r="M157" s="52">
        <f>IF(J157&gt;0,1,0)</f>
        <v>0</v>
      </c>
      <c r="N157" s="24">
        <f>IF(K157&gt;0, K157, 0)</f>
        <v>0</v>
      </c>
      <c r="O157" s="17">
        <f>IF(K157&lt;0, K157, 0)</f>
        <v>-69.200000000000045</v>
      </c>
      <c r="P157" s="86"/>
      <c r="Q157" s="78"/>
      <c r="R157" s="28"/>
      <c r="S157" s="16"/>
    </row>
    <row r="158" spans="1:19">
      <c r="A158" s="6">
        <v>45635</v>
      </c>
      <c r="B158" t="s">
        <v>427</v>
      </c>
      <c r="C158" s="9">
        <v>22</v>
      </c>
      <c r="D158">
        <v>286.62</v>
      </c>
      <c r="E158" s="29">
        <v>450</v>
      </c>
      <c r="F158" s="75">
        <v>400</v>
      </c>
      <c r="G158" s="21">
        <f t="shared" si="110"/>
        <v>-0.44099488445934026</v>
      </c>
      <c r="H158" s="6"/>
      <c r="I158" s="29"/>
      <c r="J158" s="30"/>
      <c r="K158" s="35"/>
      <c r="O158" s="17"/>
      <c r="P158" s="86"/>
      <c r="Q158" s="78"/>
    </row>
    <row r="159" spans="1:19">
      <c r="A159" s="6">
        <v>45635</v>
      </c>
      <c r="B159" t="s">
        <v>594</v>
      </c>
      <c r="C159" s="9">
        <v>55</v>
      </c>
      <c r="D159">
        <v>106.66</v>
      </c>
      <c r="E159" s="29">
        <v>200</v>
      </c>
      <c r="F159" s="50">
        <v>174</v>
      </c>
      <c r="G159" s="21">
        <f xml:space="preserve"> (E159 - F159)/(D159-F159)</f>
        <v>-0.38610038610038611</v>
      </c>
      <c r="H159" s="6"/>
      <c r="I159" s="29"/>
      <c r="J159" s="30"/>
      <c r="K159" s="35"/>
      <c r="O159" s="17"/>
      <c r="P159" s="86"/>
      <c r="Q159" s="78"/>
    </row>
    <row r="160" spans="1:19">
      <c r="A160" s="6">
        <v>45635</v>
      </c>
      <c r="B160" t="s">
        <v>594</v>
      </c>
      <c r="C160" s="9">
        <v>2</v>
      </c>
      <c r="D160">
        <v>124.5</v>
      </c>
      <c r="E160" s="29">
        <v>200</v>
      </c>
      <c r="F160" s="50">
        <v>174</v>
      </c>
      <c r="G160" s="21">
        <f xml:space="preserve"> (E160 - F160)/(D160-F160)</f>
        <v>-0.5252525252525253</v>
      </c>
      <c r="H160" s="6">
        <v>46040</v>
      </c>
      <c r="I160" s="16">
        <v>118</v>
      </c>
      <c r="J160" s="25">
        <f>I160/D160 -1</f>
        <v>-5.2208835341365445E-2</v>
      </c>
      <c r="K160" s="36">
        <f>(C160*I160) - (C160*D160)</f>
        <v>-13</v>
      </c>
      <c r="L160" s="24">
        <f>H160-A160</f>
        <v>405</v>
      </c>
      <c r="M160" s="52">
        <f>IF(J160&gt;0,1,0)</f>
        <v>0</v>
      </c>
      <c r="N160" s="24">
        <f>IF(K160&gt;0, K160, 0)</f>
        <v>0</v>
      </c>
      <c r="O160" s="17">
        <f>IF(K160&lt;0, K160, 0)</f>
        <v>-13</v>
      </c>
      <c r="P160" s="86"/>
      <c r="Q160" s="78"/>
    </row>
    <row r="161" spans="1:18">
      <c r="A161" s="6">
        <v>45635</v>
      </c>
      <c r="B161" t="s">
        <v>594</v>
      </c>
      <c r="C161" s="9">
        <v>19</v>
      </c>
      <c r="D161">
        <v>119.85</v>
      </c>
      <c r="E161" s="29">
        <v>200</v>
      </c>
      <c r="F161" s="50">
        <v>174</v>
      </c>
      <c r="G161" s="21">
        <f t="shared" si="110"/>
        <v>-0.48014773776546626</v>
      </c>
      <c r="H161" s="6">
        <v>46040</v>
      </c>
      <c r="I161" s="16">
        <v>118</v>
      </c>
      <c r="J161" s="25">
        <f>I161/D161 -1</f>
        <v>-1.5435961618689986E-2</v>
      </c>
      <c r="K161" s="36">
        <f>(C161*I161) - (C161*D161)</f>
        <v>-35.150000000000091</v>
      </c>
      <c r="L161" s="24">
        <f>H161-A161</f>
        <v>405</v>
      </c>
      <c r="M161" s="52">
        <f>IF(J161&gt;0,1,0)</f>
        <v>0</v>
      </c>
      <c r="N161" s="24">
        <f>IF(K161&gt;0, K161, 0)</f>
        <v>0</v>
      </c>
      <c r="O161" s="17">
        <f>IF(K161&lt;0, K161, 0)</f>
        <v>-35.150000000000091</v>
      </c>
      <c r="P161" s="86"/>
      <c r="Q161" s="78"/>
      <c r="R161" s="28"/>
    </row>
    <row r="162" spans="1:18">
      <c r="A162" s="6">
        <v>45490</v>
      </c>
      <c r="B162" t="s">
        <v>39</v>
      </c>
      <c r="C162" s="9">
        <v>90</v>
      </c>
      <c r="D162">
        <v>38.340000000000003</v>
      </c>
      <c r="E162" s="29">
        <v>52.5</v>
      </c>
      <c r="F162" s="50">
        <v>47.5</v>
      </c>
      <c r="G162" s="21">
        <f xml:space="preserve"> (E162 - F162)/(D162-F162)</f>
        <v>-0.54585152838427964</v>
      </c>
      <c r="H162" s="6">
        <v>46050</v>
      </c>
      <c r="I162" s="29">
        <v>39.75</v>
      </c>
      <c r="J162" s="30">
        <f>I162/D162 -1</f>
        <v>3.6776212832550836E-2</v>
      </c>
      <c r="K162" s="35">
        <f>(C162*I162) - (C162*D162)</f>
        <v>126.89999999999964</v>
      </c>
      <c r="L162" s="21">
        <f>H162-A162</f>
        <v>560</v>
      </c>
      <c r="M162" s="9">
        <f>IF(J162&gt;0,1,0)</f>
        <v>1</v>
      </c>
      <c r="N162">
        <f>IF(K162&gt;0, K162, 0)</f>
        <v>126.89999999999964</v>
      </c>
      <c r="O162" s="17">
        <f>IF(K162&lt;0, K162, 0)</f>
        <v>0</v>
      </c>
      <c r="P162" s="86"/>
      <c r="Q162" s="78"/>
      <c r="R162" s="28"/>
    </row>
    <row r="163" spans="1:18">
      <c r="A163" s="6">
        <v>45488</v>
      </c>
      <c r="B163" t="s">
        <v>728</v>
      </c>
      <c r="C163" s="9">
        <v>131</v>
      </c>
      <c r="D163">
        <v>36.200000000000003</v>
      </c>
      <c r="E163" s="29">
        <v>40</v>
      </c>
      <c r="F163" s="50">
        <v>35</v>
      </c>
      <c r="G163" s="21">
        <f xml:space="preserve"> (E163 - F163)/(D163-F163)</f>
        <v>4.1666666666666572</v>
      </c>
      <c r="H163" s="6">
        <v>46094</v>
      </c>
      <c r="I163" s="29">
        <v>37.729999999999997</v>
      </c>
      <c r="J163" s="30">
        <f>I163/D163 -1</f>
        <v>4.2265193370165655E-2</v>
      </c>
      <c r="K163" s="35">
        <f>(C163*I163) - (C163*D163)</f>
        <v>200.42999999999847</v>
      </c>
      <c r="L163" s="21">
        <f>H163-A163</f>
        <v>606</v>
      </c>
      <c r="M163" s="9">
        <f>IF(J163&gt;0,1,0)</f>
        <v>1</v>
      </c>
      <c r="N163">
        <f>IF(K163&gt;0, K163, 0)</f>
        <v>200.42999999999847</v>
      </c>
      <c r="O163" s="17">
        <f>IF(K163&lt;0, K163, 0)</f>
        <v>0</v>
      </c>
      <c r="P163" s="86"/>
      <c r="Q163" s="78"/>
      <c r="R163" s="28"/>
    </row>
    <row r="164" spans="1:18">
      <c r="A164" s="6">
        <v>45504</v>
      </c>
      <c r="B164" t="s">
        <v>728</v>
      </c>
      <c r="C164" s="9">
        <v>3</v>
      </c>
      <c r="D164">
        <v>35.799999999999997</v>
      </c>
      <c r="E164" s="29">
        <v>40</v>
      </c>
      <c r="F164" s="50">
        <v>35</v>
      </c>
      <c r="G164" s="21">
        <f t="shared" si="110"/>
        <v>6.2500000000000222</v>
      </c>
      <c r="H164" s="6">
        <v>46055</v>
      </c>
      <c r="I164" s="16">
        <v>25.6</v>
      </c>
      <c r="J164" s="25">
        <f>I164/D164 -1</f>
        <v>-0.2849162011173183</v>
      </c>
      <c r="K164" s="36">
        <f>(C164*I164) - (C164*D164)</f>
        <v>-30.59999999999998</v>
      </c>
      <c r="L164" s="24">
        <f>H164-A164</f>
        <v>551</v>
      </c>
      <c r="M164" s="52">
        <f>IF(J164&gt;0,1,0)</f>
        <v>0</v>
      </c>
      <c r="N164" s="24">
        <f>IF(K164&gt;0, K164, 0)</f>
        <v>0</v>
      </c>
      <c r="O164" s="17">
        <f>IF(K164&lt;0, K164, 0)</f>
        <v>-30.59999999999998</v>
      </c>
      <c r="P164" s="86"/>
      <c r="Q164" s="78"/>
      <c r="R164" s="28"/>
    </row>
    <row r="165" spans="1:18">
      <c r="A165" s="6">
        <v>45376</v>
      </c>
      <c r="B165" t="s">
        <v>719</v>
      </c>
      <c r="C165" s="9">
        <v>184</v>
      </c>
      <c r="D165">
        <v>22.56</v>
      </c>
      <c r="E165" s="29">
        <v>35</v>
      </c>
      <c r="F165" s="50">
        <v>28</v>
      </c>
      <c r="G165" s="21">
        <f t="shared" si="110"/>
        <v>-1.2867647058823526</v>
      </c>
      <c r="H165" s="6"/>
      <c r="I165" s="29"/>
      <c r="J165" s="30"/>
      <c r="K165" s="35"/>
      <c r="P165" s="86"/>
      <c r="Q165" s="78"/>
      <c r="R165" s="28"/>
    </row>
    <row r="166" spans="1:18">
      <c r="A166" s="6">
        <v>45337</v>
      </c>
      <c r="B166" s="61" t="s">
        <v>745</v>
      </c>
      <c r="C166" s="9">
        <v>56</v>
      </c>
      <c r="D166">
        <v>18.7</v>
      </c>
      <c r="E166" s="29">
        <v>30</v>
      </c>
      <c r="F166" s="50">
        <v>25</v>
      </c>
      <c r="G166" s="21">
        <f t="shared" si="110"/>
        <v>-0.79365079365079361</v>
      </c>
      <c r="J166" s="30"/>
      <c r="K166" s="35"/>
      <c r="L166" s="37"/>
      <c r="M166" s="58"/>
      <c r="N166" s="35"/>
      <c r="O166" s="85"/>
      <c r="P166" s="86"/>
      <c r="Q166" s="78"/>
      <c r="R166" s="28"/>
    </row>
    <row r="167" spans="1:18">
      <c r="A167" s="6">
        <v>45279</v>
      </c>
      <c r="B167" t="s">
        <v>18</v>
      </c>
      <c r="C167" s="9">
        <v>191</v>
      </c>
      <c r="D167">
        <v>29.69</v>
      </c>
      <c r="E167" s="29">
        <v>40</v>
      </c>
      <c r="F167" s="50">
        <v>36</v>
      </c>
      <c r="G167" s="21">
        <f t="shared" si="110"/>
        <v>-0.63391442155309041</v>
      </c>
      <c r="H167" s="6">
        <v>46064</v>
      </c>
      <c r="I167" s="29">
        <v>31.05</v>
      </c>
      <c r="J167" s="30">
        <f>I167/D167 -1</f>
        <v>4.5806668912091508E-2</v>
      </c>
      <c r="K167" s="35">
        <f>(C167*I167) - (C167*D167)</f>
        <v>259.76000000000022</v>
      </c>
      <c r="L167" s="21">
        <f>H167-A167</f>
        <v>785</v>
      </c>
      <c r="M167" s="9">
        <f>IF(J167&gt;0,1,0)</f>
        <v>1</v>
      </c>
      <c r="N167">
        <f>IF(K167&gt;0, K167, 0)</f>
        <v>259.76000000000022</v>
      </c>
      <c r="O167" s="17">
        <f>IF(K167&lt;0, K167, 0)</f>
        <v>0</v>
      </c>
      <c r="P167" s="86"/>
      <c r="Q167" s="78"/>
      <c r="R167" s="28"/>
    </row>
    <row r="168" spans="1:18">
      <c r="A168" s="6">
        <v>45216</v>
      </c>
      <c r="B168" t="s">
        <v>364</v>
      </c>
      <c r="C168" s="9">
        <v>1370</v>
      </c>
      <c r="D168">
        <v>3.79</v>
      </c>
      <c r="E168" s="29">
        <v>5</v>
      </c>
      <c r="F168" s="50">
        <v>1.5</v>
      </c>
      <c r="G168" s="21">
        <f xml:space="preserve"> (E168 - F168)/(D168-F168)</f>
        <v>1.5283842794759825</v>
      </c>
      <c r="H168" s="6"/>
      <c r="I168" s="16"/>
      <c r="J168" s="25"/>
      <c r="K168" s="36"/>
      <c r="L168" s="24"/>
      <c r="M168" s="52"/>
      <c r="N168" s="24"/>
      <c r="O168" s="17"/>
      <c r="R168" s="28"/>
    </row>
    <row r="169" spans="1:18">
      <c r="A169" s="6">
        <v>45162</v>
      </c>
      <c r="B169" s="22" t="s">
        <v>533</v>
      </c>
      <c r="C169" s="57">
        <v>79</v>
      </c>
      <c r="D169">
        <v>93.57</v>
      </c>
      <c r="E169" s="29">
        <v>100</v>
      </c>
      <c r="F169" s="50">
        <v>85</v>
      </c>
      <c r="G169" s="21">
        <f xml:space="preserve"> (E169 - F169)/(D169-F169)</f>
        <v>1.7502917152858823</v>
      </c>
      <c r="H169" s="6"/>
      <c r="I169" s="16"/>
      <c r="J169" s="25"/>
      <c r="K169" s="36"/>
      <c r="L169" s="24"/>
      <c r="M169" s="52"/>
      <c r="N169" s="24"/>
      <c r="O169" s="17"/>
      <c r="R169" s="28"/>
    </row>
    <row r="170" spans="1:18">
      <c r="A170" s="6">
        <v>44965</v>
      </c>
      <c r="B170" s="1" t="s">
        <v>447</v>
      </c>
      <c r="C170" s="9">
        <v>123</v>
      </c>
      <c r="D170">
        <v>228.51</v>
      </c>
      <c r="E170" s="29">
        <v>250</v>
      </c>
      <c r="F170" s="50">
        <v>200</v>
      </c>
      <c r="G170" s="21">
        <f xml:space="preserve"> (E170 - F170)/(D170-F170)</f>
        <v>1.7537706068046306</v>
      </c>
      <c r="H170" s="6"/>
      <c r="I170" s="16"/>
      <c r="J170" s="25"/>
      <c r="K170" s="36"/>
      <c r="L170" s="24"/>
      <c r="M170" s="52"/>
      <c r="N170" s="24"/>
      <c r="O170" s="17"/>
      <c r="R170" s="28"/>
    </row>
    <row r="171" spans="1:18">
      <c r="A171" s="6">
        <v>45995</v>
      </c>
      <c r="B171" s="1" t="s">
        <v>447</v>
      </c>
      <c r="C171" s="9">
        <v>82</v>
      </c>
      <c r="D171">
        <v>31.97</v>
      </c>
      <c r="E171" s="29">
        <v>250</v>
      </c>
      <c r="F171" s="50">
        <v>200</v>
      </c>
      <c r="G171" s="21">
        <f xml:space="preserve"> (E171 - F171)/(D171-F171)</f>
        <v>-0.2975659108492531</v>
      </c>
      <c r="H171" s="6">
        <v>46062</v>
      </c>
      <c r="I171" s="29">
        <v>49</v>
      </c>
      <c r="J171" s="30">
        <f>I171/D171 -1</f>
        <v>0.53268689396309044</v>
      </c>
      <c r="K171" s="35">
        <f>(C171*I171) - (C171*D171)</f>
        <v>1396.46</v>
      </c>
      <c r="L171" s="21">
        <f>H171-A171</f>
        <v>67</v>
      </c>
      <c r="M171" s="9">
        <f>IF(J171&gt;0,1,0)</f>
        <v>1</v>
      </c>
      <c r="N171">
        <f>IF(K171&gt;0, K171, 0)</f>
        <v>1396.46</v>
      </c>
      <c r="O171" s="17">
        <f>IF(K171&lt;0, K171, 0)</f>
        <v>0</v>
      </c>
      <c r="R171">
        <v>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30CA3-FC49-40D2-AFFA-AEB9128543AA}">
  <dimension ref="A1:S272"/>
  <sheetViews>
    <sheetView zoomScale="85" zoomScaleNormal="85" workbookViewId="0">
      <selection activeCell="D22" sqref="D22"/>
    </sheetView>
  </sheetViews>
  <sheetFormatPr defaultRowHeight="15"/>
  <cols>
    <col min="1" max="1" width="10.7109375" bestFit="1" customWidth="1"/>
    <col min="2" max="2" width="9.7109375" bestFit="1" customWidth="1"/>
    <col min="6" max="6" width="10.140625" bestFit="1" customWidth="1"/>
    <col min="7" max="7" width="9.28515625" style="20" customWidth="1"/>
    <col min="8" max="8" width="11.7109375" customWidth="1"/>
    <col min="10" max="10" width="9.140625" style="7"/>
    <col min="11" max="11" width="10.85546875" style="21" bestFit="1" customWidth="1"/>
    <col min="12" max="12" width="9" style="21" customWidth="1"/>
    <col min="13" max="13" width="4.42578125" style="9" bestFit="1" customWidth="1"/>
    <col min="14" max="14" width="10.28515625" customWidth="1"/>
    <col min="15" max="15" width="13.42578125" bestFit="1" customWidth="1"/>
    <col min="16" max="16" width="5" bestFit="1" customWidth="1"/>
    <col min="17" max="17" width="8" bestFit="1" customWidth="1"/>
  </cols>
  <sheetData>
    <row r="1" spans="1:19">
      <c r="A1" s="6"/>
      <c r="B1" s="16">
        <v>-5947</v>
      </c>
      <c r="J1" s="7" t="s">
        <v>318</v>
      </c>
      <c r="K1" s="21" t="s">
        <v>320</v>
      </c>
      <c r="L1" s="21" t="s">
        <v>321</v>
      </c>
      <c r="M1" s="9" t="s">
        <v>363</v>
      </c>
      <c r="N1" t="s">
        <v>367</v>
      </c>
      <c r="O1" t="s">
        <v>319</v>
      </c>
      <c r="R1" s="16"/>
    </row>
    <row r="2" spans="1:19">
      <c r="D2" t="s">
        <v>7</v>
      </c>
      <c r="E2" t="s">
        <v>78</v>
      </c>
      <c r="F2" t="s">
        <v>77</v>
      </c>
      <c r="G2" s="20" t="s">
        <v>79</v>
      </c>
      <c r="I2" t="s">
        <v>9</v>
      </c>
      <c r="J2" s="30">
        <f>AVERAGE(J3:J272)</f>
        <v>3.1075546528940096E-2</v>
      </c>
      <c r="K2" s="35">
        <f>AVERAGE(K3:K269)</f>
        <v>71.922807017543903</v>
      </c>
      <c r="L2" s="37">
        <f>AVERAGE(L3:L269)</f>
        <v>92.618421052631575</v>
      </c>
      <c r="M2" s="58">
        <f>SUM(M3:M269)/269</f>
        <v>0.69516728624535318</v>
      </c>
      <c r="N2" s="35">
        <f>SUM(K3:K269) - P2</f>
        <v>12553.320000000009</v>
      </c>
      <c r="O2" s="85">
        <f>AVERAGE(N3:N269)/(AVERAGE(O3:O269) * -1)</f>
        <v>2.520180511238383</v>
      </c>
      <c r="P2" s="86">
        <f>SUM(S3:S269)</f>
        <v>3845.08</v>
      </c>
      <c r="Q2" s="78">
        <f>N2 * 0.1</f>
        <v>1255.332000000001</v>
      </c>
      <c r="R2">
        <f>(Q2/8)*100</f>
        <v>15691.650000000012</v>
      </c>
    </row>
    <row r="3" spans="1:19">
      <c r="A3" s="6"/>
      <c r="J3" s="30"/>
      <c r="K3" s="35"/>
      <c r="L3" s="37"/>
      <c r="M3" s="58"/>
      <c r="N3" s="38"/>
      <c r="O3" s="85"/>
      <c r="P3" s="86"/>
      <c r="Q3" s="78"/>
    </row>
    <row r="4" spans="1:19">
      <c r="A4" s="6">
        <v>46022</v>
      </c>
      <c r="B4" t="s">
        <v>826</v>
      </c>
      <c r="C4" s="9">
        <v>8</v>
      </c>
      <c r="D4">
        <v>162</v>
      </c>
      <c r="E4" s="29">
        <v>200</v>
      </c>
      <c r="F4" s="50">
        <v>150</v>
      </c>
      <c r="G4" s="21">
        <f t="shared" ref="G4:G50" si="0" xml:space="preserve"> (E4 - F4)/(D4-F4)</f>
        <v>4.166666666666667</v>
      </c>
      <c r="J4" s="30"/>
      <c r="K4" s="35"/>
      <c r="L4" s="37"/>
      <c r="M4" s="58"/>
      <c r="N4" s="38"/>
      <c r="O4" s="85"/>
      <c r="P4" s="86"/>
      <c r="Q4" s="78"/>
      <c r="R4" s="28">
        <v>12553.32</v>
      </c>
      <c r="S4" s="16">
        <v>505.89</v>
      </c>
    </row>
    <row r="5" spans="1:19">
      <c r="A5" s="6">
        <v>46021</v>
      </c>
      <c r="B5" t="s">
        <v>925</v>
      </c>
      <c r="C5" s="9">
        <v>38</v>
      </c>
      <c r="D5">
        <v>105.4</v>
      </c>
      <c r="E5" s="29">
        <v>150</v>
      </c>
      <c r="F5" s="50">
        <v>95</v>
      </c>
      <c r="G5" s="21">
        <f t="shared" si="0"/>
        <v>5.2884615384615357</v>
      </c>
      <c r="J5" s="30"/>
      <c r="K5" s="35"/>
      <c r="L5" s="37"/>
      <c r="M5" s="58"/>
      <c r="N5" s="38"/>
      <c r="O5" s="85"/>
      <c r="P5" s="86"/>
      <c r="Q5" s="78"/>
      <c r="S5" s="28">
        <v>-406.91</v>
      </c>
    </row>
    <row r="6" spans="1:19">
      <c r="A6" s="6">
        <v>46021</v>
      </c>
      <c r="B6" t="s">
        <v>528</v>
      </c>
      <c r="C6" s="9">
        <v>28</v>
      </c>
      <c r="D6">
        <v>188</v>
      </c>
      <c r="E6" s="29">
        <v>205</v>
      </c>
      <c r="F6" s="50">
        <v>175</v>
      </c>
      <c r="G6" s="21">
        <f t="shared" si="0"/>
        <v>2.3076923076923075</v>
      </c>
      <c r="J6" s="30"/>
      <c r="K6" s="35"/>
      <c r="L6" s="37"/>
      <c r="M6" s="58"/>
      <c r="N6" s="38"/>
      <c r="O6" s="85"/>
      <c r="P6" s="86"/>
      <c r="Q6" s="78"/>
      <c r="R6" s="28">
        <v>12414.16</v>
      </c>
    </row>
    <row r="7" spans="1:19">
      <c r="A7" s="6">
        <v>46020</v>
      </c>
      <c r="B7" t="s">
        <v>629</v>
      </c>
      <c r="C7" s="9">
        <v>219</v>
      </c>
      <c r="D7">
        <v>6.6</v>
      </c>
      <c r="E7" s="29">
        <v>10</v>
      </c>
      <c r="F7" s="50">
        <v>5.5</v>
      </c>
      <c r="G7" s="21">
        <f t="shared" si="0"/>
        <v>4.0909090909090926</v>
      </c>
      <c r="J7" s="30"/>
      <c r="K7" s="35"/>
      <c r="L7" s="37"/>
      <c r="M7" s="58"/>
      <c r="N7" s="38"/>
      <c r="O7" s="85"/>
      <c r="P7" s="86"/>
      <c r="Q7" s="78"/>
      <c r="R7" s="28">
        <v>12349.06</v>
      </c>
    </row>
    <row r="8" spans="1:19">
      <c r="A8" s="6">
        <v>46020</v>
      </c>
      <c r="B8" t="s">
        <v>445</v>
      </c>
      <c r="C8" s="9">
        <v>21</v>
      </c>
      <c r="D8">
        <v>60.9</v>
      </c>
      <c r="E8" s="29">
        <v>70</v>
      </c>
      <c r="F8" s="50">
        <v>57</v>
      </c>
      <c r="G8" s="21">
        <f t="shared" si="0"/>
        <v>3.3333333333333344</v>
      </c>
      <c r="H8" s="6">
        <v>46022</v>
      </c>
      <c r="I8" s="29">
        <v>64</v>
      </c>
      <c r="J8" s="30">
        <f>I8/D8 -1</f>
        <v>5.0903119868637159E-2</v>
      </c>
      <c r="K8" s="35">
        <f>(C8*I8) - (C8*D8)</f>
        <v>65.100000000000136</v>
      </c>
      <c r="L8" s="21">
        <f>H8-A8</f>
        <v>2</v>
      </c>
      <c r="M8" s="9">
        <f>IF(J8&gt;0,1,0)</f>
        <v>1</v>
      </c>
      <c r="N8">
        <f>IF(K8&gt;0, K8, 0)</f>
        <v>65.100000000000136</v>
      </c>
      <c r="O8" s="17">
        <f>IF(K8&lt;0, K8, 0)</f>
        <v>0</v>
      </c>
      <c r="P8" s="86"/>
      <c r="Q8" s="78"/>
    </row>
    <row r="9" spans="1:19">
      <c r="A9" s="6">
        <v>46014</v>
      </c>
      <c r="B9" t="s">
        <v>426</v>
      </c>
      <c r="C9" s="9">
        <v>9</v>
      </c>
      <c r="D9">
        <v>487</v>
      </c>
      <c r="E9" s="29">
        <v>550</v>
      </c>
      <c r="F9" s="50">
        <v>470</v>
      </c>
      <c r="G9" s="21">
        <f t="shared" si="0"/>
        <v>4.7058823529411766</v>
      </c>
      <c r="J9" s="30"/>
      <c r="K9" s="35"/>
      <c r="L9" s="37"/>
      <c r="M9" s="58"/>
      <c r="N9" s="38"/>
      <c r="O9" s="85"/>
      <c r="P9" s="86"/>
      <c r="Q9" s="78"/>
      <c r="R9" s="28">
        <v>12097.12</v>
      </c>
    </row>
    <row r="10" spans="1:19">
      <c r="A10" s="6">
        <v>46013</v>
      </c>
      <c r="B10" t="s">
        <v>565</v>
      </c>
      <c r="C10" s="9">
        <v>170</v>
      </c>
      <c r="D10">
        <v>5.65</v>
      </c>
      <c r="E10" s="29">
        <v>6</v>
      </c>
      <c r="F10" s="50">
        <v>5.3</v>
      </c>
      <c r="G10" s="21">
        <f t="shared" si="0"/>
        <v>1.9999999999999976</v>
      </c>
      <c r="J10" s="30"/>
      <c r="K10" s="35"/>
      <c r="L10" s="37"/>
      <c r="M10" s="58"/>
      <c r="N10" s="38"/>
      <c r="O10" s="85"/>
      <c r="P10" s="86"/>
      <c r="Q10" s="78"/>
    </row>
    <row r="11" spans="1:19">
      <c r="A11" s="6">
        <v>46013</v>
      </c>
      <c r="B11" s="61" t="s">
        <v>830</v>
      </c>
      <c r="C11" s="9">
        <v>5</v>
      </c>
      <c r="D11">
        <v>253.38</v>
      </c>
      <c r="E11" s="29">
        <v>325</v>
      </c>
      <c r="F11" s="50">
        <v>230</v>
      </c>
      <c r="G11" s="21">
        <f t="shared" si="0"/>
        <v>4.0633019674935849</v>
      </c>
      <c r="J11" s="30"/>
      <c r="K11" s="35"/>
      <c r="L11" s="37"/>
      <c r="M11" s="58"/>
      <c r="N11" s="38"/>
      <c r="O11" s="85"/>
      <c r="P11" s="86"/>
      <c r="Q11" s="78"/>
      <c r="R11" s="28">
        <v>12797.02</v>
      </c>
    </row>
    <row r="12" spans="1:19">
      <c r="A12" s="6">
        <v>46010</v>
      </c>
      <c r="B12" t="s">
        <v>445</v>
      </c>
      <c r="C12" s="9">
        <v>23</v>
      </c>
      <c r="D12">
        <v>58.95</v>
      </c>
      <c r="E12" s="29">
        <v>80</v>
      </c>
      <c r="F12" s="50">
        <v>54</v>
      </c>
      <c r="G12" s="21">
        <f t="shared" si="0"/>
        <v>5.2525252525252499</v>
      </c>
      <c r="H12" s="6">
        <v>46017</v>
      </c>
      <c r="I12" s="29">
        <v>60.75</v>
      </c>
      <c r="J12" s="30">
        <f>I12/D12 -1</f>
        <v>3.0534351145038219E-2</v>
      </c>
      <c r="K12" s="35">
        <f>(C12*I12) - (C12*D12)</f>
        <v>41.399999999999864</v>
      </c>
      <c r="L12" s="21">
        <f>H12-A12</f>
        <v>7</v>
      </c>
      <c r="M12" s="9">
        <f>IF(J12&gt;0,1,0)</f>
        <v>1</v>
      </c>
      <c r="N12">
        <f>IF(K12&gt;0, K12, 0)</f>
        <v>41.399999999999864</v>
      </c>
      <c r="O12" s="17">
        <f>IF(K12&lt;0, K12, 0)</f>
        <v>0</v>
      </c>
      <c r="P12" s="86"/>
      <c r="Q12" s="78"/>
    </row>
    <row r="13" spans="1:19">
      <c r="A13" s="6">
        <v>46010</v>
      </c>
      <c r="B13" t="s">
        <v>235</v>
      </c>
      <c r="C13" s="9">
        <v>3</v>
      </c>
      <c r="D13">
        <v>337.4</v>
      </c>
      <c r="E13" s="29">
        <v>400</v>
      </c>
      <c r="F13" s="50">
        <v>320</v>
      </c>
      <c r="G13" s="21">
        <f t="shared" si="0"/>
        <v>4.5977011494252933</v>
      </c>
      <c r="J13" s="30"/>
      <c r="K13" s="35"/>
      <c r="L13" s="37"/>
      <c r="M13" s="58"/>
      <c r="N13" s="38"/>
      <c r="O13" s="85"/>
      <c r="P13" s="86"/>
      <c r="Q13" s="78"/>
      <c r="R13" s="28">
        <v>12746.48</v>
      </c>
    </row>
    <row r="14" spans="1:19">
      <c r="A14" s="6">
        <v>46008</v>
      </c>
      <c r="B14" t="s">
        <v>912</v>
      </c>
      <c r="C14" s="9">
        <v>4</v>
      </c>
      <c r="D14">
        <v>278</v>
      </c>
      <c r="E14" s="29">
        <v>350</v>
      </c>
      <c r="F14" s="50">
        <v>270</v>
      </c>
      <c r="G14" s="21">
        <f t="shared" si="0"/>
        <v>10</v>
      </c>
      <c r="H14" s="6">
        <v>46010</v>
      </c>
      <c r="I14" s="29">
        <v>290</v>
      </c>
      <c r="J14" s="30">
        <f>I14/D14 -1</f>
        <v>4.3165467625899234E-2</v>
      </c>
      <c r="K14" s="35">
        <f>(C14*I14) - (C14*D14)</f>
        <v>48</v>
      </c>
      <c r="L14" s="21">
        <f>H14-A14</f>
        <v>2</v>
      </c>
      <c r="M14" s="9">
        <f>IF(J14&gt;0,1,0)</f>
        <v>1</v>
      </c>
      <c r="N14">
        <f>IF(K14&gt;0, K14, 0)</f>
        <v>48</v>
      </c>
      <c r="O14" s="17">
        <f>IF(K14&lt;0, K14, 0)</f>
        <v>0</v>
      </c>
      <c r="P14" s="86"/>
      <c r="Q14" s="78"/>
    </row>
    <row r="15" spans="1:19">
      <c r="A15" s="6">
        <v>46008</v>
      </c>
      <c r="B15" t="s">
        <v>75</v>
      </c>
      <c r="C15" s="9">
        <v>50</v>
      </c>
      <c r="D15">
        <v>18.899999999999999</v>
      </c>
      <c r="E15" s="29">
        <v>25</v>
      </c>
      <c r="F15" s="50">
        <v>17</v>
      </c>
      <c r="G15" s="21">
        <f t="shared" si="0"/>
        <v>4.210526315789477</v>
      </c>
      <c r="J15" s="30"/>
      <c r="K15" s="35"/>
      <c r="L15" s="37"/>
      <c r="M15" s="58"/>
      <c r="N15" s="38"/>
      <c r="O15" s="85"/>
      <c r="P15" s="86"/>
      <c r="Q15" s="78"/>
    </row>
    <row r="16" spans="1:19">
      <c r="A16" s="6">
        <v>46008</v>
      </c>
      <c r="B16" t="s">
        <v>19</v>
      </c>
      <c r="C16" s="9">
        <v>58</v>
      </c>
      <c r="D16">
        <v>17.78</v>
      </c>
      <c r="E16" s="29">
        <v>20</v>
      </c>
      <c r="F16" s="50">
        <v>16</v>
      </c>
      <c r="G16" s="21">
        <f t="shared" si="0"/>
        <v>2.2471910112359534</v>
      </c>
      <c r="J16" s="30"/>
      <c r="K16" s="35"/>
      <c r="L16" s="37"/>
      <c r="M16" s="58"/>
      <c r="N16" s="38"/>
      <c r="O16" s="85"/>
      <c r="P16" s="86"/>
      <c r="Q16" s="78"/>
    </row>
    <row r="17" spans="1:19">
      <c r="A17" s="6">
        <v>46008</v>
      </c>
      <c r="B17" t="s">
        <v>629</v>
      </c>
      <c r="C17" s="9">
        <v>179</v>
      </c>
      <c r="D17">
        <v>5.5</v>
      </c>
      <c r="E17" s="29">
        <v>15</v>
      </c>
      <c r="F17" s="50">
        <v>4.5</v>
      </c>
      <c r="G17" s="21">
        <f t="shared" si="0"/>
        <v>10.5</v>
      </c>
      <c r="H17" s="6">
        <v>46017</v>
      </c>
      <c r="I17" s="29">
        <v>7.25</v>
      </c>
      <c r="J17" s="30">
        <f>I17/D17 -1</f>
        <v>0.31818181818181812</v>
      </c>
      <c r="K17" s="35">
        <f>(C17*I17) - (C17*D17)</f>
        <v>313.25</v>
      </c>
      <c r="L17" s="21">
        <f>H17-A17</f>
        <v>9</v>
      </c>
      <c r="M17" s="9">
        <f>IF(J17&gt;0,1,0)</f>
        <v>1</v>
      </c>
      <c r="N17">
        <f>IF(K17&gt;0, K17, 0)</f>
        <v>313.25</v>
      </c>
      <c r="O17" s="17">
        <f>IF(K17&lt;0, K17, 0)</f>
        <v>0</v>
      </c>
      <c r="P17" s="86"/>
      <c r="Q17" s="78"/>
      <c r="R17" s="28">
        <v>13002.08</v>
      </c>
    </row>
    <row r="18" spans="1:19">
      <c r="A18" s="6">
        <v>46008</v>
      </c>
      <c r="B18" s="61" t="s">
        <v>699</v>
      </c>
      <c r="C18" s="9">
        <v>14</v>
      </c>
      <c r="D18">
        <v>89.05</v>
      </c>
      <c r="E18" s="29">
        <v>100</v>
      </c>
      <c r="F18" s="50">
        <v>86</v>
      </c>
      <c r="G18" s="21">
        <f t="shared" si="0"/>
        <v>4.5901639344262337</v>
      </c>
      <c r="J18" s="30"/>
      <c r="K18" s="35"/>
      <c r="L18" s="37"/>
      <c r="M18" s="58"/>
      <c r="N18" s="38"/>
      <c r="O18" s="85"/>
      <c r="P18" s="86"/>
      <c r="Q18" s="78"/>
      <c r="R18" s="28">
        <v>13453.68</v>
      </c>
    </row>
    <row r="19" spans="1:19">
      <c r="A19" s="6">
        <v>46002</v>
      </c>
      <c r="B19" t="s">
        <v>229</v>
      </c>
      <c r="C19" s="9">
        <v>7</v>
      </c>
      <c r="D19">
        <v>191</v>
      </c>
      <c r="E19" s="29">
        <v>300</v>
      </c>
      <c r="F19" s="50">
        <v>185</v>
      </c>
      <c r="G19" s="21">
        <f t="shared" si="0"/>
        <v>19.166666666666668</v>
      </c>
      <c r="H19" s="6">
        <v>46010</v>
      </c>
      <c r="I19" s="29">
        <v>195</v>
      </c>
      <c r="J19" s="30">
        <f>I19/D19 -1</f>
        <v>2.0942408376963373E-2</v>
      </c>
      <c r="K19" s="35">
        <f>(C19*I19) - (C19*D19)</f>
        <v>28</v>
      </c>
      <c r="L19" s="21">
        <f>H19-A19</f>
        <v>8</v>
      </c>
      <c r="M19" s="9">
        <f>IF(J19&gt;0,1,0)</f>
        <v>1</v>
      </c>
      <c r="N19">
        <f>IF(K19&gt;0, K19, 0)</f>
        <v>28</v>
      </c>
      <c r="O19" s="17">
        <f>IF(K19&lt;0, K19, 0)</f>
        <v>0</v>
      </c>
      <c r="P19" s="86"/>
      <c r="Q19" s="78"/>
      <c r="R19" s="28">
        <v>13002.08</v>
      </c>
    </row>
    <row r="20" spans="1:19">
      <c r="A20" s="6">
        <v>46000</v>
      </c>
      <c r="B20" t="s">
        <v>68</v>
      </c>
      <c r="C20" s="9">
        <v>7</v>
      </c>
      <c r="D20">
        <v>169.8</v>
      </c>
      <c r="E20" s="29">
        <v>180</v>
      </c>
      <c r="F20" s="50">
        <v>160</v>
      </c>
      <c r="G20" s="21">
        <f t="shared" si="0"/>
        <v>2.0408163265306101</v>
      </c>
      <c r="J20" s="30"/>
      <c r="K20" s="35"/>
      <c r="L20" s="37"/>
      <c r="M20" s="58"/>
      <c r="N20" s="38"/>
      <c r="O20" s="85"/>
      <c r="P20" s="86"/>
      <c r="Q20" s="78"/>
      <c r="R20" s="28">
        <v>12733.37</v>
      </c>
    </row>
    <row r="21" spans="1:19">
      <c r="A21" s="6">
        <v>46000</v>
      </c>
      <c r="B21" t="s">
        <v>24</v>
      </c>
      <c r="C21" s="9">
        <v>3</v>
      </c>
      <c r="D21">
        <v>359.7</v>
      </c>
      <c r="E21" s="29">
        <v>400</v>
      </c>
      <c r="F21" s="50">
        <v>330</v>
      </c>
      <c r="G21" s="21">
        <f t="shared" si="0"/>
        <v>2.3569023569023577</v>
      </c>
      <c r="J21" s="30"/>
      <c r="K21" s="35"/>
      <c r="L21" s="37"/>
      <c r="M21" s="58"/>
      <c r="N21" s="38"/>
      <c r="O21" s="85"/>
      <c r="P21" s="86"/>
      <c r="Q21" s="78"/>
      <c r="R21" s="28">
        <v>13026.42</v>
      </c>
    </row>
    <row r="22" spans="1:19">
      <c r="A22" s="6">
        <v>45999</v>
      </c>
      <c r="B22" t="s">
        <v>348</v>
      </c>
      <c r="C22" s="9">
        <v>14</v>
      </c>
      <c r="D22">
        <v>62.4</v>
      </c>
      <c r="E22" s="29">
        <v>90</v>
      </c>
      <c r="F22" s="50">
        <v>60</v>
      </c>
      <c r="G22" s="21">
        <f t="shared" si="0"/>
        <v>12.500000000000007</v>
      </c>
      <c r="J22" s="30"/>
      <c r="K22" s="35"/>
      <c r="L22" s="37"/>
      <c r="M22" s="58"/>
      <c r="N22" s="38"/>
      <c r="O22" s="85"/>
      <c r="P22" s="86"/>
      <c r="Q22" s="78"/>
    </row>
    <row r="23" spans="1:19">
      <c r="A23" s="6">
        <v>45999</v>
      </c>
      <c r="B23" t="s">
        <v>857</v>
      </c>
      <c r="C23" s="9">
        <v>10</v>
      </c>
      <c r="D23">
        <v>135.16</v>
      </c>
      <c r="E23" s="29">
        <v>150</v>
      </c>
      <c r="F23" s="50">
        <v>120</v>
      </c>
      <c r="G23" s="21">
        <f t="shared" si="0"/>
        <v>1.9788918205804753</v>
      </c>
      <c r="H23" s="6">
        <v>46000</v>
      </c>
      <c r="I23" s="29">
        <v>139</v>
      </c>
      <c r="J23" s="30">
        <f>I23/D23 -1</f>
        <v>2.8410772417875041E-2</v>
      </c>
      <c r="K23" s="35">
        <f>(C23*I23) - (C23*D23)</f>
        <v>38.400000000000091</v>
      </c>
      <c r="L23" s="21">
        <f>H23-A23</f>
        <v>1</v>
      </c>
      <c r="M23" s="9">
        <f>IF(J23&gt;0,1,0)</f>
        <v>1</v>
      </c>
      <c r="N23">
        <f>IF(K23&gt;0, K23, 0)</f>
        <v>38.400000000000091</v>
      </c>
      <c r="O23" s="17">
        <f>IF(K23&lt;0, K23, 0)</f>
        <v>0</v>
      </c>
      <c r="P23" s="86"/>
      <c r="Q23" s="78"/>
      <c r="R23" s="28">
        <v>13020.76</v>
      </c>
    </row>
    <row r="24" spans="1:19">
      <c r="A24" s="6">
        <v>45996</v>
      </c>
      <c r="B24" t="s">
        <v>927</v>
      </c>
      <c r="C24" s="9">
        <v>73</v>
      </c>
      <c r="D24">
        <v>39.08</v>
      </c>
      <c r="E24" s="29">
        <v>40</v>
      </c>
      <c r="F24" s="50">
        <v>35</v>
      </c>
      <c r="G24" s="21">
        <f t="shared" si="0"/>
        <v>1.2254901960784319</v>
      </c>
      <c r="H24" s="6">
        <v>46007</v>
      </c>
      <c r="I24" s="29">
        <v>42.2</v>
      </c>
      <c r="J24" s="30">
        <f>I24/D24 -1</f>
        <v>7.9836233367451603E-2</v>
      </c>
      <c r="K24" s="35">
        <f>(C24*I24) - (C24*D24)</f>
        <v>227.76000000000067</v>
      </c>
      <c r="L24" s="21">
        <f>H24-A24</f>
        <v>11</v>
      </c>
      <c r="M24" s="9">
        <f>IF(J24&gt;0,1,0)</f>
        <v>1</v>
      </c>
      <c r="N24">
        <f>IF(K24&gt;0, K24, 0)</f>
        <v>227.76000000000067</v>
      </c>
      <c r="O24" s="17">
        <f>IF(K24&lt;0, K24, 0)</f>
        <v>0</v>
      </c>
      <c r="P24" s="86"/>
      <c r="Q24" s="78"/>
    </row>
    <row r="25" spans="1:19">
      <c r="A25" s="6">
        <v>45996</v>
      </c>
      <c r="B25" t="s">
        <v>930</v>
      </c>
      <c r="C25" s="9">
        <v>4</v>
      </c>
      <c r="D25">
        <v>320.99</v>
      </c>
      <c r="E25" s="29">
        <v>350</v>
      </c>
      <c r="F25" s="50">
        <v>300</v>
      </c>
      <c r="G25" s="21">
        <f t="shared" si="0"/>
        <v>2.3820867079561685</v>
      </c>
      <c r="J25" s="30"/>
      <c r="K25" s="35"/>
      <c r="L25" s="37"/>
      <c r="M25" s="58"/>
      <c r="N25" s="38"/>
      <c r="O25" s="85"/>
      <c r="P25" s="86"/>
      <c r="Q25" s="78"/>
      <c r="R25" s="28">
        <v>12902.26</v>
      </c>
    </row>
    <row r="26" spans="1:19">
      <c r="A26" s="6">
        <v>45995</v>
      </c>
      <c r="B26" t="s">
        <v>129</v>
      </c>
      <c r="C26" s="9">
        <v>7</v>
      </c>
      <c r="D26">
        <v>890.98</v>
      </c>
      <c r="E26" s="29">
        <v>1000</v>
      </c>
      <c r="F26" s="50">
        <v>880</v>
      </c>
      <c r="G26" s="21">
        <f t="shared" si="0"/>
        <v>10.928961748633862</v>
      </c>
      <c r="P26" s="86"/>
      <c r="Q26" s="78"/>
    </row>
    <row r="27" spans="1:19">
      <c r="A27" s="6">
        <v>45995</v>
      </c>
      <c r="B27" t="s">
        <v>528</v>
      </c>
      <c r="C27" s="9">
        <v>28</v>
      </c>
      <c r="D27">
        <v>183</v>
      </c>
      <c r="E27" s="29">
        <v>205</v>
      </c>
      <c r="F27" s="50">
        <v>175</v>
      </c>
      <c r="G27" s="21">
        <f t="shared" si="0"/>
        <v>3.75</v>
      </c>
      <c r="H27" s="6">
        <v>46021</v>
      </c>
      <c r="I27" s="29">
        <v>188.13</v>
      </c>
      <c r="J27" s="30">
        <f>I27/D27 -1</f>
        <v>2.8032786885245908E-2</v>
      </c>
      <c r="K27" s="35">
        <f>(C27*I27) - (C27*D27)</f>
        <v>143.63999999999942</v>
      </c>
      <c r="L27" s="21">
        <f>H27-A27</f>
        <v>26</v>
      </c>
      <c r="M27" s="9">
        <f>IF(J27&gt;0,1,0)</f>
        <v>1</v>
      </c>
      <c r="N27">
        <f>IF(K27&gt;0, K27, 0)</f>
        <v>143.63999999999942</v>
      </c>
      <c r="O27" s="17">
        <f>IF(K27&lt;0, K27, 0)</f>
        <v>0</v>
      </c>
      <c r="P27" s="86"/>
      <c r="Q27" s="78"/>
      <c r="R27" s="28">
        <v>12526.65</v>
      </c>
    </row>
    <row r="28" spans="1:19">
      <c r="A28" s="6">
        <v>45987</v>
      </c>
      <c r="B28" t="s">
        <v>927</v>
      </c>
      <c r="C28" s="9">
        <v>41</v>
      </c>
      <c r="D28">
        <v>35.1</v>
      </c>
      <c r="E28" s="29">
        <v>38</v>
      </c>
      <c r="F28" s="50">
        <v>31</v>
      </c>
      <c r="G28" s="21">
        <f t="shared" si="0"/>
        <v>1.7073170731707312</v>
      </c>
      <c r="H28" s="6">
        <v>45996</v>
      </c>
      <c r="I28" s="29">
        <v>37.909999999999997</v>
      </c>
      <c r="J28" s="30">
        <f>I28/D28 -1</f>
        <v>8.0056980056979921E-2</v>
      </c>
      <c r="K28" s="35">
        <f>(C28*I28) - (C28*D28)</f>
        <v>115.20999999999981</v>
      </c>
      <c r="L28" s="21">
        <f>H28-A28</f>
        <v>9</v>
      </c>
      <c r="M28" s="9">
        <f>IF(J28&gt;0,1,0)</f>
        <v>1</v>
      </c>
      <c r="N28">
        <f>IF(K28&gt;0, K28, 0)</f>
        <v>115.20999999999981</v>
      </c>
      <c r="O28" s="17">
        <f>IF(K28&lt;0, K28, 0)</f>
        <v>0</v>
      </c>
      <c r="P28" s="86"/>
      <c r="Q28" s="78"/>
      <c r="R28" s="28">
        <v>12287.9</v>
      </c>
      <c r="S28" s="28">
        <v>-234.97</v>
      </c>
    </row>
    <row r="29" spans="1:19">
      <c r="A29" s="6">
        <v>45987</v>
      </c>
      <c r="B29" s="61" t="s">
        <v>346</v>
      </c>
      <c r="C29" s="9">
        <v>48</v>
      </c>
      <c r="D29">
        <v>105.15</v>
      </c>
      <c r="E29" s="29">
        <v>130</v>
      </c>
      <c r="F29" s="50">
        <v>100</v>
      </c>
      <c r="G29" s="21">
        <f t="shared" si="0"/>
        <v>5.8252427184465958</v>
      </c>
      <c r="J29" s="30"/>
      <c r="K29" s="35"/>
      <c r="L29" s="37"/>
      <c r="M29" s="58"/>
      <c r="N29" s="38"/>
      <c r="O29" s="85"/>
      <c r="P29" s="86"/>
      <c r="Q29" s="78"/>
      <c r="R29" s="28">
        <v>12426.05</v>
      </c>
      <c r="S29" s="16">
        <v>475.62</v>
      </c>
    </row>
    <row r="30" spans="1:19">
      <c r="A30" s="6">
        <v>45982</v>
      </c>
      <c r="B30" s="22" t="s">
        <v>719</v>
      </c>
      <c r="C30" s="9">
        <v>1000</v>
      </c>
      <c r="D30">
        <v>0.7</v>
      </c>
      <c r="E30" s="29">
        <v>6</v>
      </c>
      <c r="F30" s="50">
        <v>0.35</v>
      </c>
      <c r="G30" s="21">
        <f t="shared" si="0"/>
        <v>16.142857142857146</v>
      </c>
      <c r="H30" s="6">
        <v>46010</v>
      </c>
      <c r="I30" s="16">
        <v>0</v>
      </c>
      <c r="J30" s="25">
        <f>I30/D30 -1</f>
        <v>-1</v>
      </c>
      <c r="K30" s="36">
        <f>(C30*I30) - (C30*D30)</f>
        <v>-700</v>
      </c>
      <c r="L30" s="24">
        <f>H30-A30</f>
        <v>28</v>
      </c>
      <c r="M30" s="52">
        <f>IF(J30&gt;0,1,0)</f>
        <v>0</v>
      </c>
      <c r="N30" s="24">
        <f>IF(K30&gt;0, K30, 0)</f>
        <v>0</v>
      </c>
      <c r="O30" s="17">
        <f>IF(K30&lt;0, K30, 0)</f>
        <v>-700</v>
      </c>
      <c r="P30" s="86"/>
      <c r="Q30" s="78"/>
    </row>
    <row r="31" spans="1:19">
      <c r="A31" s="6">
        <v>45982</v>
      </c>
      <c r="B31" t="s">
        <v>316</v>
      </c>
      <c r="C31" s="9">
        <v>71</v>
      </c>
      <c r="D31">
        <v>104.44</v>
      </c>
      <c r="E31" s="29">
        <v>130</v>
      </c>
      <c r="F31" s="50">
        <v>100</v>
      </c>
      <c r="G31" s="21">
        <f t="shared" si="0"/>
        <v>6.7567567567567606</v>
      </c>
      <c r="I31" t="s">
        <v>933</v>
      </c>
      <c r="J31" s="30"/>
      <c r="K31" s="35"/>
      <c r="L31" s="37"/>
      <c r="M31" s="58"/>
      <c r="N31" s="38"/>
      <c r="O31" s="85"/>
      <c r="P31" s="86"/>
      <c r="Q31" s="78"/>
    </row>
    <row r="32" spans="1:19">
      <c r="A32" s="6">
        <v>45975</v>
      </c>
      <c r="B32" t="s">
        <v>886</v>
      </c>
      <c r="C32" s="9">
        <v>39</v>
      </c>
      <c r="D32">
        <v>28.78</v>
      </c>
      <c r="E32" s="29">
        <v>40</v>
      </c>
      <c r="F32" s="50">
        <v>25</v>
      </c>
      <c r="G32" s="21">
        <f t="shared" si="0"/>
        <v>3.968253968253967</v>
      </c>
      <c r="J32" s="30"/>
      <c r="K32" s="35"/>
      <c r="L32" s="37"/>
      <c r="M32" s="58"/>
      <c r="N32" s="38"/>
      <c r="O32" s="85"/>
      <c r="P32" s="86"/>
      <c r="Q32" s="78"/>
    </row>
    <row r="33" spans="1:19">
      <c r="A33" s="6">
        <v>45974</v>
      </c>
      <c r="B33" t="s">
        <v>857</v>
      </c>
      <c r="C33" s="9">
        <v>10</v>
      </c>
      <c r="D33">
        <v>123.5</v>
      </c>
      <c r="E33" s="29">
        <v>150</v>
      </c>
      <c r="F33" s="50">
        <v>120</v>
      </c>
      <c r="G33" s="21">
        <f t="shared" si="0"/>
        <v>8.5714285714285712</v>
      </c>
      <c r="H33" s="6">
        <v>45999</v>
      </c>
      <c r="I33" s="29">
        <v>135.35</v>
      </c>
      <c r="J33" s="30">
        <f>I33/D33 -1</f>
        <v>9.5951417004048523E-2</v>
      </c>
      <c r="K33" s="35">
        <f>(C33*I33) - (C33*D33)</f>
        <v>118.5</v>
      </c>
      <c r="L33" s="21">
        <f>H33-A33</f>
        <v>25</v>
      </c>
      <c r="M33" s="9">
        <f>IF(J33&gt;0,1,0)</f>
        <v>1</v>
      </c>
      <c r="N33">
        <f>IF(K33&gt;0, K33, 0)</f>
        <v>118.5</v>
      </c>
      <c r="O33" s="17">
        <f>IF(K33&lt;0, K33, 0)</f>
        <v>0</v>
      </c>
      <c r="P33" s="86"/>
      <c r="Q33" s="78"/>
      <c r="R33" s="28">
        <v>13200.04</v>
      </c>
    </row>
    <row r="34" spans="1:19">
      <c r="A34" s="6">
        <v>45974</v>
      </c>
      <c r="B34" t="s">
        <v>129</v>
      </c>
      <c r="C34" s="9">
        <v>4</v>
      </c>
      <c r="D34">
        <v>913.5</v>
      </c>
      <c r="E34" s="29">
        <v>975</v>
      </c>
      <c r="F34" s="50">
        <v>900</v>
      </c>
      <c r="G34" s="21">
        <f t="shared" si="0"/>
        <v>5.5555555555555554</v>
      </c>
      <c r="H34" s="6">
        <v>45974</v>
      </c>
      <c r="I34" s="29">
        <v>925</v>
      </c>
      <c r="J34" s="30">
        <f>I34/D26 -1</f>
        <v>3.8182675256459131E-2</v>
      </c>
      <c r="K34" s="35">
        <f>(C26*I34) - (C26*D26)</f>
        <v>238.13999999999942</v>
      </c>
      <c r="L34" s="21">
        <f>H34-A26</f>
        <v>-21</v>
      </c>
      <c r="M34" s="9">
        <f>IF(J34&gt;0,1,0)</f>
        <v>1</v>
      </c>
      <c r="N34">
        <f>IF(K34&gt;0, K34, 0)</f>
        <v>238.13999999999942</v>
      </c>
      <c r="O34" s="17">
        <f>IF(K34&lt;0, K34, 0)</f>
        <v>0</v>
      </c>
      <c r="P34" s="86"/>
      <c r="Q34" s="78"/>
      <c r="R34" s="28">
        <v>13200.04</v>
      </c>
    </row>
    <row r="35" spans="1:19">
      <c r="A35" s="6">
        <v>45971</v>
      </c>
      <c r="B35" t="s">
        <v>468</v>
      </c>
      <c r="C35" s="9">
        <v>17</v>
      </c>
      <c r="D35">
        <v>44.5</v>
      </c>
      <c r="E35" s="29">
        <v>60</v>
      </c>
      <c r="F35" s="50">
        <v>40</v>
      </c>
      <c r="G35" s="21">
        <f t="shared" si="0"/>
        <v>4.4444444444444446</v>
      </c>
      <c r="H35" s="6">
        <v>45982</v>
      </c>
      <c r="I35" s="29">
        <v>45</v>
      </c>
      <c r="J35" s="30">
        <f>I35/D35 -1</f>
        <v>1.1235955056179803E-2</v>
      </c>
      <c r="K35" s="35">
        <f>(C35*I35) - (C35*D35)</f>
        <v>8.5</v>
      </c>
      <c r="L35" s="21">
        <f>H35-A35</f>
        <v>11</v>
      </c>
      <c r="M35" s="9">
        <f>IF(J35&gt;0,1,0)</f>
        <v>1</v>
      </c>
      <c r="N35">
        <f>IF(K35&gt;0, K35, 0)</f>
        <v>8.5</v>
      </c>
      <c r="O35" s="17">
        <f>IF(K35&lt;0, K35, 0)</f>
        <v>0</v>
      </c>
      <c r="P35" s="86"/>
      <c r="Q35" s="78"/>
    </row>
    <row r="36" spans="1:19">
      <c r="A36" s="6">
        <v>45959</v>
      </c>
      <c r="B36" t="s">
        <v>746</v>
      </c>
      <c r="C36" s="9">
        <v>242</v>
      </c>
      <c r="D36">
        <v>3.14</v>
      </c>
      <c r="E36" s="29">
        <v>6</v>
      </c>
      <c r="F36" s="50">
        <v>3</v>
      </c>
      <c r="G36" s="21">
        <f t="shared" si="0"/>
        <v>21.428571428571409</v>
      </c>
      <c r="H36" s="6">
        <v>45996</v>
      </c>
      <c r="I36" s="29">
        <v>3.63</v>
      </c>
      <c r="J36" s="30">
        <f>I36/D36 -1</f>
        <v>0.15605095541401259</v>
      </c>
      <c r="K36" s="35">
        <f>(C36*I36) - (C36*D36)</f>
        <v>118.57999999999993</v>
      </c>
      <c r="L36" s="21">
        <f>H36-A36</f>
        <v>37</v>
      </c>
      <c r="M36" s="9">
        <f>IF(J36&gt;0,1,0)</f>
        <v>1</v>
      </c>
      <c r="N36">
        <f>IF(K36&gt;0, K36, 0)</f>
        <v>118.57999999999993</v>
      </c>
      <c r="O36" s="17">
        <f>IF(K36&lt;0, K36, 0)</f>
        <v>0</v>
      </c>
      <c r="P36" s="86"/>
      <c r="Q36" s="78"/>
      <c r="R36" s="28">
        <v>13237.69</v>
      </c>
      <c r="S36" s="28">
        <v>-154.63</v>
      </c>
    </row>
    <row r="37" spans="1:19">
      <c r="A37" s="6">
        <v>45959</v>
      </c>
      <c r="B37" t="s">
        <v>848</v>
      </c>
      <c r="C37" s="9">
        <v>5</v>
      </c>
      <c r="D37">
        <v>260.10000000000002</v>
      </c>
      <c r="E37" s="29">
        <v>350</v>
      </c>
      <c r="F37" s="50">
        <v>250</v>
      </c>
      <c r="G37" s="21">
        <f t="shared" si="0"/>
        <v>9.9009900990098796</v>
      </c>
      <c r="J37" s="30"/>
      <c r="K37" s="35"/>
      <c r="L37" s="37"/>
      <c r="M37" s="58"/>
      <c r="N37" s="38"/>
      <c r="O37" s="85"/>
      <c r="P37" s="86"/>
      <c r="Q37" s="78"/>
      <c r="R37" s="64">
        <v>15149.6</v>
      </c>
      <c r="S37" s="16">
        <v>550.24</v>
      </c>
    </row>
    <row r="38" spans="1:19">
      <c r="A38" s="6">
        <v>45959</v>
      </c>
      <c r="B38" t="s">
        <v>681</v>
      </c>
      <c r="C38" s="9">
        <v>91</v>
      </c>
      <c r="D38">
        <v>13.2</v>
      </c>
      <c r="E38" s="29">
        <v>14</v>
      </c>
      <c r="F38" s="50">
        <v>12.5</v>
      </c>
      <c r="G38" s="21">
        <f t="shared" si="0"/>
        <v>2.142857142857145</v>
      </c>
      <c r="H38" s="6">
        <v>46007</v>
      </c>
      <c r="I38" s="29">
        <v>13.65</v>
      </c>
      <c r="J38" s="30">
        <f t="shared" ref="J38:J43" si="1">I38/D38 -1</f>
        <v>3.4090909090909172E-2</v>
      </c>
      <c r="K38" s="35">
        <f t="shared" ref="K38:K43" si="2">(C38*I38) - (C38*D38)</f>
        <v>40.950000000000045</v>
      </c>
      <c r="L38" s="21">
        <f t="shared" ref="L38:L43" si="3">H38-A38</f>
        <v>48</v>
      </c>
      <c r="M38" s="9">
        <f t="shared" ref="M38:M43" si="4">IF(J38&gt;0,1,0)</f>
        <v>1</v>
      </c>
      <c r="N38">
        <f t="shared" ref="N38:N43" si="5">IF(K38&gt;0, K38, 0)</f>
        <v>40.950000000000045</v>
      </c>
      <c r="O38" s="17">
        <f t="shared" ref="O38:O43" si="6">IF(K38&lt;0, K38, 0)</f>
        <v>0</v>
      </c>
      <c r="P38" s="86"/>
      <c r="Q38" s="78"/>
      <c r="R38" s="28">
        <v>15010.4</v>
      </c>
    </row>
    <row r="39" spans="1:19">
      <c r="A39" s="6">
        <v>45957</v>
      </c>
      <c r="B39" t="s">
        <v>927</v>
      </c>
      <c r="C39" s="9">
        <v>41</v>
      </c>
      <c r="D39">
        <v>32.25</v>
      </c>
      <c r="E39" s="29">
        <v>35</v>
      </c>
      <c r="F39" s="50">
        <v>31</v>
      </c>
      <c r="G39" s="21">
        <f t="shared" si="0"/>
        <v>3.2</v>
      </c>
      <c r="H39" s="6">
        <v>45987</v>
      </c>
      <c r="I39" s="29">
        <v>35.11</v>
      </c>
      <c r="J39" s="30">
        <f t="shared" si="1"/>
        <v>8.8682170542635719E-2</v>
      </c>
      <c r="K39" s="35">
        <f t="shared" si="2"/>
        <v>117.25999999999999</v>
      </c>
      <c r="L39" s="21">
        <f t="shared" si="3"/>
        <v>30</v>
      </c>
      <c r="M39" s="9">
        <f t="shared" si="4"/>
        <v>1</v>
      </c>
      <c r="N39">
        <f t="shared" si="5"/>
        <v>117.25999999999999</v>
      </c>
      <c r="O39" s="17">
        <f t="shared" si="6"/>
        <v>0</v>
      </c>
      <c r="P39" s="86"/>
      <c r="Q39" s="78"/>
      <c r="R39" s="28">
        <v>14803.6</v>
      </c>
    </row>
    <row r="40" spans="1:19">
      <c r="A40" s="6">
        <v>45957</v>
      </c>
      <c r="B40" t="s">
        <v>718</v>
      </c>
      <c r="C40" s="9">
        <v>16</v>
      </c>
      <c r="D40">
        <v>244</v>
      </c>
      <c r="E40" s="29">
        <v>275</v>
      </c>
      <c r="F40" s="75">
        <v>230</v>
      </c>
      <c r="G40" s="21">
        <f t="shared" si="0"/>
        <v>3.2142857142857144</v>
      </c>
      <c r="H40" s="6">
        <v>46001</v>
      </c>
      <c r="I40" s="29">
        <v>247</v>
      </c>
      <c r="J40" s="30">
        <f t="shared" si="1"/>
        <v>1.2295081967213184E-2</v>
      </c>
      <c r="K40" s="35">
        <f t="shared" si="2"/>
        <v>48</v>
      </c>
      <c r="L40" s="21">
        <f t="shared" si="3"/>
        <v>44</v>
      </c>
      <c r="M40" s="9">
        <f t="shared" si="4"/>
        <v>1</v>
      </c>
      <c r="N40">
        <f t="shared" si="5"/>
        <v>48</v>
      </c>
      <c r="O40" s="17">
        <f t="shared" si="6"/>
        <v>0</v>
      </c>
      <c r="P40" s="86"/>
      <c r="Q40" s="78"/>
      <c r="R40" s="28">
        <v>14600.8</v>
      </c>
    </row>
    <row r="41" spans="1:19">
      <c r="A41" s="6">
        <v>45954</v>
      </c>
      <c r="B41" t="s">
        <v>810</v>
      </c>
      <c r="C41" s="9">
        <v>14</v>
      </c>
      <c r="D41">
        <v>87.87</v>
      </c>
      <c r="E41" s="29">
        <v>120</v>
      </c>
      <c r="F41" s="50">
        <v>80</v>
      </c>
      <c r="G41" s="21">
        <f t="shared" si="0"/>
        <v>5.0825921219822083</v>
      </c>
      <c r="H41" s="6">
        <v>45996</v>
      </c>
      <c r="I41" s="29">
        <v>98</v>
      </c>
      <c r="J41" s="30">
        <f t="shared" si="1"/>
        <v>0.11528394218732219</v>
      </c>
      <c r="K41" s="35">
        <f t="shared" si="2"/>
        <v>141.81999999999994</v>
      </c>
      <c r="L41" s="21">
        <f t="shared" si="3"/>
        <v>42</v>
      </c>
      <c r="M41" s="9">
        <f t="shared" si="4"/>
        <v>1</v>
      </c>
      <c r="N41">
        <f t="shared" si="5"/>
        <v>141.81999999999994</v>
      </c>
      <c r="O41" s="17">
        <f t="shared" si="6"/>
        <v>0</v>
      </c>
      <c r="P41" s="86"/>
      <c r="Q41" s="78"/>
    </row>
    <row r="42" spans="1:19">
      <c r="A42" s="6">
        <v>45954</v>
      </c>
      <c r="B42" t="s">
        <v>439</v>
      </c>
      <c r="C42" s="9">
        <v>25</v>
      </c>
      <c r="D42">
        <v>251</v>
      </c>
      <c r="E42" s="29">
        <v>270</v>
      </c>
      <c r="F42" s="75">
        <v>240</v>
      </c>
      <c r="G42" s="21">
        <f t="shared" si="0"/>
        <v>2.7272727272727271</v>
      </c>
      <c r="H42" s="6">
        <v>45957</v>
      </c>
      <c r="I42" s="29">
        <v>265.27</v>
      </c>
      <c r="J42" s="30">
        <f t="shared" si="1"/>
        <v>5.6852589641434248E-2</v>
      </c>
      <c r="K42" s="35">
        <f t="shared" si="2"/>
        <v>356.75</v>
      </c>
      <c r="L42" s="21">
        <f t="shared" si="3"/>
        <v>3</v>
      </c>
      <c r="M42" s="9">
        <f t="shared" si="4"/>
        <v>1</v>
      </c>
      <c r="N42">
        <f t="shared" si="5"/>
        <v>356.75</v>
      </c>
      <c r="O42" s="17">
        <f t="shared" si="6"/>
        <v>0</v>
      </c>
      <c r="P42" s="86"/>
      <c r="Q42" s="78"/>
      <c r="R42" s="28">
        <v>14133.05</v>
      </c>
    </row>
    <row r="43" spans="1:19">
      <c r="A43" s="6">
        <v>45953</v>
      </c>
      <c r="B43" t="s">
        <v>926</v>
      </c>
      <c r="C43" s="9">
        <v>14</v>
      </c>
      <c r="D43">
        <v>7.26</v>
      </c>
      <c r="E43" s="29">
        <v>9</v>
      </c>
      <c r="F43" s="50">
        <v>7</v>
      </c>
      <c r="G43" s="21">
        <f t="shared" si="0"/>
        <v>7.6923076923076987</v>
      </c>
      <c r="H43" s="6">
        <v>45954</v>
      </c>
      <c r="I43" s="29">
        <v>7.5</v>
      </c>
      <c r="J43" s="30">
        <f t="shared" si="1"/>
        <v>3.3057851239669533E-2</v>
      </c>
      <c r="K43" s="35">
        <f t="shared" si="2"/>
        <v>3.3599999999999994</v>
      </c>
      <c r="L43" s="21">
        <f t="shared" si="3"/>
        <v>1</v>
      </c>
      <c r="M43" s="9">
        <f t="shared" si="4"/>
        <v>1</v>
      </c>
      <c r="N43">
        <f t="shared" si="5"/>
        <v>3.3599999999999994</v>
      </c>
      <c r="O43" s="17">
        <f t="shared" si="6"/>
        <v>0</v>
      </c>
      <c r="P43" s="86"/>
      <c r="Q43" s="78"/>
    </row>
    <row r="44" spans="1:19">
      <c r="A44" s="6">
        <v>45953</v>
      </c>
      <c r="B44" t="s">
        <v>925</v>
      </c>
      <c r="C44" s="9">
        <v>38</v>
      </c>
      <c r="D44">
        <v>102.65</v>
      </c>
      <c r="E44" s="29">
        <v>150</v>
      </c>
      <c r="F44" s="50">
        <v>95</v>
      </c>
      <c r="G44" s="21">
        <f t="shared" si="0"/>
        <v>7.1895424836601256</v>
      </c>
      <c r="H44" s="6">
        <v>46021</v>
      </c>
      <c r="I44" s="29">
        <v>105.5</v>
      </c>
      <c r="J44" s="30">
        <f>I44/D44 -1</f>
        <v>2.7764247442766621E-2</v>
      </c>
      <c r="K44" s="35">
        <f>(C44*I44) - (C44*D44)</f>
        <v>108.29999999999973</v>
      </c>
      <c r="L44" s="21">
        <f>H44-A44</f>
        <v>68</v>
      </c>
      <c r="M44" s="9">
        <f>IF(J44&gt;0,1,0)</f>
        <v>1</v>
      </c>
      <c r="N44">
        <f>IF(K44&gt;0, K44, 0)</f>
        <v>108.29999999999973</v>
      </c>
      <c r="O44" s="17">
        <f>IF(K44&lt;0, K44, 0)</f>
        <v>0</v>
      </c>
      <c r="P44" s="86"/>
      <c r="Q44" s="78"/>
    </row>
    <row r="45" spans="1:19">
      <c r="A45" s="6">
        <v>45954</v>
      </c>
      <c r="B45" t="s">
        <v>925</v>
      </c>
      <c r="C45" s="9">
        <v>12</v>
      </c>
      <c r="D45">
        <v>88.4</v>
      </c>
      <c r="E45" s="29">
        <v>150</v>
      </c>
      <c r="F45" s="50">
        <v>95</v>
      </c>
      <c r="G45" s="21">
        <f t="shared" si="0"/>
        <v>-8.333333333333341</v>
      </c>
      <c r="H45" s="6">
        <v>46000</v>
      </c>
      <c r="I45" s="29">
        <v>100.5</v>
      </c>
      <c r="J45" s="30">
        <f>I45/D45 -1</f>
        <v>0.1368778280542986</v>
      </c>
      <c r="K45" s="35">
        <f>(C45*I45) - (C45*D45)</f>
        <v>145.19999999999982</v>
      </c>
      <c r="L45" s="21">
        <f>H45-A45</f>
        <v>46</v>
      </c>
      <c r="M45" s="9">
        <f>IF(J45&gt;0,1,0)</f>
        <v>1</v>
      </c>
      <c r="N45">
        <f>IF(K45&gt;0, K45, 0)</f>
        <v>145.19999999999982</v>
      </c>
      <c r="O45" s="17">
        <f>IF(K45&lt;0, K45, 0)</f>
        <v>0</v>
      </c>
      <c r="P45" s="86"/>
      <c r="Q45" s="78"/>
      <c r="R45" s="28">
        <v>13645.94</v>
      </c>
    </row>
    <row r="46" spans="1:19">
      <c r="A46" s="6">
        <v>45945</v>
      </c>
      <c r="B46" t="s">
        <v>857</v>
      </c>
      <c r="C46" s="9">
        <v>8</v>
      </c>
      <c r="D46">
        <v>134.30000000000001</v>
      </c>
      <c r="E46" s="29">
        <v>170</v>
      </c>
      <c r="F46" s="50">
        <v>130</v>
      </c>
      <c r="G46" s="21">
        <f t="shared" si="0"/>
        <v>9.3023255813953245</v>
      </c>
      <c r="H46" s="6">
        <v>45959</v>
      </c>
      <c r="I46" s="29">
        <v>147</v>
      </c>
      <c r="J46" s="30">
        <f t="shared" ref="J46:J51" si="7">I46/D46 -1</f>
        <v>9.4564408041697634E-2</v>
      </c>
      <c r="K46" s="35">
        <f t="shared" ref="K46:K51" si="8">(C46*I46) - (C46*D46)</f>
        <v>101.59999999999991</v>
      </c>
      <c r="L46" s="21">
        <f t="shared" ref="L46:L51" si="9">H46-A46</f>
        <v>14</v>
      </c>
      <c r="M46" s="9">
        <f t="shared" ref="M46:M51" si="10">IF(J46&gt;0,1,0)</f>
        <v>1</v>
      </c>
      <c r="N46">
        <f t="shared" ref="N46:N51" si="11">IF(K46&gt;0, K46, 0)</f>
        <v>101.59999999999991</v>
      </c>
      <c r="O46" s="17">
        <f t="shared" ref="O46:O51" si="12">IF(K46&lt;0, K46, 0)</f>
        <v>0</v>
      </c>
      <c r="P46" s="86"/>
      <c r="Q46" s="78"/>
    </row>
    <row r="47" spans="1:19">
      <c r="A47" s="6">
        <v>45945</v>
      </c>
      <c r="B47" t="s">
        <v>921</v>
      </c>
      <c r="C47" s="9">
        <v>23</v>
      </c>
      <c r="D47">
        <v>49.2</v>
      </c>
      <c r="E47" s="29">
        <v>60</v>
      </c>
      <c r="F47" s="50">
        <v>45</v>
      </c>
      <c r="G47" s="21">
        <f t="shared" si="0"/>
        <v>3.571428571428569</v>
      </c>
      <c r="H47" s="6">
        <v>45953</v>
      </c>
      <c r="I47" s="29">
        <v>57.5</v>
      </c>
      <c r="J47" s="30">
        <f t="shared" si="7"/>
        <v>0.16869918699186992</v>
      </c>
      <c r="K47" s="35">
        <f t="shared" si="8"/>
        <v>190.89999999999986</v>
      </c>
      <c r="L47" s="21">
        <f t="shared" si="9"/>
        <v>8</v>
      </c>
      <c r="M47" s="9">
        <f t="shared" si="10"/>
        <v>1</v>
      </c>
      <c r="N47">
        <f t="shared" si="11"/>
        <v>190.89999999999986</v>
      </c>
      <c r="O47" s="17">
        <f t="shared" si="12"/>
        <v>0</v>
      </c>
      <c r="P47" s="86"/>
      <c r="Q47" s="78"/>
      <c r="R47" s="28">
        <v>13364.84</v>
      </c>
    </row>
    <row r="48" spans="1:19">
      <c r="A48" s="6">
        <v>45943</v>
      </c>
      <c r="B48" t="s">
        <v>911</v>
      </c>
      <c r="C48" s="9">
        <v>23</v>
      </c>
      <c r="D48">
        <v>91.82</v>
      </c>
      <c r="E48" s="29">
        <v>100</v>
      </c>
      <c r="F48" s="50">
        <v>75</v>
      </c>
      <c r="G48" s="21">
        <f t="shared" si="0"/>
        <v>1.4863258026159341</v>
      </c>
      <c r="H48" s="6">
        <v>45945</v>
      </c>
      <c r="I48" s="29">
        <v>97.5</v>
      </c>
      <c r="J48" s="30">
        <f t="shared" si="7"/>
        <v>6.1860161184927209E-2</v>
      </c>
      <c r="K48" s="35">
        <f t="shared" si="8"/>
        <v>130.64000000000033</v>
      </c>
      <c r="L48" s="21">
        <f t="shared" si="9"/>
        <v>2</v>
      </c>
      <c r="M48" s="9">
        <f t="shared" si="10"/>
        <v>1</v>
      </c>
      <c r="N48">
        <f t="shared" si="11"/>
        <v>130.64000000000033</v>
      </c>
      <c r="O48" s="17">
        <f t="shared" si="12"/>
        <v>0</v>
      </c>
      <c r="P48" s="86"/>
      <c r="Q48" s="78"/>
      <c r="R48" s="28">
        <v>13234.2</v>
      </c>
      <c r="S48" s="28"/>
    </row>
    <row r="49" spans="1:18">
      <c r="A49" s="6">
        <v>45939</v>
      </c>
      <c r="B49" t="s">
        <v>886</v>
      </c>
      <c r="C49" s="9">
        <v>40</v>
      </c>
      <c r="D49">
        <v>28.45</v>
      </c>
      <c r="E49" s="29">
        <v>35</v>
      </c>
      <c r="F49" s="50">
        <v>25</v>
      </c>
      <c r="G49" s="21">
        <f t="shared" si="0"/>
        <v>2.8985507246376816</v>
      </c>
      <c r="H49" s="6">
        <v>45973</v>
      </c>
      <c r="I49" s="29">
        <v>32.5</v>
      </c>
      <c r="J49" s="30">
        <f t="shared" si="7"/>
        <v>0.14235500878734619</v>
      </c>
      <c r="K49" s="35">
        <f t="shared" si="8"/>
        <v>162</v>
      </c>
      <c r="L49" s="21">
        <f t="shared" si="9"/>
        <v>34</v>
      </c>
      <c r="M49" s="9">
        <f t="shared" si="10"/>
        <v>1</v>
      </c>
      <c r="N49">
        <f t="shared" si="11"/>
        <v>162</v>
      </c>
      <c r="O49" s="17">
        <f t="shared" si="12"/>
        <v>0</v>
      </c>
      <c r="P49" s="86"/>
      <c r="Q49" s="78"/>
    </row>
    <row r="50" spans="1:18">
      <c r="A50" s="6">
        <v>45939</v>
      </c>
      <c r="B50" t="s">
        <v>911</v>
      </c>
      <c r="C50" s="9">
        <v>23</v>
      </c>
      <c r="D50">
        <v>87.27</v>
      </c>
      <c r="E50" s="29">
        <v>100</v>
      </c>
      <c r="F50" s="50">
        <v>75</v>
      </c>
      <c r="G50" s="21">
        <f t="shared" si="0"/>
        <v>2.037489812550938</v>
      </c>
      <c r="H50" s="6">
        <v>45943</v>
      </c>
      <c r="I50" s="29">
        <v>91.95</v>
      </c>
      <c r="J50" s="30">
        <f t="shared" si="7"/>
        <v>5.3626675833619908E-2</v>
      </c>
      <c r="K50" s="35">
        <f t="shared" si="8"/>
        <v>107.6400000000001</v>
      </c>
      <c r="L50" s="21">
        <f t="shared" si="9"/>
        <v>4</v>
      </c>
      <c r="M50" s="9">
        <f t="shared" si="10"/>
        <v>1</v>
      </c>
      <c r="N50">
        <f t="shared" si="11"/>
        <v>107.6400000000001</v>
      </c>
      <c r="O50" s="17">
        <f t="shared" si="12"/>
        <v>0</v>
      </c>
      <c r="P50" s="86"/>
      <c r="Q50" s="78"/>
      <c r="R50" s="28">
        <v>13063.56</v>
      </c>
    </row>
    <row r="51" spans="1:18">
      <c r="A51" s="6">
        <v>45938</v>
      </c>
      <c r="B51" t="s">
        <v>911</v>
      </c>
      <c r="C51" s="9">
        <v>23</v>
      </c>
      <c r="D51">
        <v>87.1</v>
      </c>
      <c r="E51" s="29">
        <v>100</v>
      </c>
      <c r="F51" s="50">
        <v>75</v>
      </c>
      <c r="G51" s="21">
        <f t="shared" ref="G51:G56" si="13" xml:space="preserve"> (E51 - F51)/(D51-F51)</f>
        <v>2.06611570247934</v>
      </c>
      <c r="H51" s="6">
        <v>45939</v>
      </c>
      <c r="I51" s="29">
        <v>87.32</v>
      </c>
      <c r="J51" s="30">
        <f t="shared" si="7"/>
        <v>2.5258323765786628E-3</v>
      </c>
      <c r="K51" s="35">
        <f t="shared" si="8"/>
        <v>5.0599999999999454</v>
      </c>
      <c r="L51" s="21">
        <f t="shared" si="9"/>
        <v>1</v>
      </c>
      <c r="M51" s="9">
        <f t="shared" si="10"/>
        <v>1</v>
      </c>
      <c r="N51">
        <f t="shared" si="11"/>
        <v>5.0599999999999454</v>
      </c>
      <c r="O51" s="17">
        <f t="shared" si="12"/>
        <v>0</v>
      </c>
      <c r="P51" s="86"/>
      <c r="Q51" s="78"/>
    </row>
    <row r="52" spans="1:18">
      <c r="A52" s="6">
        <v>45938</v>
      </c>
      <c r="B52" t="s">
        <v>286</v>
      </c>
      <c r="C52" s="9">
        <v>85</v>
      </c>
      <c r="D52">
        <v>15.39</v>
      </c>
      <c r="E52" s="29">
        <v>20</v>
      </c>
      <c r="F52" s="50">
        <v>15</v>
      </c>
      <c r="G52" s="21">
        <f t="shared" si="13"/>
        <v>12.820512820512802</v>
      </c>
      <c r="H52" s="6">
        <v>45974</v>
      </c>
      <c r="I52" s="16">
        <v>12.5</v>
      </c>
      <c r="J52" s="25">
        <f>I52/D52 -1</f>
        <v>-0.18778427550357379</v>
      </c>
      <c r="K52" s="36">
        <f>(C52*I52) - (C52*D52)</f>
        <v>-245.65000000000009</v>
      </c>
      <c r="L52" s="24">
        <f>H52-A52</f>
        <v>36</v>
      </c>
      <c r="M52" s="52">
        <f>IF(J52&gt;0,1,0)</f>
        <v>0</v>
      </c>
      <c r="N52" s="24">
        <f>IF(K52&gt;0, K52, 0)</f>
        <v>0</v>
      </c>
      <c r="O52" s="17">
        <f>IF(K52&lt;0, K52, 0)</f>
        <v>-245.65000000000009</v>
      </c>
      <c r="P52" s="86"/>
      <c r="Q52" s="78"/>
    </row>
    <row r="53" spans="1:18">
      <c r="A53" s="6">
        <v>45938</v>
      </c>
      <c r="B53" t="s">
        <v>129</v>
      </c>
      <c r="C53" s="9">
        <v>3</v>
      </c>
      <c r="D53">
        <v>914</v>
      </c>
      <c r="E53" s="29">
        <v>975</v>
      </c>
      <c r="F53" s="50">
        <v>900</v>
      </c>
      <c r="G53" s="21">
        <f t="shared" si="13"/>
        <v>5.3571428571428568</v>
      </c>
      <c r="H53" s="6">
        <v>45943</v>
      </c>
      <c r="I53" s="29">
        <v>935</v>
      </c>
      <c r="J53" s="30">
        <f>I53/D53 -1</f>
        <v>2.2975929978118259E-2</v>
      </c>
      <c r="K53" s="35">
        <f>(C53*I53) - (C53*D53)</f>
        <v>63</v>
      </c>
      <c r="L53" s="21">
        <f>H53-A53</f>
        <v>5</v>
      </c>
      <c r="M53" s="9">
        <f>IF(J53&gt;0,1,0)</f>
        <v>1</v>
      </c>
      <c r="N53">
        <f>IF(K53&gt;0, K53, 0)</f>
        <v>63</v>
      </c>
      <c r="O53" s="17">
        <f>IF(K53&lt;0, K53, 0)</f>
        <v>0</v>
      </c>
      <c r="P53" s="86"/>
      <c r="Q53" s="78"/>
    </row>
    <row r="54" spans="1:18">
      <c r="A54" s="6">
        <v>45938</v>
      </c>
      <c r="B54" t="s">
        <v>439</v>
      </c>
      <c r="C54" s="9">
        <v>25</v>
      </c>
      <c r="D54">
        <v>233.65</v>
      </c>
      <c r="E54" s="29">
        <v>250</v>
      </c>
      <c r="F54" s="75">
        <v>200</v>
      </c>
      <c r="G54" s="21">
        <f t="shared" si="13"/>
        <v>1.4858841010401187</v>
      </c>
      <c r="H54" s="6">
        <v>45954</v>
      </c>
      <c r="I54" s="29">
        <v>253</v>
      </c>
      <c r="J54" s="30">
        <f>I54/D54 -1</f>
        <v>8.2816178044083033E-2</v>
      </c>
      <c r="K54" s="35">
        <f>(C54*I54) - (C54*D54)</f>
        <v>483.75</v>
      </c>
      <c r="L54" s="21">
        <f>H54-A54</f>
        <v>16</v>
      </c>
      <c r="M54" s="9">
        <f>IF(J54&gt;0,1,0)</f>
        <v>1</v>
      </c>
      <c r="N54">
        <f>IF(K54&gt;0, K54, 0)</f>
        <v>483.75</v>
      </c>
      <c r="O54" s="17">
        <f>IF(K54&lt;0, K54, 0)</f>
        <v>0</v>
      </c>
      <c r="P54" s="86"/>
      <c r="Q54" s="78"/>
    </row>
    <row r="55" spans="1:18">
      <c r="A55" s="6">
        <v>45974</v>
      </c>
      <c r="B55" t="s">
        <v>733</v>
      </c>
      <c r="C55" s="9">
        <v>41</v>
      </c>
      <c r="D55">
        <v>132.5</v>
      </c>
      <c r="E55" s="29">
        <v>180</v>
      </c>
      <c r="F55" s="75">
        <v>140</v>
      </c>
      <c r="G55" s="21">
        <f xml:space="preserve"> (E55 - F55)/(D55-F55)</f>
        <v>-5.333333333333333</v>
      </c>
      <c r="H55" s="6">
        <v>45994</v>
      </c>
      <c r="I55" s="29">
        <v>135</v>
      </c>
      <c r="J55" s="30">
        <f>I55/D55 -1</f>
        <v>1.8867924528301883E-2</v>
      </c>
      <c r="K55" s="35">
        <f>(C55*I55) - (C55*D55)</f>
        <v>102.5</v>
      </c>
      <c r="L55" s="21">
        <f>H55-A55</f>
        <v>20</v>
      </c>
      <c r="M55" s="9">
        <f>IF(J55&gt;0,1,0)</f>
        <v>1</v>
      </c>
      <c r="N55">
        <f>IF(K55&gt;0, K55, 0)</f>
        <v>102.5</v>
      </c>
      <c r="O55" s="17">
        <f>IF(K55&lt;0, K55, 0)</f>
        <v>0</v>
      </c>
      <c r="P55" s="86"/>
      <c r="Q55" s="78"/>
    </row>
    <row r="56" spans="1:18">
      <c r="A56" s="6">
        <v>45938</v>
      </c>
      <c r="B56" t="s">
        <v>733</v>
      </c>
      <c r="C56" s="9">
        <v>27</v>
      </c>
      <c r="D56">
        <v>164.05</v>
      </c>
      <c r="E56" s="29">
        <v>180</v>
      </c>
      <c r="F56" s="75">
        <v>140</v>
      </c>
      <c r="G56" s="21">
        <f t="shared" si="13"/>
        <v>1.6632016632016624</v>
      </c>
      <c r="J56" s="30"/>
      <c r="K56" s="35"/>
      <c r="L56" s="37"/>
      <c r="M56" s="58"/>
      <c r="N56" s="38"/>
      <c r="O56" s="85"/>
      <c r="P56" s="86"/>
      <c r="Q56" s="78"/>
      <c r="R56" s="28">
        <v>12938.5</v>
      </c>
    </row>
    <row r="57" spans="1:18">
      <c r="A57" s="6">
        <v>45937</v>
      </c>
      <c r="B57" t="s">
        <v>741</v>
      </c>
      <c r="C57" s="9">
        <v>68</v>
      </c>
      <c r="D57">
        <v>16.7</v>
      </c>
      <c r="E57" s="29">
        <v>22.5</v>
      </c>
      <c r="F57" s="50">
        <v>16</v>
      </c>
      <c r="G57" s="21">
        <f t="shared" ref="G57:G88" si="14" xml:space="preserve"> (E57 - F57)/(D57-F57)</f>
        <v>9.2857142857142954</v>
      </c>
      <c r="H57" s="6">
        <v>46008</v>
      </c>
      <c r="I57" s="29">
        <v>17.5</v>
      </c>
      <c r="J57" s="30">
        <f>I57/D57 -1</f>
        <v>4.7904191616766401E-2</v>
      </c>
      <c r="K57" s="35">
        <f>(C57*I57) - (C57*D57)</f>
        <v>54.400000000000091</v>
      </c>
      <c r="L57" s="21">
        <f>H57-A57</f>
        <v>71</v>
      </c>
      <c r="M57" s="9">
        <f>IF(J57&gt;0,1,0)</f>
        <v>1</v>
      </c>
      <c r="N57">
        <f>IF(K57&gt;0, K57, 0)</f>
        <v>54.400000000000091</v>
      </c>
      <c r="O57" s="17">
        <f>IF(K57&lt;0, K57, 0)</f>
        <v>0</v>
      </c>
      <c r="P57" s="86"/>
      <c r="Q57" s="78"/>
    </row>
    <row r="58" spans="1:18">
      <c r="A58" s="6">
        <v>45937</v>
      </c>
      <c r="B58" t="s">
        <v>577</v>
      </c>
      <c r="C58" s="9">
        <v>41</v>
      </c>
      <c r="D58">
        <v>83.5</v>
      </c>
      <c r="E58" s="29">
        <v>100</v>
      </c>
      <c r="F58" s="50">
        <v>80</v>
      </c>
      <c r="G58" s="21">
        <f t="shared" si="14"/>
        <v>5.7142857142857144</v>
      </c>
      <c r="H58" s="6">
        <v>45953</v>
      </c>
      <c r="I58" s="29">
        <v>85.7</v>
      </c>
      <c r="J58" s="30">
        <f>I58/D58 -1</f>
        <v>2.6347305389221587E-2</v>
      </c>
      <c r="K58" s="35">
        <f>(C58*I58) - (C58*D58)</f>
        <v>90.200000000000273</v>
      </c>
      <c r="L58" s="21">
        <f>H58-A58</f>
        <v>16</v>
      </c>
      <c r="M58" s="9">
        <f>IF(J58&gt;0,1,0)</f>
        <v>1</v>
      </c>
      <c r="N58">
        <f>IF(K58&gt;0, K58, 0)</f>
        <v>90.200000000000273</v>
      </c>
      <c r="O58" s="17">
        <f>IF(K58&lt;0, K58, 0)</f>
        <v>0</v>
      </c>
      <c r="P58" s="86"/>
      <c r="Q58" s="78"/>
      <c r="R58" s="28">
        <v>11661.16</v>
      </c>
    </row>
    <row r="59" spans="1:18">
      <c r="A59" s="6">
        <v>45936</v>
      </c>
      <c r="B59" t="s">
        <v>911</v>
      </c>
      <c r="C59" s="9">
        <v>23</v>
      </c>
      <c r="D59">
        <v>74.290000000000006</v>
      </c>
      <c r="E59" s="29">
        <v>80</v>
      </c>
      <c r="F59" s="50">
        <v>55</v>
      </c>
      <c r="G59" s="21">
        <f t="shared" si="14"/>
        <v>1.2960082944530842</v>
      </c>
      <c r="H59" s="6">
        <v>45938</v>
      </c>
      <c r="I59" s="29">
        <v>87.5</v>
      </c>
      <c r="J59" s="30">
        <f>I59/D59 -1</f>
        <v>0.17781666442320621</v>
      </c>
      <c r="K59" s="35">
        <f>(C59*I59) - (C59*D59)</f>
        <v>303.82999999999993</v>
      </c>
      <c r="L59" s="21">
        <f>H59-A59</f>
        <v>2</v>
      </c>
      <c r="M59" s="9">
        <f>IF(J59&gt;0,1,0)</f>
        <v>1</v>
      </c>
      <c r="N59">
        <f>IF(K59&gt;0, K59, 0)</f>
        <v>303.82999999999993</v>
      </c>
      <c r="O59" s="17">
        <f>IF(K59&lt;0, K59, 0)</f>
        <v>0</v>
      </c>
      <c r="P59" s="86"/>
      <c r="Q59" s="78"/>
    </row>
    <row r="60" spans="1:18">
      <c r="A60" s="6">
        <v>45936</v>
      </c>
      <c r="B60" t="s">
        <v>528</v>
      </c>
      <c r="C60" s="9">
        <v>6</v>
      </c>
      <c r="D60">
        <v>185.86</v>
      </c>
      <c r="E60" s="29">
        <v>200</v>
      </c>
      <c r="F60" s="50">
        <v>175</v>
      </c>
      <c r="G60" s="21">
        <f t="shared" si="14"/>
        <v>2.3020257826887631</v>
      </c>
      <c r="H60" s="6">
        <v>45937</v>
      </c>
      <c r="I60" s="29">
        <v>189.01</v>
      </c>
      <c r="J60" s="30">
        <f>I60/D60 -1</f>
        <v>1.6948240611212695E-2</v>
      </c>
      <c r="K60" s="35">
        <f>(C60*I60) - (C60*D60)</f>
        <v>18.899999999999864</v>
      </c>
      <c r="L60" s="21">
        <f>H60-A60</f>
        <v>1</v>
      </c>
      <c r="M60" s="9">
        <f>IF(J60&gt;0,1,0)</f>
        <v>1</v>
      </c>
      <c r="N60">
        <f>IF(K60&gt;0, K60, 0)</f>
        <v>18.899999999999864</v>
      </c>
      <c r="O60" s="17">
        <f>IF(K60&lt;0, K60, 0)</f>
        <v>0</v>
      </c>
      <c r="P60" s="86"/>
      <c r="Q60" s="78"/>
    </row>
    <row r="61" spans="1:18">
      <c r="A61" s="6">
        <v>45936</v>
      </c>
      <c r="B61" t="s">
        <v>899</v>
      </c>
      <c r="C61" s="9">
        <v>435</v>
      </c>
      <c r="D61">
        <v>5.14</v>
      </c>
      <c r="E61" s="29">
        <v>7.5</v>
      </c>
      <c r="F61" s="50">
        <v>4.3499999999999996</v>
      </c>
      <c r="G61" s="21">
        <f t="shared" si="14"/>
        <v>3.9873417721518991</v>
      </c>
      <c r="J61" s="30"/>
      <c r="K61" s="35"/>
      <c r="L61" s="37"/>
      <c r="M61" s="58"/>
      <c r="N61" s="38"/>
      <c r="O61" s="85"/>
      <c r="P61" s="86"/>
      <c r="Q61" s="78"/>
    </row>
    <row r="62" spans="1:18">
      <c r="A62" s="6">
        <v>45936</v>
      </c>
      <c r="B62" t="s">
        <v>439</v>
      </c>
      <c r="C62" s="9">
        <v>25</v>
      </c>
      <c r="D62">
        <v>205.82</v>
      </c>
      <c r="E62" s="29">
        <v>230</v>
      </c>
      <c r="F62" s="75">
        <v>200</v>
      </c>
      <c r="G62" s="21">
        <f t="shared" si="14"/>
        <v>5.1546391752577376</v>
      </c>
      <c r="H62" s="6">
        <v>45938</v>
      </c>
      <c r="I62" s="29">
        <v>233.78</v>
      </c>
      <c r="J62" s="30">
        <f>I62/D62 -1</f>
        <v>0.13584685647653294</v>
      </c>
      <c r="K62" s="35">
        <f>(C62*I62) - (C62*D62)</f>
        <v>699</v>
      </c>
      <c r="L62" s="21">
        <f>H62-A62</f>
        <v>2</v>
      </c>
      <c r="M62" s="9">
        <f>IF(J62&gt;0,1,0)</f>
        <v>1</v>
      </c>
      <c r="N62">
        <f>IF(K62&gt;0, K62, 0)</f>
        <v>699</v>
      </c>
      <c r="O62" s="17">
        <f>IF(K62&lt;0, K62, 0)</f>
        <v>0</v>
      </c>
      <c r="P62" s="86"/>
      <c r="Q62" s="78"/>
      <c r="R62" s="28">
        <v>11642.26</v>
      </c>
    </row>
    <row r="63" spans="1:18">
      <c r="A63" s="6">
        <v>45933</v>
      </c>
      <c r="B63" t="s">
        <v>886</v>
      </c>
      <c r="C63" s="9">
        <v>40</v>
      </c>
      <c r="D63">
        <v>25.45</v>
      </c>
      <c r="E63" s="29">
        <v>35</v>
      </c>
      <c r="F63" s="50">
        <v>25</v>
      </c>
      <c r="G63" s="21">
        <f t="shared" si="14"/>
        <v>22.222222222222257</v>
      </c>
      <c r="H63" s="6">
        <v>45939</v>
      </c>
      <c r="I63" s="29">
        <v>28.45</v>
      </c>
      <c r="J63" s="30">
        <f>I63/D63 -1</f>
        <v>0.11787819253438103</v>
      </c>
      <c r="K63" s="35">
        <f>(C63*I63) - (C63*D63)</f>
        <v>120</v>
      </c>
      <c r="L63" s="21">
        <f>H63-A63</f>
        <v>6</v>
      </c>
      <c r="M63" s="9">
        <f>IF(J63&gt;0,1,0)</f>
        <v>1</v>
      </c>
      <c r="N63">
        <f>IF(K63&gt;0, K63, 0)</f>
        <v>120</v>
      </c>
      <c r="O63" s="17">
        <f>IF(K63&lt;0, K63, 0)</f>
        <v>0</v>
      </c>
      <c r="P63" s="86"/>
      <c r="Q63" s="78"/>
    </row>
    <row r="64" spans="1:18">
      <c r="A64" s="6">
        <v>45932</v>
      </c>
      <c r="B64" t="s">
        <v>639</v>
      </c>
      <c r="C64" s="9">
        <v>27</v>
      </c>
      <c r="D64">
        <v>51.82</v>
      </c>
      <c r="E64" s="29">
        <v>60</v>
      </c>
      <c r="F64" s="50">
        <v>40</v>
      </c>
      <c r="G64" s="21">
        <f t="shared" si="14"/>
        <v>1.6920473773265652</v>
      </c>
      <c r="J64" s="30"/>
      <c r="K64" s="35"/>
      <c r="L64" s="37"/>
      <c r="M64" s="58"/>
      <c r="N64" s="38"/>
      <c r="O64" s="85"/>
      <c r="P64" s="86"/>
      <c r="Q64" s="78"/>
    </row>
    <row r="65" spans="1:19">
      <c r="A65" s="6">
        <v>45932</v>
      </c>
      <c r="B65" t="s">
        <v>911</v>
      </c>
      <c r="C65" s="9">
        <v>23</v>
      </c>
      <c r="D65">
        <v>66.55</v>
      </c>
      <c r="E65" s="29">
        <v>70</v>
      </c>
      <c r="F65" s="50">
        <v>50</v>
      </c>
      <c r="G65" s="21">
        <f t="shared" si="14"/>
        <v>1.2084592145015107</v>
      </c>
      <c r="H65" s="6">
        <v>45936</v>
      </c>
      <c r="I65" s="29">
        <v>74.319999999999993</v>
      </c>
      <c r="J65" s="30">
        <f>I65/D65 -1</f>
        <v>0.11675432006010511</v>
      </c>
      <c r="K65" s="35">
        <f>(C65*I65) - (C65*D65)</f>
        <v>178.71000000000004</v>
      </c>
      <c r="L65" s="21">
        <f>H65-A65</f>
        <v>4</v>
      </c>
      <c r="M65" s="9">
        <f>IF(J65&gt;0,1,0)</f>
        <v>1</v>
      </c>
      <c r="N65">
        <f>IF(K65&gt;0, K65, 0)</f>
        <v>178.71000000000004</v>
      </c>
      <c r="O65" s="17">
        <f>IF(K65&lt;0, K65, 0)</f>
        <v>0</v>
      </c>
      <c r="P65" s="86"/>
      <c r="Q65" s="78"/>
    </row>
    <row r="66" spans="1:19">
      <c r="A66" s="6">
        <v>45932</v>
      </c>
      <c r="B66" t="s">
        <v>888</v>
      </c>
      <c r="C66" s="9">
        <v>25</v>
      </c>
      <c r="D66">
        <v>189.15</v>
      </c>
      <c r="E66" s="29">
        <v>200</v>
      </c>
      <c r="F66" s="50">
        <v>150</v>
      </c>
      <c r="G66" s="21">
        <f t="shared" si="14"/>
        <v>1.2771392081736908</v>
      </c>
      <c r="H66" s="6">
        <v>45982</v>
      </c>
      <c r="I66" s="16">
        <v>155</v>
      </c>
      <c r="J66" s="25">
        <f>I66/D66 -1</f>
        <v>-0.18054454136928366</v>
      </c>
      <c r="K66" s="36">
        <f>(C66*I66) - (C66*D66)</f>
        <v>-853.75</v>
      </c>
      <c r="L66" s="24">
        <f>H66-A66</f>
        <v>50</v>
      </c>
      <c r="M66" s="52">
        <f>IF(J66&gt;0,1,0)</f>
        <v>0</v>
      </c>
      <c r="N66" s="24">
        <f>IF(K66&gt;0, K66, 0)</f>
        <v>0</v>
      </c>
      <c r="O66" s="17">
        <f>IF(K66&lt;0, K66, 0)</f>
        <v>-853.75</v>
      </c>
      <c r="P66" s="86"/>
      <c r="Q66" s="78"/>
      <c r="R66" s="28">
        <v>10377.51</v>
      </c>
    </row>
    <row r="67" spans="1:19">
      <c r="A67" s="6">
        <v>45929</v>
      </c>
      <c r="B67" s="61" t="s">
        <v>521</v>
      </c>
      <c r="C67" s="9">
        <v>5</v>
      </c>
      <c r="D67">
        <v>245.3</v>
      </c>
      <c r="E67" s="29">
        <v>275</v>
      </c>
      <c r="F67" s="50">
        <v>240</v>
      </c>
      <c r="G67" s="21">
        <f t="shared" si="14"/>
        <v>6.603773584905646</v>
      </c>
      <c r="H67" s="6">
        <v>45957</v>
      </c>
      <c r="I67" s="29">
        <v>267.5</v>
      </c>
      <c r="J67" s="30">
        <f t="shared" ref="J67:J74" si="15">I67/D67 -1</f>
        <v>9.0501426824296738E-2</v>
      </c>
      <c r="K67" s="35">
        <f t="shared" ref="K67:K74" si="16">(C67*I67) - (C67*D67)</f>
        <v>111</v>
      </c>
      <c r="L67" s="21">
        <f t="shared" ref="L67:L74" si="17">H67-A67</f>
        <v>28</v>
      </c>
      <c r="M67" s="9">
        <f t="shared" ref="M67:M74" si="18">IF(J67&gt;0,1,0)</f>
        <v>1</v>
      </c>
      <c r="N67">
        <f t="shared" ref="N67:N74" si="19">IF(K67&gt;0, K67, 0)</f>
        <v>111</v>
      </c>
      <c r="O67" s="17">
        <f t="shared" ref="O67:O74" si="20">IF(K67&lt;0, K67, 0)</f>
        <v>0</v>
      </c>
      <c r="P67" s="86"/>
      <c r="Q67" s="78"/>
      <c r="R67" s="28">
        <v>9667.06</v>
      </c>
      <c r="S67" s="28">
        <v>-233.68</v>
      </c>
    </row>
    <row r="68" spans="1:19">
      <c r="A68" s="6">
        <v>45926</v>
      </c>
      <c r="B68" t="s">
        <v>639</v>
      </c>
      <c r="C68" s="9">
        <v>26</v>
      </c>
      <c r="D68">
        <v>45.5</v>
      </c>
      <c r="E68" s="29">
        <v>60</v>
      </c>
      <c r="F68" s="50">
        <v>40</v>
      </c>
      <c r="G68" s="21">
        <f t="shared" si="14"/>
        <v>3.6363636363636362</v>
      </c>
      <c r="H68" s="6">
        <v>45932</v>
      </c>
      <c r="I68" s="29">
        <v>52.57</v>
      </c>
      <c r="J68" s="30">
        <f t="shared" si="15"/>
        <v>0.15538461538461545</v>
      </c>
      <c r="K68" s="35">
        <f t="shared" si="16"/>
        <v>183.81999999999994</v>
      </c>
      <c r="L68" s="21">
        <f t="shared" si="17"/>
        <v>6</v>
      </c>
      <c r="M68" s="9">
        <f t="shared" si="18"/>
        <v>1</v>
      </c>
      <c r="N68">
        <f t="shared" si="19"/>
        <v>183.81999999999994</v>
      </c>
      <c r="O68" s="17">
        <f t="shared" si="20"/>
        <v>0</v>
      </c>
      <c r="P68" s="86"/>
      <c r="Q68" s="78"/>
      <c r="R68" s="64">
        <v>9977.42</v>
      </c>
      <c r="S68" s="16">
        <v>544.04</v>
      </c>
    </row>
    <row r="69" spans="1:19">
      <c r="A69" s="6">
        <v>45926</v>
      </c>
      <c r="B69" s="61" t="s">
        <v>919</v>
      </c>
      <c r="C69" s="9">
        <v>24</v>
      </c>
      <c r="D69">
        <v>55.2</v>
      </c>
      <c r="E69" s="29">
        <v>60</v>
      </c>
      <c r="F69" s="50">
        <v>50</v>
      </c>
      <c r="G69" s="21">
        <f t="shared" si="14"/>
        <v>1.923076923076922</v>
      </c>
      <c r="H69" s="6">
        <v>45965</v>
      </c>
      <c r="I69" s="29">
        <v>61</v>
      </c>
      <c r="J69" s="30">
        <f t="shared" si="15"/>
        <v>0.10507246376811596</v>
      </c>
      <c r="K69" s="35">
        <f t="shared" si="16"/>
        <v>139.19999999999982</v>
      </c>
      <c r="L69" s="21">
        <f t="shared" si="17"/>
        <v>39</v>
      </c>
      <c r="M69" s="9">
        <f t="shared" si="18"/>
        <v>1</v>
      </c>
      <c r="N69">
        <f t="shared" si="19"/>
        <v>139.19999999999982</v>
      </c>
      <c r="O69" s="17">
        <f t="shared" si="20"/>
        <v>0</v>
      </c>
      <c r="P69" s="86"/>
      <c r="Q69" s="78"/>
      <c r="R69" s="28">
        <v>9660.2999999999993</v>
      </c>
    </row>
    <row r="70" spans="1:19">
      <c r="A70" s="6">
        <v>45925</v>
      </c>
      <c r="B70" t="s">
        <v>243</v>
      </c>
      <c r="C70" s="9">
        <v>7</v>
      </c>
      <c r="D70">
        <v>164.5</v>
      </c>
      <c r="E70" s="29">
        <v>200</v>
      </c>
      <c r="F70" s="50">
        <v>150</v>
      </c>
      <c r="G70" s="21">
        <f t="shared" si="14"/>
        <v>3.4482758620689653</v>
      </c>
      <c r="H70" s="6">
        <v>45926</v>
      </c>
      <c r="I70" s="29">
        <v>166</v>
      </c>
      <c r="J70" s="30">
        <f t="shared" si="15"/>
        <v>9.1185410334346795E-3</v>
      </c>
      <c r="K70" s="35">
        <f t="shared" si="16"/>
        <v>10.5</v>
      </c>
      <c r="L70" s="21">
        <f t="shared" si="17"/>
        <v>1</v>
      </c>
      <c r="M70" s="9">
        <f t="shared" si="18"/>
        <v>1</v>
      </c>
      <c r="N70">
        <f t="shared" si="19"/>
        <v>10.5</v>
      </c>
      <c r="O70" s="17">
        <f t="shared" si="20"/>
        <v>0</v>
      </c>
      <c r="P70" s="86"/>
      <c r="Q70" s="78"/>
    </row>
    <row r="71" spans="1:19">
      <c r="A71" s="6">
        <v>45925</v>
      </c>
      <c r="B71" t="s">
        <v>587</v>
      </c>
      <c r="C71" s="9">
        <v>26</v>
      </c>
      <c r="D71">
        <v>35.229999999999997</v>
      </c>
      <c r="E71" s="29">
        <v>50</v>
      </c>
      <c r="F71" s="50">
        <v>30</v>
      </c>
      <c r="G71" s="21">
        <f t="shared" si="14"/>
        <v>3.8240917782026793</v>
      </c>
      <c r="H71" s="6">
        <v>45931</v>
      </c>
      <c r="I71" s="29">
        <v>39.200000000000003</v>
      </c>
      <c r="J71" s="30">
        <f t="shared" si="15"/>
        <v>0.11268804995742276</v>
      </c>
      <c r="K71" s="35">
        <f t="shared" si="16"/>
        <v>103.22000000000014</v>
      </c>
      <c r="L71" s="21">
        <f t="shared" si="17"/>
        <v>6</v>
      </c>
      <c r="M71" s="9">
        <f t="shared" si="18"/>
        <v>1</v>
      </c>
      <c r="N71">
        <f t="shared" si="19"/>
        <v>103.22000000000014</v>
      </c>
      <c r="O71" s="17">
        <f t="shared" si="20"/>
        <v>0</v>
      </c>
      <c r="P71" s="86"/>
      <c r="Q71" s="78"/>
      <c r="R71" s="28">
        <v>9516.0400000000009</v>
      </c>
    </row>
    <row r="72" spans="1:19">
      <c r="A72" s="6">
        <v>45924</v>
      </c>
      <c r="B72" t="s">
        <v>741</v>
      </c>
      <c r="C72" s="9">
        <v>70</v>
      </c>
      <c r="D72">
        <v>17.05</v>
      </c>
      <c r="E72" s="29">
        <v>23</v>
      </c>
      <c r="F72" s="50">
        <v>15</v>
      </c>
      <c r="G72" s="21">
        <f t="shared" si="14"/>
        <v>3.9024390243902425</v>
      </c>
      <c r="H72" s="6">
        <v>45929</v>
      </c>
      <c r="I72" s="29">
        <v>17.8</v>
      </c>
      <c r="J72" s="30">
        <f t="shared" si="15"/>
        <v>4.3988269794721369E-2</v>
      </c>
      <c r="K72" s="35">
        <f t="shared" si="16"/>
        <v>52.5</v>
      </c>
      <c r="L72" s="21">
        <f t="shared" si="17"/>
        <v>5</v>
      </c>
      <c r="M72" s="9">
        <f t="shared" si="18"/>
        <v>1</v>
      </c>
      <c r="N72">
        <f t="shared" si="19"/>
        <v>52.5</v>
      </c>
      <c r="O72" s="17">
        <f t="shared" si="20"/>
        <v>0</v>
      </c>
      <c r="P72" s="86"/>
      <c r="Q72" s="78"/>
    </row>
    <row r="73" spans="1:19">
      <c r="A73" s="6">
        <v>45924</v>
      </c>
      <c r="B73" t="s">
        <v>888</v>
      </c>
      <c r="C73" s="9">
        <v>19</v>
      </c>
      <c r="D73">
        <v>176.75</v>
      </c>
      <c r="E73" s="29">
        <v>200</v>
      </c>
      <c r="F73" s="50">
        <v>150</v>
      </c>
      <c r="G73" s="21">
        <f t="shared" si="14"/>
        <v>1.8691588785046729</v>
      </c>
      <c r="H73" s="6">
        <v>45932</v>
      </c>
      <c r="I73" s="29">
        <v>189.23</v>
      </c>
      <c r="J73" s="30">
        <f t="shared" si="15"/>
        <v>7.0608203677510639E-2</v>
      </c>
      <c r="K73" s="35">
        <f t="shared" si="16"/>
        <v>237.11999999999989</v>
      </c>
      <c r="L73" s="21">
        <f t="shared" si="17"/>
        <v>8</v>
      </c>
      <c r="M73" s="9">
        <f t="shared" si="18"/>
        <v>1</v>
      </c>
      <c r="N73">
        <f t="shared" si="19"/>
        <v>237.11999999999989</v>
      </c>
      <c r="O73" s="17">
        <f t="shared" si="20"/>
        <v>0</v>
      </c>
      <c r="P73" s="86"/>
      <c r="Q73" s="78"/>
      <c r="R73" s="28">
        <v>9210.34</v>
      </c>
    </row>
    <row r="74" spans="1:19">
      <c r="A74" s="6">
        <v>45923</v>
      </c>
      <c r="B74" t="s">
        <v>699</v>
      </c>
      <c r="C74" s="9">
        <v>9</v>
      </c>
      <c r="D74">
        <v>83.3</v>
      </c>
      <c r="E74" s="29">
        <v>90</v>
      </c>
      <c r="F74" s="50">
        <v>80</v>
      </c>
      <c r="G74" s="21">
        <f t="shared" si="14"/>
        <v>3.0303030303030329</v>
      </c>
      <c r="H74" s="6">
        <v>45959</v>
      </c>
      <c r="I74" s="29">
        <v>84</v>
      </c>
      <c r="J74" s="30">
        <f t="shared" si="15"/>
        <v>8.4033613445377853E-3</v>
      </c>
      <c r="K74" s="35">
        <f t="shared" si="16"/>
        <v>6.3000000000000682</v>
      </c>
      <c r="L74" s="21">
        <f t="shared" si="17"/>
        <v>36</v>
      </c>
      <c r="M74" s="9">
        <f t="shared" si="18"/>
        <v>1</v>
      </c>
      <c r="N74">
        <f t="shared" si="19"/>
        <v>6.3000000000000682</v>
      </c>
      <c r="O74" s="17">
        <f t="shared" si="20"/>
        <v>0</v>
      </c>
      <c r="P74" s="86"/>
      <c r="Q74" s="78"/>
    </row>
    <row r="75" spans="1:19">
      <c r="A75" s="6">
        <v>45923</v>
      </c>
      <c r="B75" s="61" t="s">
        <v>671</v>
      </c>
      <c r="C75" s="9">
        <v>38</v>
      </c>
      <c r="D75">
        <v>30.67</v>
      </c>
      <c r="E75" s="29">
        <v>35</v>
      </c>
      <c r="F75" s="50">
        <v>30</v>
      </c>
      <c r="G75" s="21">
        <f t="shared" si="14"/>
        <v>7.4626865671641598</v>
      </c>
      <c r="H75" s="6">
        <v>46013</v>
      </c>
      <c r="I75" s="29">
        <v>32</v>
      </c>
      <c r="J75" s="30">
        <f t="shared" ref="J75:J82" si="21">I75/D75 -1</f>
        <v>4.3364851646560121E-2</v>
      </c>
      <c r="K75" s="35">
        <f t="shared" ref="K75:K82" si="22">(C75*I75) - (C75*D75)</f>
        <v>50.539999999999964</v>
      </c>
      <c r="L75" s="21">
        <f t="shared" ref="L75:L82" si="23">H75-A75</f>
        <v>90</v>
      </c>
      <c r="M75" s="9">
        <f t="shared" ref="M75:M82" si="24">IF(J75&gt;0,1,0)</f>
        <v>1</v>
      </c>
      <c r="N75">
        <f t="shared" ref="N75:N82" si="25">IF(K75&gt;0, K75, 0)</f>
        <v>50.539999999999964</v>
      </c>
      <c r="O75" s="17">
        <f t="shared" ref="O75:O82" si="26">IF(K75&lt;0, K75, 0)</f>
        <v>0</v>
      </c>
      <c r="P75" s="86"/>
      <c r="Q75" s="78"/>
    </row>
    <row r="76" spans="1:19">
      <c r="A76" s="6">
        <v>45923</v>
      </c>
      <c r="B76" t="s">
        <v>314</v>
      </c>
      <c r="C76" s="9">
        <v>20</v>
      </c>
      <c r="D76">
        <v>220.5</v>
      </c>
      <c r="E76" s="29">
        <v>250</v>
      </c>
      <c r="F76" s="50">
        <v>215</v>
      </c>
      <c r="G76" s="21">
        <f t="shared" si="14"/>
        <v>6.3636363636363633</v>
      </c>
      <c r="H76" s="6">
        <v>45932</v>
      </c>
      <c r="I76" s="29">
        <v>222.2</v>
      </c>
      <c r="J76" s="30">
        <f t="shared" si="21"/>
        <v>7.7097505668932698E-3</v>
      </c>
      <c r="K76" s="35">
        <f t="shared" si="22"/>
        <v>34</v>
      </c>
      <c r="L76" s="21">
        <f t="shared" si="23"/>
        <v>9</v>
      </c>
      <c r="M76" s="9">
        <f t="shared" si="24"/>
        <v>1</v>
      </c>
      <c r="N76">
        <f t="shared" si="25"/>
        <v>34</v>
      </c>
      <c r="O76" s="17">
        <f t="shared" si="26"/>
        <v>0</v>
      </c>
      <c r="P76" s="86"/>
      <c r="Q76" s="78"/>
      <c r="R76" s="28">
        <v>8704.09</v>
      </c>
    </row>
    <row r="77" spans="1:19">
      <c r="A77" s="6">
        <v>45922</v>
      </c>
      <c r="B77" t="s">
        <v>920</v>
      </c>
      <c r="C77" s="9">
        <v>44</v>
      </c>
      <c r="D77">
        <v>68.3</v>
      </c>
      <c r="E77" s="29">
        <v>80</v>
      </c>
      <c r="F77" s="50">
        <v>65</v>
      </c>
      <c r="G77" s="21">
        <f t="shared" si="14"/>
        <v>4.5454545454545494</v>
      </c>
      <c r="H77" s="6">
        <v>45961</v>
      </c>
      <c r="I77" s="29">
        <v>73</v>
      </c>
      <c r="J77" s="30">
        <f t="shared" si="21"/>
        <v>6.8814055636896132E-2</v>
      </c>
      <c r="K77" s="35">
        <f t="shared" si="22"/>
        <v>206.80000000000018</v>
      </c>
      <c r="L77" s="21">
        <f t="shared" si="23"/>
        <v>39</v>
      </c>
      <c r="M77" s="9">
        <f t="shared" si="24"/>
        <v>1</v>
      </c>
      <c r="N77">
        <f t="shared" si="25"/>
        <v>206.80000000000018</v>
      </c>
      <c r="O77" s="17">
        <f t="shared" si="26"/>
        <v>0</v>
      </c>
      <c r="P77" s="86"/>
      <c r="Q77" s="78"/>
    </row>
    <row r="78" spans="1:19">
      <c r="A78" s="6">
        <v>45922</v>
      </c>
      <c r="B78" t="s">
        <v>634</v>
      </c>
      <c r="C78" s="9">
        <v>52</v>
      </c>
      <c r="D78">
        <v>86.65</v>
      </c>
      <c r="E78" s="29">
        <v>100</v>
      </c>
      <c r="F78" s="50">
        <v>85</v>
      </c>
      <c r="G78" s="21">
        <f t="shared" si="14"/>
        <v>9.0909090909090597</v>
      </c>
      <c r="H78" s="6">
        <v>45931</v>
      </c>
      <c r="I78" s="29">
        <v>88.6</v>
      </c>
      <c r="J78" s="30">
        <f t="shared" si="21"/>
        <v>2.2504327755337394E-2</v>
      </c>
      <c r="K78" s="35">
        <f t="shared" si="22"/>
        <v>101.39999999999964</v>
      </c>
      <c r="L78" s="21">
        <f t="shared" si="23"/>
        <v>9</v>
      </c>
      <c r="M78" s="9">
        <f t="shared" si="24"/>
        <v>1</v>
      </c>
      <c r="N78">
        <f t="shared" si="25"/>
        <v>101.39999999999964</v>
      </c>
      <c r="O78" s="17">
        <f t="shared" si="26"/>
        <v>0</v>
      </c>
      <c r="P78" s="86"/>
      <c r="Q78" s="78"/>
      <c r="R78" s="28">
        <v>8352.1</v>
      </c>
    </row>
    <row r="79" spans="1:19">
      <c r="A79" s="6">
        <v>45916</v>
      </c>
      <c r="B79" t="s">
        <v>496</v>
      </c>
      <c r="C79" s="9">
        <v>9</v>
      </c>
      <c r="D79">
        <v>114.9</v>
      </c>
      <c r="E79" s="29">
        <v>130</v>
      </c>
      <c r="F79" s="50">
        <v>110</v>
      </c>
      <c r="G79" s="21">
        <f t="shared" si="14"/>
        <v>4.0816326530612201</v>
      </c>
      <c r="H79" s="6">
        <v>45924</v>
      </c>
      <c r="I79" s="29">
        <v>134</v>
      </c>
      <c r="J79" s="30">
        <f t="shared" si="21"/>
        <v>0.1662315056570931</v>
      </c>
      <c r="K79" s="35">
        <f t="shared" si="22"/>
        <v>171.89999999999986</v>
      </c>
      <c r="L79" s="21">
        <f t="shared" si="23"/>
        <v>8</v>
      </c>
      <c r="M79" s="9">
        <f t="shared" si="24"/>
        <v>1</v>
      </c>
      <c r="N79">
        <f t="shared" si="25"/>
        <v>171.89999999999986</v>
      </c>
      <c r="O79" s="17">
        <f t="shared" si="26"/>
        <v>0</v>
      </c>
      <c r="P79" s="86"/>
      <c r="Q79" s="78"/>
    </row>
    <row r="80" spans="1:19">
      <c r="A80" s="6">
        <v>45915</v>
      </c>
      <c r="B80" t="s">
        <v>229</v>
      </c>
      <c r="C80" s="9">
        <v>5</v>
      </c>
      <c r="D80">
        <v>299.95999999999998</v>
      </c>
      <c r="E80" s="29">
        <v>350</v>
      </c>
      <c r="F80" s="50">
        <v>290</v>
      </c>
      <c r="G80" s="21">
        <f t="shared" si="14"/>
        <v>6.0240963855421814</v>
      </c>
      <c r="H80" s="6">
        <v>46001</v>
      </c>
      <c r="I80" s="16">
        <v>223</v>
      </c>
      <c r="J80" s="25">
        <f t="shared" si="21"/>
        <v>-0.25656754233897849</v>
      </c>
      <c r="K80" s="36">
        <f t="shared" si="22"/>
        <v>-384.79999999999995</v>
      </c>
      <c r="L80" s="24">
        <f t="shared" si="23"/>
        <v>86</v>
      </c>
      <c r="M80" s="52">
        <f t="shared" si="24"/>
        <v>0</v>
      </c>
      <c r="N80" s="24">
        <f t="shared" si="25"/>
        <v>0</v>
      </c>
      <c r="O80" s="17">
        <f t="shared" si="26"/>
        <v>-384.79999999999995</v>
      </c>
      <c r="P80" s="86"/>
      <c r="Q80" s="78"/>
      <c r="R80" s="28">
        <v>8029</v>
      </c>
    </row>
    <row r="81" spans="1:18">
      <c r="A81" s="6">
        <v>45915</v>
      </c>
      <c r="B81" t="s">
        <v>826</v>
      </c>
      <c r="C81" s="9">
        <v>21</v>
      </c>
      <c r="D81">
        <v>215.3</v>
      </c>
      <c r="E81" s="29">
        <v>250</v>
      </c>
      <c r="F81" s="50">
        <v>190</v>
      </c>
      <c r="G81" s="21">
        <f t="shared" si="14"/>
        <v>2.3715415019762833</v>
      </c>
      <c r="H81" s="6">
        <v>46014</v>
      </c>
      <c r="I81" s="16">
        <v>163</v>
      </c>
      <c r="J81" s="25">
        <f t="shared" si="21"/>
        <v>-0.24291686019507663</v>
      </c>
      <c r="K81" s="36">
        <f t="shared" si="22"/>
        <v>-1098.3000000000002</v>
      </c>
      <c r="L81" s="24">
        <f t="shared" si="23"/>
        <v>99</v>
      </c>
      <c r="M81" s="52">
        <f t="shared" si="24"/>
        <v>0</v>
      </c>
      <c r="N81" s="24">
        <f t="shared" si="25"/>
        <v>0</v>
      </c>
      <c r="O81" s="17">
        <f t="shared" si="26"/>
        <v>-1098.3000000000002</v>
      </c>
      <c r="P81" s="86"/>
      <c r="Q81" s="78"/>
    </row>
    <row r="82" spans="1:18">
      <c r="A82" s="6">
        <v>45915</v>
      </c>
      <c r="B82" t="s">
        <v>645</v>
      </c>
      <c r="C82" s="9">
        <v>254</v>
      </c>
      <c r="D82">
        <v>19.170000000000002</v>
      </c>
      <c r="E82" s="29">
        <v>20</v>
      </c>
      <c r="F82" s="50">
        <v>17.5</v>
      </c>
      <c r="G82" s="21">
        <f t="shared" si="14"/>
        <v>1.4970059880239506</v>
      </c>
      <c r="H82" s="6">
        <v>45923</v>
      </c>
      <c r="I82" s="29">
        <v>20</v>
      </c>
      <c r="J82" s="30">
        <f t="shared" si="21"/>
        <v>4.3296817944705079E-2</v>
      </c>
      <c r="K82" s="35">
        <f t="shared" si="22"/>
        <v>210.81999999999971</v>
      </c>
      <c r="L82" s="21">
        <f t="shared" si="23"/>
        <v>8</v>
      </c>
      <c r="M82" s="9">
        <f t="shared" si="24"/>
        <v>1</v>
      </c>
      <c r="N82">
        <f t="shared" si="25"/>
        <v>210.81999999999971</v>
      </c>
      <c r="O82" s="17">
        <f t="shared" si="26"/>
        <v>0</v>
      </c>
      <c r="P82" s="86"/>
      <c r="Q82" s="78"/>
    </row>
    <row r="83" spans="1:18">
      <c r="A83" s="6">
        <v>45915</v>
      </c>
      <c r="B83" t="s">
        <v>157</v>
      </c>
      <c r="C83" s="9">
        <v>11</v>
      </c>
      <c r="D83">
        <v>350.6</v>
      </c>
      <c r="E83" s="29">
        <v>370</v>
      </c>
      <c r="F83" s="50">
        <v>325</v>
      </c>
      <c r="G83" s="21">
        <f t="shared" si="14"/>
        <v>1.7578124999999984</v>
      </c>
      <c r="J83" s="30"/>
      <c r="K83" s="35"/>
      <c r="L83" s="37"/>
      <c r="M83" s="58"/>
      <c r="N83" s="38"/>
      <c r="O83" s="85"/>
      <c r="P83" s="86"/>
      <c r="Q83" s="78"/>
      <c r="R83" s="28">
        <v>7978.12</v>
      </c>
    </row>
    <row r="84" spans="1:18">
      <c r="A84" s="6">
        <v>45912</v>
      </c>
      <c r="B84" t="s">
        <v>316</v>
      </c>
      <c r="C84" s="9">
        <v>1</v>
      </c>
      <c r="D84">
        <v>1190</v>
      </c>
      <c r="E84" s="29">
        <v>1400</v>
      </c>
      <c r="F84" s="50">
        <v>1150</v>
      </c>
      <c r="G84" s="21">
        <f t="shared" si="14"/>
        <v>6.25</v>
      </c>
      <c r="H84" s="6">
        <v>45938</v>
      </c>
      <c r="I84" s="29">
        <v>1210</v>
      </c>
      <c r="J84" s="30">
        <f t="shared" ref="J84:J92" si="27">I84/D84 -1</f>
        <v>1.6806722689075571E-2</v>
      </c>
      <c r="K84" s="35">
        <f t="shared" ref="K84:K92" si="28">(C84*I84) - (C84*D84)</f>
        <v>20</v>
      </c>
      <c r="L84" s="21">
        <f t="shared" ref="L84:L92" si="29">H84-A84</f>
        <v>26</v>
      </c>
      <c r="M84" s="9">
        <f t="shared" ref="M84:M92" si="30">IF(J84&gt;0,1,0)</f>
        <v>1</v>
      </c>
      <c r="N84">
        <f t="shared" ref="N84:N92" si="31">IF(K84&gt;0, K84, 0)</f>
        <v>20</v>
      </c>
      <c r="O84" s="17">
        <f t="shared" ref="O84:O92" si="32">IF(K84&lt;0, K84, 0)</f>
        <v>0</v>
      </c>
      <c r="P84" s="86"/>
      <c r="Q84" s="78"/>
    </row>
    <row r="85" spans="1:18">
      <c r="A85" s="6">
        <v>45912</v>
      </c>
      <c r="B85" t="s">
        <v>645</v>
      </c>
      <c r="C85" s="9">
        <v>254</v>
      </c>
      <c r="D85">
        <v>18.78</v>
      </c>
      <c r="E85" s="29">
        <v>20</v>
      </c>
      <c r="F85" s="50">
        <v>17.5</v>
      </c>
      <c r="G85" s="21">
        <f t="shared" si="14"/>
        <v>1.9531249999999982</v>
      </c>
      <c r="H85" s="6">
        <v>45915</v>
      </c>
      <c r="I85" s="29">
        <v>19.18</v>
      </c>
      <c r="J85" s="30">
        <f t="shared" si="27"/>
        <v>2.1299254526091493E-2</v>
      </c>
      <c r="K85" s="35">
        <f t="shared" si="28"/>
        <v>101.60000000000036</v>
      </c>
      <c r="L85" s="21">
        <f t="shared" si="29"/>
        <v>3</v>
      </c>
      <c r="M85" s="9">
        <f t="shared" si="30"/>
        <v>1</v>
      </c>
      <c r="N85">
        <f t="shared" si="31"/>
        <v>101.60000000000036</v>
      </c>
      <c r="O85" s="17">
        <f t="shared" si="32"/>
        <v>0</v>
      </c>
      <c r="P85" s="86"/>
      <c r="Q85" s="78"/>
    </row>
    <row r="86" spans="1:18">
      <c r="A86" s="6">
        <v>45912</v>
      </c>
      <c r="B86" t="s">
        <v>725</v>
      </c>
      <c r="C86" s="9">
        <v>48</v>
      </c>
      <c r="D86">
        <v>66.19</v>
      </c>
      <c r="E86" s="29">
        <v>75</v>
      </c>
      <c r="F86" s="50">
        <v>66</v>
      </c>
      <c r="G86" s="21">
        <f t="shared" si="14"/>
        <v>47.368421052632144</v>
      </c>
      <c r="H86" s="6">
        <v>45916</v>
      </c>
      <c r="I86" s="29">
        <v>67.25</v>
      </c>
      <c r="J86" s="30">
        <f t="shared" si="27"/>
        <v>1.6014503701465621E-2</v>
      </c>
      <c r="K86" s="35">
        <f t="shared" si="28"/>
        <v>50.880000000000109</v>
      </c>
      <c r="L86" s="21">
        <f t="shared" si="29"/>
        <v>4</v>
      </c>
      <c r="M86" s="9">
        <f t="shared" si="30"/>
        <v>1</v>
      </c>
      <c r="N86">
        <f t="shared" si="31"/>
        <v>50.880000000000109</v>
      </c>
      <c r="O86" s="17">
        <f t="shared" si="32"/>
        <v>0</v>
      </c>
      <c r="P86" s="86"/>
      <c r="Q86" s="78"/>
      <c r="R86" s="28">
        <v>7160.89</v>
      </c>
    </row>
    <row r="87" spans="1:18">
      <c r="A87" s="6">
        <v>45911</v>
      </c>
      <c r="B87" s="61" t="s">
        <v>919</v>
      </c>
      <c r="C87" s="9">
        <v>19</v>
      </c>
      <c r="D87">
        <v>49.57</v>
      </c>
      <c r="E87" s="29">
        <v>55</v>
      </c>
      <c r="F87" s="50">
        <v>49</v>
      </c>
      <c r="G87" s="21">
        <f t="shared" si="14"/>
        <v>10.52631578947368</v>
      </c>
      <c r="H87" s="6">
        <v>45923</v>
      </c>
      <c r="I87" s="29">
        <v>57</v>
      </c>
      <c r="J87" s="30">
        <f t="shared" si="27"/>
        <v>0.14988904579382689</v>
      </c>
      <c r="K87" s="35">
        <f t="shared" si="28"/>
        <v>141.16999999999996</v>
      </c>
      <c r="L87" s="21">
        <f t="shared" si="29"/>
        <v>12</v>
      </c>
      <c r="M87" s="9">
        <f t="shared" si="30"/>
        <v>1</v>
      </c>
      <c r="N87">
        <f t="shared" si="31"/>
        <v>141.16999999999996</v>
      </c>
      <c r="O87" s="17">
        <f t="shared" si="32"/>
        <v>0</v>
      </c>
      <c r="P87" s="86"/>
      <c r="Q87" s="78"/>
    </row>
    <row r="88" spans="1:18">
      <c r="A88" s="6">
        <v>45911</v>
      </c>
      <c r="B88" t="s">
        <v>683</v>
      </c>
      <c r="C88" s="9">
        <v>176</v>
      </c>
      <c r="D88">
        <v>6.99</v>
      </c>
      <c r="E88" s="29">
        <v>7.5</v>
      </c>
      <c r="F88" s="50">
        <v>5.5</v>
      </c>
      <c r="G88" s="21">
        <f t="shared" si="14"/>
        <v>1.3422818791946307</v>
      </c>
      <c r="H88" s="6">
        <v>45926</v>
      </c>
      <c r="I88" s="29">
        <v>7.75</v>
      </c>
      <c r="J88" s="30">
        <f t="shared" si="27"/>
        <v>0.10872675250357644</v>
      </c>
      <c r="K88" s="35">
        <f t="shared" si="28"/>
        <v>133.76</v>
      </c>
      <c r="L88" s="21">
        <f t="shared" si="29"/>
        <v>15</v>
      </c>
      <c r="M88" s="9">
        <f t="shared" si="30"/>
        <v>1</v>
      </c>
      <c r="N88">
        <f t="shared" si="31"/>
        <v>133.76</v>
      </c>
      <c r="O88" s="17">
        <f t="shared" si="32"/>
        <v>0</v>
      </c>
      <c r="P88" s="86"/>
      <c r="Q88" s="78"/>
    </row>
    <row r="89" spans="1:18">
      <c r="A89" s="6">
        <v>45911</v>
      </c>
      <c r="B89" t="s">
        <v>645</v>
      </c>
      <c r="C89" s="9">
        <v>254</v>
      </c>
      <c r="D89">
        <v>13.44</v>
      </c>
      <c r="E89" s="29">
        <v>15</v>
      </c>
      <c r="F89" s="50">
        <v>10</v>
      </c>
      <c r="G89" s="21">
        <f t="shared" ref="G89:G109" si="33" xml:space="preserve"> (E89 - F89)/(D89-F89)</f>
        <v>1.4534883720930234</v>
      </c>
      <c r="H89" s="6">
        <v>45912</v>
      </c>
      <c r="I89" s="29">
        <v>18.8</v>
      </c>
      <c r="J89" s="30">
        <f t="shared" si="27"/>
        <v>0.39880952380952395</v>
      </c>
      <c r="K89" s="35">
        <f t="shared" si="28"/>
        <v>1361.44</v>
      </c>
      <c r="L89" s="21">
        <f t="shared" si="29"/>
        <v>1</v>
      </c>
      <c r="M89" s="9">
        <f t="shared" si="30"/>
        <v>1</v>
      </c>
      <c r="N89">
        <f t="shared" si="31"/>
        <v>1361.44</v>
      </c>
      <c r="O89" s="17">
        <f t="shared" si="32"/>
        <v>0</v>
      </c>
      <c r="P89" s="86"/>
      <c r="Q89" s="78"/>
    </row>
    <row r="90" spans="1:18">
      <c r="A90" s="6">
        <v>45911</v>
      </c>
      <c r="B90" t="s">
        <v>826</v>
      </c>
      <c r="C90" s="9">
        <v>19</v>
      </c>
      <c r="D90">
        <v>206.59</v>
      </c>
      <c r="E90" s="29">
        <v>250</v>
      </c>
      <c r="F90" s="50">
        <v>190</v>
      </c>
      <c r="G90" s="21">
        <f t="shared" si="33"/>
        <v>3.6166365280289323</v>
      </c>
      <c r="H90" s="6">
        <v>45915</v>
      </c>
      <c r="I90" s="29">
        <v>215.4</v>
      </c>
      <c r="J90" s="30">
        <f t="shared" si="27"/>
        <v>4.2644852122561527E-2</v>
      </c>
      <c r="K90" s="35">
        <f t="shared" si="28"/>
        <v>167.38999999999987</v>
      </c>
      <c r="L90" s="21">
        <f t="shared" si="29"/>
        <v>4</v>
      </c>
      <c r="M90" s="9">
        <f t="shared" si="30"/>
        <v>1</v>
      </c>
      <c r="N90">
        <f t="shared" si="31"/>
        <v>167.38999999999987</v>
      </c>
      <c r="O90" s="17">
        <f t="shared" si="32"/>
        <v>0</v>
      </c>
      <c r="P90" s="86"/>
      <c r="Q90" s="78"/>
      <c r="R90" s="28">
        <v>5776.95</v>
      </c>
    </row>
    <row r="91" spans="1:18">
      <c r="A91" s="6">
        <v>45909</v>
      </c>
      <c r="B91" t="s">
        <v>639</v>
      </c>
      <c r="C91" s="9">
        <v>16</v>
      </c>
      <c r="D91">
        <v>40.299999999999997</v>
      </c>
      <c r="E91" s="29">
        <v>60</v>
      </c>
      <c r="F91" s="50">
        <v>40</v>
      </c>
      <c r="G91" s="21">
        <f t="shared" si="33"/>
        <v>66.666666666667297</v>
      </c>
      <c r="H91" s="6">
        <v>45925</v>
      </c>
      <c r="I91" s="29">
        <v>46</v>
      </c>
      <c r="J91" s="30">
        <f t="shared" si="27"/>
        <v>0.1414392059553351</v>
      </c>
      <c r="K91" s="35">
        <f t="shared" si="28"/>
        <v>91.200000000000045</v>
      </c>
      <c r="L91" s="21">
        <f t="shared" si="29"/>
        <v>16</v>
      </c>
      <c r="M91" s="9">
        <f t="shared" si="30"/>
        <v>1</v>
      </c>
      <c r="N91">
        <f t="shared" si="31"/>
        <v>91.200000000000045</v>
      </c>
      <c r="O91" s="17">
        <f t="shared" si="32"/>
        <v>0</v>
      </c>
      <c r="P91" s="86"/>
      <c r="Q91" s="78"/>
    </row>
    <row r="92" spans="1:18">
      <c r="A92" s="6">
        <v>45909</v>
      </c>
      <c r="B92" t="s">
        <v>605</v>
      </c>
      <c r="C92" s="9">
        <v>16</v>
      </c>
      <c r="D92">
        <v>47.7</v>
      </c>
      <c r="E92" s="29">
        <v>55</v>
      </c>
      <c r="F92" s="50">
        <v>47</v>
      </c>
      <c r="G92" s="21">
        <f t="shared" si="33"/>
        <v>11.428571428571383</v>
      </c>
      <c r="H92" s="6">
        <v>46010</v>
      </c>
      <c r="I92" s="16">
        <v>42.5</v>
      </c>
      <c r="J92" s="25">
        <f t="shared" si="27"/>
        <v>-0.10901467505241091</v>
      </c>
      <c r="K92" s="36">
        <f t="shared" si="28"/>
        <v>-83.200000000000045</v>
      </c>
      <c r="L92" s="24">
        <f t="shared" si="29"/>
        <v>101</v>
      </c>
      <c r="M92" s="52">
        <f t="shared" si="30"/>
        <v>0</v>
      </c>
      <c r="N92" s="24">
        <f t="shared" si="31"/>
        <v>0</v>
      </c>
      <c r="O92" s="17">
        <f t="shared" si="32"/>
        <v>-83.200000000000045</v>
      </c>
      <c r="P92" s="86"/>
      <c r="Q92" s="78"/>
    </row>
    <row r="93" spans="1:18">
      <c r="A93" s="6">
        <v>45909</v>
      </c>
      <c r="B93" t="s">
        <v>131</v>
      </c>
      <c r="C93" s="9">
        <v>21</v>
      </c>
      <c r="D93">
        <v>259.7</v>
      </c>
      <c r="E93" s="29">
        <v>300</v>
      </c>
      <c r="F93" s="50">
        <v>240</v>
      </c>
      <c r="G93" s="21">
        <f t="shared" si="33"/>
        <v>3.0456852791878188</v>
      </c>
      <c r="H93" s="6">
        <v>45922</v>
      </c>
      <c r="I93" s="29">
        <v>272</v>
      </c>
      <c r="J93" s="30">
        <f>I93/D93 -1</f>
        <v>4.7362341162880295E-2</v>
      </c>
      <c r="K93" s="35">
        <f>(C93*I93) - (C93*D93)</f>
        <v>258.30000000000018</v>
      </c>
      <c r="L93" s="21">
        <f>H93-A93</f>
        <v>13</v>
      </c>
      <c r="M93" s="9">
        <f>IF(J93&gt;0,1,0)</f>
        <v>1</v>
      </c>
      <c r="N93">
        <f>IF(K93&gt;0, K93, 0)</f>
        <v>258.30000000000018</v>
      </c>
      <c r="O93" s="17">
        <f>IF(K93&lt;0, K93, 0)</f>
        <v>0</v>
      </c>
      <c r="P93" s="86"/>
      <c r="Q93" s="78"/>
    </row>
    <row r="94" spans="1:18">
      <c r="A94" s="6">
        <v>45909</v>
      </c>
      <c r="B94" t="s">
        <v>888</v>
      </c>
      <c r="C94" s="9">
        <v>15</v>
      </c>
      <c r="D94">
        <v>154.56</v>
      </c>
      <c r="E94" s="29">
        <v>150</v>
      </c>
      <c r="F94" s="50">
        <v>120</v>
      </c>
      <c r="G94" s="21">
        <f t="shared" si="33"/>
        <v>0.86805555555555547</v>
      </c>
      <c r="H94" s="6">
        <v>45924</v>
      </c>
      <c r="I94" s="29">
        <v>176.85</v>
      </c>
      <c r="J94" s="30">
        <f>I94/D94 -1</f>
        <v>0.14421583850931663</v>
      </c>
      <c r="K94" s="35">
        <f>(C94*I94) - (C94*D94)</f>
        <v>334.34999999999991</v>
      </c>
      <c r="L94" s="21">
        <f>H94-A94</f>
        <v>15</v>
      </c>
      <c r="M94" s="9">
        <f>IF(J94&gt;0,1,0)</f>
        <v>1</v>
      </c>
      <c r="N94">
        <f>IF(K94&gt;0, K94, 0)</f>
        <v>334.34999999999991</v>
      </c>
      <c r="O94" s="17">
        <f>IF(K94&lt;0, K94, 0)</f>
        <v>0</v>
      </c>
      <c r="P94" s="86"/>
      <c r="Q94" s="78"/>
      <c r="R94" s="28">
        <v>4905.75</v>
      </c>
    </row>
    <row r="95" spans="1:18">
      <c r="A95" s="6">
        <v>45902</v>
      </c>
      <c r="B95" t="s">
        <v>227</v>
      </c>
      <c r="C95" s="9">
        <v>4</v>
      </c>
      <c r="D95">
        <v>343</v>
      </c>
      <c r="E95" s="29">
        <v>400</v>
      </c>
      <c r="F95" s="50">
        <v>330</v>
      </c>
      <c r="G95" s="21">
        <f t="shared" si="33"/>
        <v>5.384615384615385</v>
      </c>
      <c r="H95" s="6">
        <v>45908</v>
      </c>
      <c r="I95" s="29">
        <v>358</v>
      </c>
      <c r="J95" s="30">
        <f>I95/D95 -1</f>
        <v>4.3731778425655898E-2</v>
      </c>
      <c r="K95" s="35">
        <f>(C95*I95) - (C95*D95)</f>
        <v>60</v>
      </c>
      <c r="L95" s="21">
        <f>H95-A95</f>
        <v>6</v>
      </c>
      <c r="M95" s="9">
        <f>IF(J95&gt;0,1,0)</f>
        <v>1</v>
      </c>
      <c r="N95">
        <f>IF(K95&gt;0, K95, 0)</f>
        <v>60</v>
      </c>
      <c r="O95" s="17">
        <f>IF(K95&lt;0, K95, 0)</f>
        <v>0</v>
      </c>
      <c r="P95" s="86"/>
      <c r="Q95" s="78"/>
      <c r="R95" s="28">
        <v>4472.34</v>
      </c>
    </row>
    <row r="96" spans="1:18">
      <c r="A96" s="6">
        <v>45902</v>
      </c>
      <c r="B96" t="s">
        <v>528</v>
      </c>
      <c r="C96" s="9">
        <v>6</v>
      </c>
      <c r="D96">
        <v>167.7</v>
      </c>
      <c r="E96" s="29">
        <v>200</v>
      </c>
      <c r="F96" s="50">
        <v>165</v>
      </c>
      <c r="G96" s="21">
        <f t="shared" si="33"/>
        <v>12.962962962963017</v>
      </c>
      <c r="H96" s="6">
        <v>45936</v>
      </c>
      <c r="I96" s="29">
        <v>186.01</v>
      </c>
      <c r="J96" s="30">
        <f>I96/D96 -1</f>
        <v>0.10918306499701846</v>
      </c>
      <c r="K96" s="35">
        <f>(C96*I96) - (C96*D96)</f>
        <v>109.86000000000001</v>
      </c>
      <c r="L96" s="21">
        <f>H96-A96</f>
        <v>34</v>
      </c>
      <c r="M96" s="9">
        <f>IF(J96&gt;0,1,0)</f>
        <v>1</v>
      </c>
      <c r="N96">
        <f>IF(K96&gt;0, K96, 0)</f>
        <v>109.86000000000001</v>
      </c>
      <c r="O96" s="17">
        <f>IF(K96&lt;0, K96, 0)</f>
        <v>0</v>
      </c>
      <c r="P96" s="86"/>
      <c r="Q96" s="78"/>
      <c r="R96" s="28">
        <v>5349.09</v>
      </c>
    </row>
    <row r="97" spans="1:19">
      <c r="A97" s="6">
        <v>45898</v>
      </c>
      <c r="B97" t="s">
        <v>445</v>
      </c>
      <c r="C97" s="9">
        <v>14</v>
      </c>
      <c r="D97">
        <v>76.459999999999994</v>
      </c>
      <c r="E97" s="29">
        <v>90</v>
      </c>
      <c r="F97" s="50">
        <v>77</v>
      </c>
      <c r="G97" s="21">
        <f t="shared" si="33"/>
        <v>-24.074074074073796</v>
      </c>
      <c r="H97" s="6">
        <v>46000</v>
      </c>
      <c r="I97" s="16">
        <v>63.75</v>
      </c>
      <c r="J97" s="25">
        <f>I97/D97 -1</f>
        <v>-0.16623070886738156</v>
      </c>
      <c r="K97" s="36">
        <f>(C97*I97) - (C97*D97)</f>
        <v>-177.93999999999983</v>
      </c>
      <c r="L97" s="24">
        <f>H97-A97</f>
        <v>102</v>
      </c>
      <c r="M97" s="52">
        <f>IF(J97&gt;0,1,0)</f>
        <v>0</v>
      </c>
      <c r="N97" s="24">
        <f>IF(K97&gt;0, K97, 0)</f>
        <v>0</v>
      </c>
      <c r="O97" s="17">
        <f>IF(K97&lt;0, K97, 0)</f>
        <v>-177.93999999999983</v>
      </c>
      <c r="P97" s="86"/>
      <c r="Q97" s="78"/>
      <c r="R97" s="28">
        <v>5194.43</v>
      </c>
      <c r="S97" s="28">
        <v>-215.12</v>
      </c>
    </row>
    <row r="98" spans="1:19">
      <c r="A98" s="6">
        <v>45898</v>
      </c>
      <c r="B98" t="s">
        <v>229</v>
      </c>
      <c r="C98" s="9">
        <v>5</v>
      </c>
      <c r="D98">
        <v>225.19</v>
      </c>
      <c r="E98" s="29">
        <v>260</v>
      </c>
      <c r="F98" s="50">
        <v>225</v>
      </c>
      <c r="G98" s="21">
        <f t="shared" si="33"/>
        <v>184.21052631579167</v>
      </c>
      <c r="H98" s="6">
        <v>45915</v>
      </c>
      <c r="I98" s="29">
        <v>300.12</v>
      </c>
      <c r="J98" s="30">
        <f t="shared" ref="J98:J104" si="34">I98/D98 -1</f>
        <v>0.33274124073005029</v>
      </c>
      <c r="K98" s="35">
        <f t="shared" ref="K98:K104" si="35">(C98*I98) - (C98*D98)</f>
        <v>374.64999999999986</v>
      </c>
      <c r="L98" s="21">
        <f t="shared" ref="L98:L104" si="36">H98-A98</f>
        <v>17</v>
      </c>
      <c r="M98" s="9">
        <f t="shared" ref="M98:M104" si="37">IF(J98&gt;0,1,0)</f>
        <v>1</v>
      </c>
      <c r="N98">
        <f t="shared" ref="N98:N104" si="38">IF(K98&gt;0, K98, 0)</f>
        <v>374.64999999999986</v>
      </c>
      <c r="O98" s="17">
        <f t="shared" ref="O98:O104" si="39">IF(K98&lt;0, K98, 0)</f>
        <v>0</v>
      </c>
      <c r="P98" s="86"/>
      <c r="Q98" s="78"/>
      <c r="R98" s="28">
        <v>5144.43</v>
      </c>
      <c r="S98" s="16">
        <v>564.46</v>
      </c>
    </row>
    <row r="99" spans="1:19">
      <c r="A99" s="6">
        <v>45897</v>
      </c>
      <c r="B99" t="s">
        <v>687</v>
      </c>
      <c r="C99" s="9">
        <v>13</v>
      </c>
      <c r="D99">
        <v>92.7</v>
      </c>
      <c r="E99" s="29">
        <v>100</v>
      </c>
      <c r="F99" s="50">
        <v>90</v>
      </c>
      <c r="G99" s="21">
        <f t="shared" si="33"/>
        <v>3.7037037037036997</v>
      </c>
      <c r="H99" s="6">
        <v>45959</v>
      </c>
      <c r="I99" s="29">
        <v>100</v>
      </c>
      <c r="J99" s="30">
        <f t="shared" si="34"/>
        <v>7.8748651564185534E-2</v>
      </c>
      <c r="K99" s="35">
        <f t="shared" si="35"/>
        <v>94.899999999999864</v>
      </c>
      <c r="L99" s="21">
        <f t="shared" si="36"/>
        <v>62</v>
      </c>
      <c r="M99" s="9">
        <f t="shared" si="37"/>
        <v>1</v>
      </c>
      <c r="N99">
        <f t="shared" si="38"/>
        <v>94.899999999999864</v>
      </c>
      <c r="O99" s="17">
        <f t="shared" si="39"/>
        <v>0</v>
      </c>
      <c r="P99" s="86"/>
      <c r="Q99" s="78"/>
      <c r="R99" s="28">
        <v>5493.77</v>
      </c>
    </row>
    <row r="100" spans="1:19">
      <c r="A100" s="6">
        <v>45897</v>
      </c>
      <c r="B100" s="61" t="s">
        <v>699</v>
      </c>
      <c r="C100" s="9">
        <v>14</v>
      </c>
      <c r="D100">
        <v>81</v>
      </c>
      <c r="E100" s="29">
        <v>85</v>
      </c>
      <c r="F100" s="50">
        <v>78</v>
      </c>
      <c r="G100" s="21">
        <f t="shared" si="33"/>
        <v>2.3333333333333335</v>
      </c>
      <c r="H100" s="6">
        <v>45911</v>
      </c>
      <c r="I100" s="29">
        <v>85</v>
      </c>
      <c r="J100" s="30">
        <f t="shared" si="34"/>
        <v>4.9382716049382713E-2</v>
      </c>
      <c r="K100" s="35">
        <f t="shared" si="35"/>
        <v>56</v>
      </c>
      <c r="L100" s="21">
        <f t="shared" si="36"/>
        <v>14</v>
      </c>
      <c r="M100" s="9">
        <f t="shared" si="37"/>
        <v>1</v>
      </c>
      <c r="N100">
        <f t="shared" si="38"/>
        <v>56</v>
      </c>
      <c r="O100" s="17">
        <f t="shared" si="39"/>
        <v>0</v>
      </c>
      <c r="P100" s="86"/>
      <c r="Q100" s="78"/>
    </row>
    <row r="101" spans="1:19">
      <c r="A101" s="6">
        <v>45895</v>
      </c>
      <c r="B101" t="s">
        <v>826</v>
      </c>
      <c r="C101" s="9">
        <v>18</v>
      </c>
      <c r="D101">
        <v>195.4</v>
      </c>
      <c r="E101" s="29">
        <v>250</v>
      </c>
      <c r="F101" s="50">
        <v>190</v>
      </c>
      <c r="G101" s="21">
        <f t="shared" si="33"/>
        <v>11.1111111111111</v>
      </c>
      <c r="H101" s="6">
        <v>45911</v>
      </c>
      <c r="I101" s="29">
        <v>206.8</v>
      </c>
      <c r="J101" s="30">
        <f t="shared" si="34"/>
        <v>5.8341862845445291E-2</v>
      </c>
      <c r="K101" s="35">
        <f t="shared" si="35"/>
        <v>205.19999999999982</v>
      </c>
      <c r="L101" s="21">
        <f t="shared" si="36"/>
        <v>16</v>
      </c>
      <c r="M101" s="9">
        <f t="shared" si="37"/>
        <v>1</v>
      </c>
      <c r="N101">
        <f t="shared" si="38"/>
        <v>205.19999999999982</v>
      </c>
      <c r="O101" s="17">
        <f t="shared" si="39"/>
        <v>0</v>
      </c>
      <c r="P101" s="86"/>
      <c r="Q101" s="78"/>
      <c r="R101" s="64">
        <v>6127.68</v>
      </c>
    </row>
    <row r="102" spans="1:19">
      <c r="A102" s="6">
        <v>45891</v>
      </c>
      <c r="B102" t="s">
        <v>131</v>
      </c>
      <c r="C102" s="9">
        <v>19</v>
      </c>
      <c r="D102">
        <v>242.5</v>
      </c>
      <c r="E102" s="29">
        <v>300</v>
      </c>
      <c r="F102" s="50">
        <v>240</v>
      </c>
      <c r="G102" s="21">
        <f t="shared" si="33"/>
        <v>24</v>
      </c>
      <c r="H102" s="6">
        <v>45909</v>
      </c>
      <c r="I102" s="29">
        <v>259.85000000000002</v>
      </c>
      <c r="J102" s="30">
        <f t="shared" si="34"/>
        <v>7.1546391752577376E-2</v>
      </c>
      <c r="K102" s="35">
        <f t="shared" si="35"/>
        <v>329.65000000000055</v>
      </c>
      <c r="L102" s="21">
        <f t="shared" si="36"/>
        <v>18</v>
      </c>
      <c r="M102" s="9">
        <f t="shared" si="37"/>
        <v>1</v>
      </c>
      <c r="N102">
        <f t="shared" si="38"/>
        <v>329.65000000000055</v>
      </c>
      <c r="O102" s="17">
        <f t="shared" si="39"/>
        <v>0</v>
      </c>
      <c r="P102" s="86"/>
      <c r="Q102" s="78"/>
      <c r="R102" s="28">
        <v>6014.12</v>
      </c>
    </row>
    <row r="103" spans="1:19">
      <c r="A103" s="6">
        <v>45890</v>
      </c>
      <c r="B103" t="s">
        <v>314</v>
      </c>
      <c r="C103" s="9">
        <v>16</v>
      </c>
      <c r="D103">
        <v>221.95</v>
      </c>
      <c r="E103" s="29">
        <v>250</v>
      </c>
      <c r="F103" s="50">
        <v>220</v>
      </c>
      <c r="G103" s="21">
        <f t="shared" si="33"/>
        <v>15.384615384615474</v>
      </c>
      <c r="H103" s="6">
        <v>45895</v>
      </c>
      <c r="I103" s="29">
        <v>228.3</v>
      </c>
      <c r="J103" s="30">
        <f t="shared" si="34"/>
        <v>2.8610047307952247E-2</v>
      </c>
      <c r="K103" s="35">
        <f t="shared" si="35"/>
        <v>101.60000000000036</v>
      </c>
      <c r="L103" s="21">
        <f t="shared" si="36"/>
        <v>5</v>
      </c>
      <c r="M103" s="9">
        <f t="shared" si="37"/>
        <v>1</v>
      </c>
      <c r="N103">
        <f t="shared" si="38"/>
        <v>101.60000000000036</v>
      </c>
      <c r="O103" s="17">
        <f t="shared" si="39"/>
        <v>0</v>
      </c>
      <c r="P103" s="86"/>
      <c r="Q103" s="78"/>
      <c r="R103" s="64">
        <v>6050.02</v>
      </c>
    </row>
    <row r="104" spans="1:19">
      <c r="A104" s="6">
        <v>45889</v>
      </c>
      <c r="B104" t="s">
        <v>683</v>
      </c>
      <c r="C104" s="9">
        <v>174</v>
      </c>
      <c r="D104">
        <v>6.14</v>
      </c>
      <c r="E104" s="29">
        <v>7.5</v>
      </c>
      <c r="F104" s="50">
        <v>5.5</v>
      </c>
      <c r="G104" s="21">
        <f t="shared" si="33"/>
        <v>3.1250000000000018</v>
      </c>
      <c r="H104" s="6">
        <v>45911</v>
      </c>
      <c r="I104" s="29">
        <v>7</v>
      </c>
      <c r="J104" s="30">
        <f t="shared" si="34"/>
        <v>0.14006514657980462</v>
      </c>
      <c r="K104" s="35">
        <f t="shared" si="35"/>
        <v>149.6400000000001</v>
      </c>
      <c r="L104" s="21">
        <f t="shared" si="36"/>
        <v>22</v>
      </c>
      <c r="M104" s="9">
        <f t="shared" si="37"/>
        <v>1</v>
      </c>
      <c r="N104">
        <f t="shared" si="38"/>
        <v>149.6400000000001</v>
      </c>
      <c r="O104" s="17">
        <f t="shared" si="39"/>
        <v>0</v>
      </c>
      <c r="P104" s="86"/>
      <c r="Q104" s="78"/>
      <c r="R104" s="28">
        <v>6029.72</v>
      </c>
    </row>
    <row r="105" spans="1:19">
      <c r="A105" s="6">
        <v>45884</v>
      </c>
      <c r="B105" s="22" t="s">
        <v>438</v>
      </c>
      <c r="C105" s="9">
        <v>200</v>
      </c>
      <c r="D105">
        <v>2.15</v>
      </c>
      <c r="E105" s="29">
        <v>6</v>
      </c>
      <c r="F105" s="50">
        <v>0.6</v>
      </c>
      <c r="G105" s="21">
        <f t="shared" si="33"/>
        <v>3.4838709677419359</v>
      </c>
      <c r="H105" s="6"/>
      <c r="I105" s="29"/>
      <c r="J105" s="30"/>
      <c r="K105" s="35"/>
      <c r="O105" s="17"/>
      <c r="P105" s="86"/>
      <c r="Q105" s="78"/>
      <c r="R105" s="28"/>
    </row>
    <row r="106" spans="1:19">
      <c r="A106" s="6">
        <v>45883</v>
      </c>
      <c r="B106" t="s">
        <v>916</v>
      </c>
      <c r="C106" s="9">
        <v>19</v>
      </c>
      <c r="D106">
        <v>51.57</v>
      </c>
      <c r="E106" s="29">
        <v>60</v>
      </c>
      <c r="F106" s="50">
        <v>50</v>
      </c>
      <c r="G106" s="21">
        <f t="shared" si="33"/>
        <v>6.3694267515923553</v>
      </c>
      <c r="H106" s="6">
        <v>45898</v>
      </c>
      <c r="I106" s="29">
        <v>55.4</v>
      </c>
      <c r="J106" s="30">
        <f>I106/D106 -1</f>
        <v>7.4267985262749692E-2</v>
      </c>
      <c r="K106" s="35">
        <f>(C106*I106) - (C106*D106)</f>
        <v>72.769999999999868</v>
      </c>
      <c r="L106" s="21">
        <f>H106-A106</f>
        <v>15</v>
      </c>
      <c r="M106" s="9">
        <f>IF(J106&gt;0,1,0)</f>
        <v>1</v>
      </c>
      <c r="N106">
        <f>IF(K106&gt;0, K106, 0)</f>
        <v>72.769999999999868</v>
      </c>
      <c r="O106" s="17">
        <f>IF(K106&lt;0, K106, 0)</f>
        <v>0</v>
      </c>
      <c r="P106" s="86"/>
      <c r="Q106" s="78"/>
      <c r="R106" s="28">
        <v>5957.01</v>
      </c>
    </row>
    <row r="107" spans="1:19">
      <c r="A107" s="6">
        <v>45882</v>
      </c>
      <c r="B107" t="s">
        <v>645</v>
      </c>
      <c r="C107" s="9">
        <v>250</v>
      </c>
      <c r="D107">
        <v>12.1</v>
      </c>
      <c r="E107" s="29">
        <v>15</v>
      </c>
      <c r="F107" s="50">
        <v>10</v>
      </c>
      <c r="G107" s="21">
        <f t="shared" si="33"/>
        <v>2.3809523809523814</v>
      </c>
      <c r="H107" s="6">
        <v>45911</v>
      </c>
      <c r="I107" s="29">
        <v>13.45</v>
      </c>
      <c r="J107" s="30">
        <f>I107/D107 -1</f>
        <v>0.11157024793388426</v>
      </c>
      <c r="K107" s="35">
        <f>(C107*I107) - (C107*D107)</f>
        <v>337.5</v>
      </c>
      <c r="L107" s="21">
        <f>H107-A107</f>
        <v>29</v>
      </c>
      <c r="M107" s="9">
        <f>IF(J107&gt;0,1,0)</f>
        <v>1</v>
      </c>
      <c r="N107">
        <f>IF(K107&gt;0, K107, 0)</f>
        <v>337.5</v>
      </c>
      <c r="O107" s="17">
        <f>IF(K107&lt;0, K107, 0)</f>
        <v>0</v>
      </c>
      <c r="P107" s="86"/>
      <c r="Q107" s="78"/>
    </row>
    <row r="108" spans="1:19">
      <c r="A108" s="6">
        <v>45882</v>
      </c>
      <c r="B108" t="s">
        <v>611</v>
      </c>
      <c r="C108" s="9">
        <v>35</v>
      </c>
      <c r="D108">
        <v>124.42</v>
      </c>
      <c r="E108" s="29">
        <v>150</v>
      </c>
      <c r="F108" s="50">
        <v>120</v>
      </c>
      <c r="G108" s="21">
        <f t="shared" si="33"/>
        <v>6.7873303167420787</v>
      </c>
      <c r="H108" s="6">
        <v>45890</v>
      </c>
      <c r="I108" s="29">
        <v>125</v>
      </c>
      <c r="J108" s="30">
        <f t="shared" ref="J108:J113" si="40">I108/D108 -1</f>
        <v>4.6616299630284352E-3</v>
      </c>
      <c r="K108" s="35">
        <f t="shared" ref="K108:K113" si="41">(C108*I108) - (C108*D108)</f>
        <v>20.300000000000182</v>
      </c>
      <c r="L108" s="21">
        <f t="shared" ref="L108:L113" si="42">H108-A108</f>
        <v>8</v>
      </c>
      <c r="M108" s="9">
        <f t="shared" ref="M108:M113" si="43">IF(J108&gt;0,1,0)</f>
        <v>1</v>
      </c>
      <c r="N108">
        <f t="shared" ref="N108:N113" si="44">IF(K108&gt;0, K108, 0)</f>
        <v>20.300000000000182</v>
      </c>
      <c r="O108" s="17">
        <f t="shared" ref="O108:O113" si="45">IF(K108&lt;0, K108, 0)</f>
        <v>0</v>
      </c>
      <c r="P108" s="86"/>
      <c r="Q108" s="78"/>
      <c r="R108" s="28">
        <v>7</v>
      </c>
    </row>
    <row r="109" spans="1:19">
      <c r="A109" s="6">
        <v>45882</v>
      </c>
      <c r="B109" t="s">
        <v>501</v>
      </c>
      <c r="C109" s="9">
        <v>20</v>
      </c>
      <c r="D109">
        <v>148</v>
      </c>
      <c r="E109" s="29">
        <v>170</v>
      </c>
      <c r="F109" s="50">
        <v>140</v>
      </c>
      <c r="G109" s="21">
        <f t="shared" si="33"/>
        <v>3.75</v>
      </c>
      <c r="H109" s="6">
        <v>45903</v>
      </c>
      <c r="I109" s="29">
        <v>150.5</v>
      </c>
      <c r="J109" s="30">
        <f t="shared" si="40"/>
        <v>1.6891891891891886E-2</v>
      </c>
      <c r="K109" s="35">
        <f t="shared" si="41"/>
        <v>50</v>
      </c>
      <c r="L109" s="21">
        <f t="shared" si="42"/>
        <v>21</v>
      </c>
      <c r="M109" s="9">
        <f t="shared" si="43"/>
        <v>1</v>
      </c>
      <c r="N109">
        <f t="shared" si="44"/>
        <v>50</v>
      </c>
      <c r="O109" s="17">
        <f t="shared" si="45"/>
        <v>0</v>
      </c>
      <c r="P109" s="86"/>
      <c r="Q109" s="78"/>
      <c r="R109" s="28">
        <v>5777.59</v>
      </c>
    </row>
    <row r="110" spans="1:19">
      <c r="A110" s="6">
        <v>45881</v>
      </c>
      <c r="B110" t="s">
        <v>683</v>
      </c>
      <c r="C110" s="9">
        <v>171</v>
      </c>
      <c r="D110">
        <v>4.7</v>
      </c>
      <c r="E110" s="29">
        <v>6</v>
      </c>
      <c r="F110" s="50">
        <v>4</v>
      </c>
      <c r="G110" s="21">
        <f t="shared" ref="G110:G138" si="46" xml:space="preserve"> (E110 - F110)/(D110-F110)</f>
        <v>2.8571428571428563</v>
      </c>
      <c r="H110" s="6">
        <v>45889</v>
      </c>
      <c r="I110" s="29">
        <v>6.14</v>
      </c>
      <c r="J110" s="30">
        <f t="shared" si="40"/>
        <v>0.30638297872340403</v>
      </c>
      <c r="K110" s="35">
        <f t="shared" si="41"/>
        <v>246.24</v>
      </c>
      <c r="L110" s="21">
        <f t="shared" si="42"/>
        <v>8</v>
      </c>
      <c r="M110" s="9">
        <f t="shared" si="43"/>
        <v>1</v>
      </c>
      <c r="N110">
        <f t="shared" si="44"/>
        <v>246.24</v>
      </c>
      <c r="O110" s="17">
        <f t="shared" si="45"/>
        <v>0</v>
      </c>
      <c r="P110" s="86"/>
      <c r="Q110" s="78"/>
    </row>
    <row r="111" spans="1:19">
      <c r="A111" s="6">
        <v>45881</v>
      </c>
      <c r="B111" t="s">
        <v>131</v>
      </c>
      <c r="C111" s="9">
        <v>14</v>
      </c>
      <c r="D111">
        <v>233.9</v>
      </c>
      <c r="E111" s="29">
        <v>300</v>
      </c>
      <c r="F111" s="50">
        <v>225</v>
      </c>
      <c r="G111" s="21">
        <f t="shared" si="46"/>
        <v>8.4269662921348267</v>
      </c>
      <c r="H111" s="6">
        <v>45889</v>
      </c>
      <c r="I111" s="29">
        <v>242.8</v>
      </c>
      <c r="J111" s="30">
        <f t="shared" si="40"/>
        <v>3.8050448909790591E-2</v>
      </c>
      <c r="K111" s="35">
        <f t="shared" si="41"/>
        <v>124.60000000000036</v>
      </c>
      <c r="L111" s="21">
        <f t="shared" si="42"/>
        <v>8</v>
      </c>
      <c r="M111" s="9">
        <f t="shared" si="43"/>
        <v>1</v>
      </c>
      <c r="N111">
        <f t="shared" si="44"/>
        <v>124.60000000000036</v>
      </c>
      <c r="O111" s="17">
        <f t="shared" si="45"/>
        <v>0</v>
      </c>
      <c r="P111" s="86"/>
      <c r="Q111" s="78"/>
    </row>
    <row r="112" spans="1:19">
      <c r="A112" s="6">
        <v>45881</v>
      </c>
      <c r="B112" t="s">
        <v>314</v>
      </c>
      <c r="C112" s="9">
        <v>14</v>
      </c>
      <c r="D112">
        <v>221.67</v>
      </c>
      <c r="E112" s="29">
        <v>250</v>
      </c>
      <c r="F112" s="50">
        <v>211</v>
      </c>
      <c r="G112" s="21">
        <f t="shared" si="46"/>
        <v>3.6551077788191235</v>
      </c>
      <c r="H112" s="6">
        <v>45884</v>
      </c>
      <c r="I112" s="29">
        <v>231</v>
      </c>
      <c r="J112" s="30">
        <f t="shared" si="40"/>
        <v>4.2089592637704731E-2</v>
      </c>
      <c r="K112" s="35">
        <f t="shared" si="41"/>
        <v>130.62000000000035</v>
      </c>
      <c r="L112" s="21">
        <f t="shared" si="42"/>
        <v>3</v>
      </c>
      <c r="M112" s="9">
        <f t="shared" si="43"/>
        <v>1</v>
      </c>
      <c r="N112">
        <f t="shared" si="44"/>
        <v>130.62000000000035</v>
      </c>
      <c r="O112" s="17">
        <f t="shared" si="45"/>
        <v>0</v>
      </c>
      <c r="P112" s="86"/>
      <c r="Q112" s="78"/>
    </row>
    <row r="113" spans="1:19">
      <c r="A113" s="6">
        <v>45881</v>
      </c>
      <c r="B113" t="s">
        <v>645</v>
      </c>
      <c r="C113" s="9">
        <v>250</v>
      </c>
      <c r="D113">
        <v>11.22</v>
      </c>
      <c r="E113" s="29">
        <v>15</v>
      </c>
      <c r="F113" s="50">
        <v>10</v>
      </c>
      <c r="G113" s="21">
        <f t="shared" si="46"/>
        <v>4.0983606557377028</v>
      </c>
      <c r="H113" s="6">
        <v>45882</v>
      </c>
      <c r="I113" s="29">
        <v>12.1</v>
      </c>
      <c r="J113" s="30">
        <f t="shared" si="40"/>
        <v>7.8431372549019551E-2</v>
      </c>
      <c r="K113" s="35">
        <f t="shared" si="41"/>
        <v>220</v>
      </c>
      <c r="L113" s="21">
        <f t="shared" si="42"/>
        <v>1</v>
      </c>
      <c r="M113" s="9">
        <f t="shared" si="43"/>
        <v>1</v>
      </c>
      <c r="N113">
        <f t="shared" si="44"/>
        <v>220</v>
      </c>
      <c r="O113" s="17">
        <f t="shared" si="45"/>
        <v>0</v>
      </c>
      <c r="P113" s="86"/>
      <c r="Q113" s="78"/>
      <c r="R113" s="28">
        <v>5484.09</v>
      </c>
    </row>
    <row r="114" spans="1:19">
      <c r="A114" s="6">
        <v>45874</v>
      </c>
      <c r="B114" s="61" t="s">
        <v>131</v>
      </c>
      <c r="C114" s="9">
        <v>3</v>
      </c>
      <c r="D114">
        <v>250.4</v>
      </c>
      <c r="E114" s="29">
        <v>300</v>
      </c>
      <c r="F114" s="50">
        <v>225</v>
      </c>
      <c r="G114" s="21">
        <f t="shared" si="46"/>
        <v>2.9527559055118102</v>
      </c>
      <c r="H114" s="6">
        <v>45922</v>
      </c>
      <c r="I114" s="29">
        <v>272</v>
      </c>
      <c r="J114" s="30">
        <f>I114/D114 -1</f>
        <v>8.6261980830670826E-2</v>
      </c>
      <c r="K114" s="35">
        <f>(C114*I114) - (C114*D114)</f>
        <v>64.799999999999955</v>
      </c>
      <c r="L114" s="21">
        <f>H114-A114</f>
        <v>48</v>
      </c>
      <c r="M114" s="9">
        <f>IF(J114&gt;0,1,0)</f>
        <v>1</v>
      </c>
      <c r="N114">
        <f>IF(K114&gt;0, K114, 0)</f>
        <v>64.799999999999955</v>
      </c>
      <c r="O114" s="17">
        <f>IF(K114&lt;0, K114, 0)</f>
        <v>0</v>
      </c>
      <c r="P114" s="86"/>
      <c r="Q114" s="78"/>
      <c r="R114" s="28">
        <v>5183.37</v>
      </c>
    </row>
    <row r="115" spans="1:19">
      <c r="A115" s="6">
        <v>45873</v>
      </c>
      <c r="B115" t="s">
        <v>911</v>
      </c>
      <c r="C115" s="9">
        <v>23</v>
      </c>
      <c r="D115">
        <v>51.05</v>
      </c>
      <c r="E115" s="29">
        <v>70</v>
      </c>
      <c r="F115" s="50">
        <v>50</v>
      </c>
      <c r="G115" s="21">
        <f t="shared" si="46"/>
        <v>19.047619047619101</v>
      </c>
      <c r="H115" s="6">
        <v>45932</v>
      </c>
      <c r="I115" s="29">
        <v>66.349999999999994</v>
      </c>
      <c r="J115" s="30">
        <f>I115/D115 -1</f>
        <v>0.29970617042115566</v>
      </c>
      <c r="K115" s="35">
        <f>(C115*I115) - (C115*D115)</f>
        <v>351.90000000000009</v>
      </c>
      <c r="L115" s="21">
        <f>H115-A115</f>
        <v>59</v>
      </c>
      <c r="M115" s="9">
        <f>IF(J115&gt;0,1,0)</f>
        <v>1</v>
      </c>
      <c r="N115">
        <f>IF(K115&gt;0, K115, 0)</f>
        <v>351.90000000000009</v>
      </c>
      <c r="O115" s="17">
        <f>IF(K115&lt;0, K115, 0)</f>
        <v>0</v>
      </c>
      <c r="P115" s="86"/>
      <c r="Q115" s="78"/>
      <c r="R115" s="28">
        <v>4996.7700000000004</v>
      </c>
    </row>
    <row r="116" spans="1:19">
      <c r="A116" s="6">
        <v>45866</v>
      </c>
      <c r="B116" t="s">
        <v>440</v>
      </c>
      <c r="C116" s="9">
        <v>31</v>
      </c>
      <c r="D116">
        <v>33.090000000000003</v>
      </c>
      <c r="E116" s="29">
        <v>50</v>
      </c>
      <c r="F116" s="50">
        <v>25</v>
      </c>
      <c r="G116" s="21">
        <f t="shared" si="46"/>
        <v>3.0902348578491954</v>
      </c>
      <c r="H116" s="6">
        <v>45968</v>
      </c>
      <c r="I116" s="16">
        <v>24.5</v>
      </c>
      <c r="J116" s="25">
        <f>I116/D116 -1</f>
        <v>-0.25959504381988519</v>
      </c>
      <c r="K116" s="36">
        <f>(C116*I116) - (C116*D116)</f>
        <v>-266.29000000000019</v>
      </c>
      <c r="L116" s="24">
        <f>H116-A116</f>
        <v>102</v>
      </c>
      <c r="M116" s="52">
        <f>IF(J116&gt;0,1,0)</f>
        <v>0</v>
      </c>
      <c r="N116" s="24">
        <f>IF(K116&gt;0, K116, 0)</f>
        <v>0</v>
      </c>
      <c r="O116" s="17">
        <f>IF(K116&lt;0, K116, 0)</f>
        <v>-266.29000000000019</v>
      </c>
      <c r="P116" s="86"/>
      <c r="Q116" s="78"/>
      <c r="R116" s="28">
        <v>4837.99</v>
      </c>
      <c r="S116" s="28">
        <v>-223.28</v>
      </c>
    </row>
    <row r="117" spans="1:19">
      <c r="A117" s="6">
        <v>45982</v>
      </c>
      <c r="B117" t="s">
        <v>231</v>
      </c>
      <c r="C117" s="9">
        <v>1</v>
      </c>
      <c r="D117">
        <v>60.69</v>
      </c>
      <c r="E117" s="29">
        <v>90</v>
      </c>
      <c r="F117" s="50">
        <v>75</v>
      </c>
      <c r="G117" s="21">
        <f xml:space="preserve"> (E117 - F117)/(D117-F117)</f>
        <v>-1.0482180293501047</v>
      </c>
      <c r="H117" s="6">
        <v>45995</v>
      </c>
      <c r="I117" s="29">
        <v>62</v>
      </c>
      <c r="J117" s="30">
        <f>I117/D117 -1</f>
        <v>2.1585104630087448E-2</v>
      </c>
      <c r="K117" s="35">
        <f>(C117*I117) - (C117*D117)</f>
        <v>1.3100000000000023</v>
      </c>
      <c r="L117" s="21">
        <f>H117-A117</f>
        <v>13</v>
      </c>
      <c r="M117" s="9">
        <f>IF(J117&gt;0,1,0)</f>
        <v>1</v>
      </c>
      <c r="N117">
        <f>IF(K117&gt;0, K117, 0)</f>
        <v>1.3100000000000023</v>
      </c>
      <c r="O117" s="17">
        <f>IF(K117&lt;0, K117, 0)</f>
        <v>0</v>
      </c>
      <c r="P117" s="86"/>
      <c r="Q117" s="78"/>
      <c r="R117" s="28"/>
      <c r="S117" s="28"/>
    </row>
    <row r="118" spans="1:19">
      <c r="A118" s="6">
        <v>45863</v>
      </c>
      <c r="B118" t="s">
        <v>231</v>
      </c>
      <c r="C118" s="9">
        <v>62</v>
      </c>
      <c r="D118">
        <v>78.5</v>
      </c>
      <c r="E118" s="29">
        <v>90</v>
      </c>
      <c r="F118" s="50">
        <v>75</v>
      </c>
      <c r="G118" s="21">
        <f t="shared" si="46"/>
        <v>4.2857142857142856</v>
      </c>
      <c r="J118" s="30"/>
      <c r="K118" s="35"/>
      <c r="L118" s="37"/>
      <c r="M118" s="58"/>
      <c r="N118" s="38"/>
      <c r="O118" s="85"/>
      <c r="P118" s="86"/>
      <c r="Q118" s="78"/>
      <c r="R118" s="64">
        <v>5163.7</v>
      </c>
      <c r="S118" s="128">
        <v>548.99</v>
      </c>
    </row>
    <row r="119" spans="1:19">
      <c r="A119" s="6">
        <v>45862</v>
      </c>
      <c r="B119" t="s">
        <v>129</v>
      </c>
      <c r="C119" s="9">
        <v>4</v>
      </c>
      <c r="D119">
        <v>980.98</v>
      </c>
      <c r="E119" s="29">
        <v>1100</v>
      </c>
      <c r="F119" s="50">
        <v>980</v>
      </c>
      <c r="G119" s="21">
        <f t="shared" si="46"/>
        <v>122.44897959183446</v>
      </c>
      <c r="H119" s="6">
        <v>45936</v>
      </c>
      <c r="I119" s="16">
        <v>910</v>
      </c>
      <c r="J119" s="25">
        <f>I119/D119 -1</f>
        <v>-7.235621521335811E-2</v>
      </c>
      <c r="K119" s="36">
        <f>(C119*I119) - (C119*D119)</f>
        <v>-283.92000000000007</v>
      </c>
      <c r="L119" s="24">
        <f>H119-A119</f>
        <v>74</v>
      </c>
      <c r="M119" s="52">
        <f>IF(J119&gt;0,1,0)</f>
        <v>0</v>
      </c>
      <c r="N119" s="24">
        <f>IF(K119&gt;0, K119, 0)</f>
        <v>0</v>
      </c>
      <c r="O119" s="17">
        <f>IF(K119&lt;0, K119, 0)</f>
        <v>-283.92000000000007</v>
      </c>
      <c r="P119" s="86"/>
      <c r="Q119" s="78"/>
      <c r="R119" s="29"/>
      <c r="S119" s="128"/>
    </row>
    <row r="120" spans="1:19">
      <c r="A120" s="6">
        <v>45868</v>
      </c>
      <c r="B120" t="s">
        <v>129</v>
      </c>
      <c r="C120" s="9">
        <v>2</v>
      </c>
      <c r="D120">
        <v>928.3</v>
      </c>
      <c r="E120" s="29">
        <v>1100</v>
      </c>
      <c r="F120" s="50">
        <v>980</v>
      </c>
      <c r="G120" s="21">
        <f t="shared" si="46"/>
        <v>-2.321083172147</v>
      </c>
      <c r="H120" s="6">
        <v>45877</v>
      </c>
      <c r="I120" s="29">
        <v>981</v>
      </c>
      <c r="J120" s="30">
        <f>I120/D120 -1</f>
        <v>5.6770440590326432E-2</v>
      </c>
      <c r="K120" s="35">
        <f>(C120*I120) - (C120*D120)</f>
        <v>105.40000000000009</v>
      </c>
      <c r="L120" s="21">
        <f>H120-A120</f>
        <v>9</v>
      </c>
      <c r="M120" s="9">
        <f>IF(J120&gt;0,1,0)</f>
        <v>1</v>
      </c>
      <c r="N120">
        <f>IF(K120&gt;0, K120, 0)</f>
        <v>105.40000000000009</v>
      </c>
      <c r="O120" s="17">
        <f>IF(K120&lt;0, K120, 0)</f>
        <v>0</v>
      </c>
      <c r="P120" s="86"/>
      <c r="Q120" s="78"/>
      <c r="R120" s="28">
        <v>4976.18</v>
      </c>
    </row>
    <row r="121" spans="1:19">
      <c r="A121" s="6">
        <v>45861</v>
      </c>
      <c r="B121" t="s">
        <v>112</v>
      </c>
      <c r="C121" s="9">
        <v>39</v>
      </c>
      <c r="D121">
        <v>28.75</v>
      </c>
      <c r="E121" s="29">
        <v>50</v>
      </c>
      <c r="F121" s="50">
        <v>27</v>
      </c>
      <c r="G121" s="21">
        <f t="shared" si="46"/>
        <v>13.142857142857142</v>
      </c>
      <c r="H121" s="6">
        <v>45925</v>
      </c>
      <c r="I121" s="29">
        <v>34.25</v>
      </c>
      <c r="J121" s="30">
        <f>I121/D121 -1</f>
        <v>0.19130434782608696</v>
      </c>
      <c r="K121" s="35">
        <f>(C121*I121) - (C121*D121)</f>
        <v>214.5</v>
      </c>
      <c r="L121" s="21">
        <f>H121-A121</f>
        <v>64</v>
      </c>
      <c r="M121" s="9">
        <f>IF(J121&gt;0,1,0)</f>
        <v>1</v>
      </c>
      <c r="N121">
        <f>IF(K121&gt;0, K121, 0)</f>
        <v>214.5</v>
      </c>
      <c r="O121" s="17">
        <f>IF(K121&lt;0, K121, 0)</f>
        <v>0</v>
      </c>
      <c r="P121" s="86"/>
      <c r="Q121" s="78"/>
      <c r="R121" s="28"/>
    </row>
    <row r="122" spans="1:19">
      <c r="A122" s="6">
        <v>45861</v>
      </c>
      <c r="B122" t="s">
        <v>830</v>
      </c>
      <c r="C122" s="9">
        <v>19</v>
      </c>
      <c r="D122">
        <v>323.29000000000002</v>
      </c>
      <c r="E122" s="29">
        <v>400</v>
      </c>
      <c r="F122" s="50">
        <v>310</v>
      </c>
      <c r="G122" s="21">
        <f t="shared" si="46"/>
        <v>6.7720090293453623</v>
      </c>
      <c r="H122" s="6">
        <v>45968</v>
      </c>
      <c r="I122" s="16">
        <v>257.5</v>
      </c>
      <c r="J122" s="25">
        <f>I122/D122 -1</f>
        <v>-0.20350150020105795</v>
      </c>
      <c r="K122" s="36">
        <f>(C122*I122) - (C122*D122)</f>
        <v>-1250.0100000000002</v>
      </c>
      <c r="L122" s="24">
        <f>H122-A122</f>
        <v>107</v>
      </c>
      <c r="M122" s="52">
        <f>IF(J122&gt;0,1,0)</f>
        <v>0</v>
      </c>
      <c r="N122" s="24">
        <f>IF(K122&gt;0, K122, 0)</f>
        <v>0</v>
      </c>
      <c r="O122" s="17">
        <f>IF(K122&lt;0, K122, 0)</f>
        <v>-1250.0100000000002</v>
      </c>
      <c r="P122" s="86"/>
      <c r="Q122" s="78"/>
      <c r="R122" s="28">
        <v>4796.54</v>
      </c>
    </row>
    <row r="123" spans="1:19">
      <c r="A123" s="6">
        <v>45860</v>
      </c>
      <c r="B123" t="s">
        <v>316</v>
      </c>
      <c r="C123" s="9">
        <v>1</v>
      </c>
      <c r="D123">
        <v>1191.2</v>
      </c>
      <c r="E123" s="29">
        <v>1330</v>
      </c>
      <c r="F123" s="50">
        <v>1190</v>
      </c>
      <c r="G123" s="21">
        <f t="shared" si="46"/>
        <v>116.66666666666225</v>
      </c>
      <c r="H123" s="6">
        <v>45882</v>
      </c>
      <c r="I123" s="29">
        <v>1240</v>
      </c>
      <c r="J123" s="30">
        <f>I123/D123 -1</f>
        <v>4.0967092008059147E-2</v>
      </c>
      <c r="K123" s="35">
        <f>(C123*I123) - (C123*D123)</f>
        <v>48.799999999999955</v>
      </c>
      <c r="L123" s="21">
        <f>H123-A123</f>
        <v>22</v>
      </c>
      <c r="M123" s="9">
        <f>IF(J123&gt;0,1,0)</f>
        <v>1</v>
      </c>
      <c r="N123">
        <f>IF(K123&gt;0, K123, 0)</f>
        <v>48.799999999999955</v>
      </c>
      <c r="O123" s="17">
        <f>IF(K123&lt;0, K123, 0)</f>
        <v>0</v>
      </c>
      <c r="P123" s="86"/>
      <c r="Q123" s="78"/>
    </row>
    <row r="124" spans="1:19">
      <c r="A124" s="6">
        <v>45860</v>
      </c>
      <c r="B124" t="s">
        <v>240</v>
      </c>
      <c r="C124" s="9">
        <v>31</v>
      </c>
      <c r="D124">
        <v>162.38</v>
      </c>
      <c r="E124" s="29">
        <v>200</v>
      </c>
      <c r="F124" s="50">
        <v>160</v>
      </c>
      <c r="G124" s="21">
        <f t="shared" si="46"/>
        <v>16.806722689075663</v>
      </c>
      <c r="J124" s="30"/>
      <c r="K124" s="35"/>
      <c r="L124" s="37"/>
      <c r="M124" s="58"/>
      <c r="N124" s="38"/>
      <c r="O124" s="85"/>
      <c r="P124" s="86"/>
      <c r="Q124" s="78"/>
      <c r="R124" s="28">
        <v>4530.54</v>
      </c>
    </row>
    <row r="125" spans="1:19">
      <c r="A125" s="6">
        <v>45859</v>
      </c>
      <c r="B125" s="61" t="s">
        <v>826</v>
      </c>
      <c r="C125" s="9">
        <v>5</v>
      </c>
      <c r="D125">
        <v>190</v>
      </c>
      <c r="E125" s="29">
        <v>220</v>
      </c>
      <c r="F125" s="50">
        <v>180</v>
      </c>
      <c r="G125" s="21">
        <f t="shared" si="46"/>
        <v>4</v>
      </c>
      <c r="H125" s="6">
        <v>45866</v>
      </c>
      <c r="I125" s="29">
        <v>195</v>
      </c>
      <c r="J125" s="30">
        <f t="shared" ref="J125:J132" si="47">I125/D125 -1</f>
        <v>2.6315789473684292E-2</v>
      </c>
      <c r="K125" s="35">
        <f t="shared" ref="K125:K132" si="48">(C125*I125) - (C125*D125)</f>
        <v>25</v>
      </c>
      <c r="L125" s="21">
        <f t="shared" ref="L125:L132" si="49">H125-A125</f>
        <v>7</v>
      </c>
      <c r="M125" s="9">
        <f t="shared" ref="M125:M132" si="50">IF(J125&gt;0,1,0)</f>
        <v>1</v>
      </c>
      <c r="N125">
        <f t="shared" ref="N125:N132" si="51">IF(K125&gt;0, K125, 0)</f>
        <v>25</v>
      </c>
      <c r="O125" s="17">
        <f t="shared" ref="O125:O132" si="52">IF(K125&lt;0, K125, 0)</f>
        <v>0</v>
      </c>
      <c r="P125" s="86"/>
      <c r="Q125" s="78"/>
    </row>
    <row r="126" spans="1:19">
      <c r="A126" s="6">
        <v>45859</v>
      </c>
      <c r="B126" t="s">
        <v>708</v>
      </c>
      <c r="C126" s="9">
        <v>4</v>
      </c>
      <c r="D126">
        <v>233.5</v>
      </c>
      <c r="E126" s="29">
        <v>250</v>
      </c>
      <c r="F126" s="50">
        <v>225</v>
      </c>
      <c r="G126" s="21">
        <f t="shared" si="46"/>
        <v>2.9411764705882355</v>
      </c>
      <c r="H126" s="6">
        <v>45861</v>
      </c>
      <c r="I126" s="29">
        <v>243</v>
      </c>
      <c r="J126" s="30">
        <f t="shared" si="47"/>
        <v>4.0685224839400513E-2</v>
      </c>
      <c r="K126" s="35">
        <f t="shared" si="48"/>
        <v>38</v>
      </c>
      <c r="L126" s="21">
        <f t="shared" si="49"/>
        <v>2</v>
      </c>
      <c r="M126" s="9">
        <f t="shared" si="50"/>
        <v>1</v>
      </c>
      <c r="N126">
        <f t="shared" si="51"/>
        <v>38</v>
      </c>
      <c r="O126" s="17">
        <f t="shared" si="52"/>
        <v>0</v>
      </c>
      <c r="P126" s="86"/>
      <c r="Q126" s="78"/>
    </row>
    <row r="127" spans="1:19">
      <c r="A127" s="6">
        <v>45859</v>
      </c>
      <c r="B127" t="s">
        <v>908</v>
      </c>
      <c r="C127" s="9">
        <v>6</v>
      </c>
      <c r="D127">
        <v>124.3</v>
      </c>
      <c r="E127" s="29">
        <v>140</v>
      </c>
      <c r="F127" s="50">
        <v>120</v>
      </c>
      <c r="G127" s="21">
        <f t="shared" si="46"/>
        <v>4.6511627906976774</v>
      </c>
      <c r="H127" s="6">
        <v>45874</v>
      </c>
      <c r="I127" s="29">
        <v>130.5</v>
      </c>
      <c r="J127" s="30">
        <f t="shared" si="47"/>
        <v>4.9879324215607479E-2</v>
      </c>
      <c r="K127" s="35">
        <f t="shared" si="48"/>
        <v>37.200000000000045</v>
      </c>
      <c r="L127" s="21">
        <f t="shared" si="49"/>
        <v>15</v>
      </c>
      <c r="M127" s="9">
        <f t="shared" si="50"/>
        <v>1</v>
      </c>
      <c r="N127">
        <f t="shared" si="51"/>
        <v>37.200000000000045</v>
      </c>
      <c r="O127" s="17">
        <f t="shared" si="52"/>
        <v>0</v>
      </c>
      <c r="P127" s="86"/>
      <c r="Q127" s="78"/>
      <c r="R127" s="28">
        <v>4346.1400000000003</v>
      </c>
    </row>
    <row r="128" spans="1:19">
      <c r="A128" s="6">
        <v>45849</v>
      </c>
      <c r="B128" t="s">
        <v>94</v>
      </c>
      <c r="C128" s="9">
        <v>7</v>
      </c>
      <c r="D128">
        <v>211.1</v>
      </c>
      <c r="E128" s="29">
        <v>250</v>
      </c>
      <c r="F128" s="50">
        <v>197</v>
      </c>
      <c r="G128" s="21">
        <f t="shared" si="46"/>
        <v>3.758865248226952</v>
      </c>
      <c r="H128" s="6">
        <v>45860</v>
      </c>
      <c r="I128" s="29">
        <v>214.5</v>
      </c>
      <c r="J128" s="30">
        <f t="shared" si="47"/>
        <v>1.6106110847939448E-2</v>
      </c>
      <c r="K128" s="35">
        <f t="shared" si="48"/>
        <v>23.799999999999955</v>
      </c>
      <c r="L128" s="21">
        <f t="shared" si="49"/>
        <v>11</v>
      </c>
      <c r="M128" s="9">
        <f t="shared" si="50"/>
        <v>1</v>
      </c>
      <c r="N128">
        <f t="shared" si="51"/>
        <v>23.799999999999955</v>
      </c>
      <c r="O128" s="17">
        <f t="shared" si="52"/>
        <v>0</v>
      </c>
      <c r="P128" s="86"/>
      <c r="Q128" s="78"/>
      <c r="R128" s="28">
        <v>3775.53</v>
      </c>
    </row>
    <row r="129" spans="1:19">
      <c r="A129" s="6">
        <v>45839</v>
      </c>
      <c r="B129" s="61" t="s">
        <v>699</v>
      </c>
      <c r="C129" s="9">
        <v>16</v>
      </c>
      <c r="D129">
        <v>77.150000000000006</v>
      </c>
      <c r="E129" s="29">
        <v>90</v>
      </c>
      <c r="F129" s="50">
        <v>76</v>
      </c>
      <c r="G129" s="21">
        <f t="shared" si="46"/>
        <v>12.173913043478201</v>
      </c>
      <c r="H129" s="6">
        <v>45896</v>
      </c>
      <c r="I129" s="29">
        <v>81.010000000000005</v>
      </c>
      <c r="J129" s="30">
        <f t="shared" si="47"/>
        <v>5.0032404406999298E-2</v>
      </c>
      <c r="K129" s="35">
        <f t="shared" si="48"/>
        <v>61.759999999999991</v>
      </c>
      <c r="L129" s="21">
        <f t="shared" si="49"/>
        <v>57</v>
      </c>
      <c r="M129" s="9">
        <f t="shared" si="50"/>
        <v>1</v>
      </c>
      <c r="N129">
        <f t="shared" si="51"/>
        <v>61.759999999999991</v>
      </c>
      <c r="O129" s="17">
        <f t="shared" si="52"/>
        <v>0</v>
      </c>
      <c r="P129" s="86"/>
      <c r="Q129" s="78"/>
      <c r="R129" s="28">
        <v>3594.75</v>
      </c>
    </row>
    <row r="130" spans="1:19">
      <c r="A130" s="6">
        <v>45839</v>
      </c>
      <c r="B130" t="s">
        <v>240</v>
      </c>
      <c r="C130" s="9">
        <v>20</v>
      </c>
      <c r="D130">
        <v>167.07</v>
      </c>
      <c r="E130" s="29">
        <v>200</v>
      </c>
      <c r="F130" s="50">
        <v>160</v>
      </c>
      <c r="G130" s="21">
        <f t="shared" si="46"/>
        <v>5.657708628005663</v>
      </c>
      <c r="H130" s="6">
        <v>45860</v>
      </c>
      <c r="I130" s="29">
        <v>175.1</v>
      </c>
      <c r="J130" s="30">
        <f t="shared" si="47"/>
        <v>4.806368588016996E-2</v>
      </c>
      <c r="K130" s="35">
        <f t="shared" si="48"/>
        <v>160.60000000000036</v>
      </c>
      <c r="L130" s="21">
        <f t="shared" si="49"/>
        <v>21</v>
      </c>
      <c r="M130" s="9">
        <f t="shared" si="50"/>
        <v>1</v>
      </c>
      <c r="N130">
        <f t="shared" si="51"/>
        <v>160.60000000000036</v>
      </c>
      <c r="O130" s="17">
        <f t="shared" si="52"/>
        <v>0</v>
      </c>
      <c r="P130" s="86"/>
      <c r="Q130" s="78"/>
      <c r="R130" s="28">
        <v>3431.09</v>
      </c>
    </row>
    <row r="131" spans="1:19">
      <c r="A131" s="6">
        <v>45839</v>
      </c>
      <c r="B131" t="s">
        <v>830</v>
      </c>
      <c r="C131" s="9">
        <v>12</v>
      </c>
      <c r="D131">
        <v>317.5</v>
      </c>
      <c r="E131" s="29">
        <v>400</v>
      </c>
      <c r="F131" s="50">
        <v>310</v>
      </c>
      <c r="G131" s="21">
        <f t="shared" si="46"/>
        <v>12</v>
      </c>
      <c r="H131" s="6">
        <v>45861</v>
      </c>
      <c r="I131" s="29">
        <v>336.5</v>
      </c>
      <c r="J131" s="30">
        <f t="shared" si="47"/>
        <v>5.9842519685039397E-2</v>
      </c>
      <c r="K131" s="35">
        <f t="shared" si="48"/>
        <v>228</v>
      </c>
      <c r="L131" s="21">
        <f t="shared" si="49"/>
        <v>22</v>
      </c>
      <c r="M131" s="9">
        <f t="shared" si="50"/>
        <v>1</v>
      </c>
      <c r="N131">
        <f t="shared" si="51"/>
        <v>228</v>
      </c>
      <c r="O131" s="17">
        <f t="shared" si="52"/>
        <v>0</v>
      </c>
      <c r="P131" s="86"/>
      <c r="Q131" s="78"/>
      <c r="R131" s="28">
        <v>3749.31</v>
      </c>
    </row>
    <row r="132" spans="1:19">
      <c r="A132" s="6">
        <v>45828</v>
      </c>
      <c r="B132" s="61" t="s">
        <v>901</v>
      </c>
      <c r="C132" s="9">
        <v>10</v>
      </c>
      <c r="D132">
        <v>100.5</v>
      </c>
      <c r="E132" s="29">
        <v>130</v>
      </c>
      <c r="F132" s="50">
        <v>98</v>
      </c>
      <c r="G132" s="21">
        <f t="shared" si="46"/>
        <v>12.8</v>
      </c>
      <c r="H132" s="6">
        <v>45911</v>
      </c>
      <c r="I132" s="16">
        <v>91</v>
      </c>
      <c r="J132" s="25">
        <f t="shared" si="47"/>
        <v>-9.4527363184079616E-2</v>
      </c>
      <c r="K132" s="36">
        <f t="shared" si="48"/>
        <v>-95</v>
      </c>
      <c r="L132" s="24">
        <f t="shared" si="49"/>
        <v>83</v>
      </c>
      <c r="M132" s="52">
        <f t="shared" si="50"/>
        <v>0</v>
      </c>
      <c r="N132" s="24">
        <f t="shared" si="51"/>
        <v>0</v>
      </c>
      <c r="O132" s="17">
        <f t="shared" si="52"/>
        <v>-95</v>
      </c>
      <c r="P132" s="86"/>
      <c r="Q132" s="78"/>
      <c r="R132" s="28">
        <v>3753.16</v>
      </c>
      <c r="S132" s="28">
        <v>-227.77</v>
      </c>
    </row>
    <row r="133" spans="1:19">
      <c r="A133" s="6">
        <v>45814</v>
      </c>
      <c r="B133" t="s">
        <v>314</v>
      </c>
      <c r="C133" s="9">
        <v>13</v>
      </c>
      <c r="D133">
        <v>213.2</v>
      </c>
      <c r="E133" s="29">
        <v>225</v>
      </c>
      <c r="F133" s="50">
        <v>190</v>
      </c>
      <c r="G133" s="21">
        <f t="shared" si="46"/>
        <v>1.5086206896551733</v>
      </c>
      <c r="H133" s="6">
        <v>45818</v>
      </c>
      <c r="I133" s="29">
        <v>217.5</v>
      </c>
      <c r="J133" s="30">
        <f t="shared" ref="J133:J140" si="53">I133/D133 -1</f>
        <v>2.0168855534709262E-2</v>
      </c>
      <c r="K133" s="35">
        <f t="shared" ref="K133:K140" si="54">(C133*I133) - (C133*D133)</f>
        <v>55.900000000000091</v>
      </c>
      <c r="L133" s="21">
        <f t="shared" ref="L133:L140" si="55">H133-A133</f>
        <v>4</v>
      </c>
      <c r="M133" s="9">
        <f t="shared" ref="M133:M140" si="56">IF(J133&gt;0,1,0)</f>
        <v>1</v>
      </c>
      <c r="N133">
        <f t="shared" ref="N133:N140" si="57">IF(K133&gt;0, K133, 0)</f>
        <v>55.900000000000091</v>
      </c>
      <c r="O133" s="17">
        <f t="shared" ref="O133:O140" si="58">IF(K133&lt;0, K133, 0)</f>
        <v>0</v>
      </c>
      <c r="P133" s="86"/>
      <c r="Q133" s="78"/>
      <c r="R133" s="28">
        <v>3904.51</v>
      </c>
      <c r="S133" s="127">
        <v>513.70000000000005</v>
      </c>
    </row>
    <row r="134" spans="1:19">
      <c r="A134" s="6">
        <v>45804</v>
      </c>
      <c r="B134" t="s">
        <v>184</v>
      </c>
      <c r="C134" s="9">
        <v>84</v>
      </c>
      <c r="D134">
        <v>9.9600000000000009</v>
      </c>
      <c r="E134" s="29">
        <v>12.5</v>
      </c>
      <c r="F134" s="50">
        <v>9.8000000000000007</v>
      </c>
      <c r="G134" s="21">
        <f t="shared" si="46"/>
        <v>16.874999999999982</v>
      </c>
      <c r="H134" s="6">
        <v>45839</v>
      </c>
      <c r="I134" s="29">
        <v>11</v>
      </c>
      <c r="J134" s="30">
        <f t="shared" si="53"/>
        <v>0.10441767068273089</v>
      </c>
      <c r="K134" s="35">
        <f t="shared" si="54"/>
        <v>87.3599999999999</v>
      </c>
      <c r="L134" s="21">
        <f t="shared" si="55"/>
        <v>35</v>
      </c>
      <c r="M134" s="9">
        <f t="shared" si="56"/>
        <v>1</v>
      </c>
      <c r="N134">
        <f t="shared" si="57"/>
        <v>87.3599999999999</v>
      </c>
      <c r="O134" s="17">
        <f t="shared" si="58"/>
        <v>0</v>
      </c>
      <c r="P134" s="86"/>
      <c r="Q134" s="78"/>
      <c r="R134" s="28">
        <v>3110.56</v>
      </c>
      <c r="S134" s="16">
        <v>525.25</v>
      </c>
    </row>
    <row r="135" spans="1:19">
      <c r="A135" s="6">
        <v>45799</v>
      </c>
      <c r="B135" t="s">
        <v>900</v>
      </c>
      <c r="C135" s="9">
        <v>55</v>
      </c>
      <c r="D135">
        <v>6.6</v>
      </c>
      <c r="E135" s="29">
        <v>12.5</v>
      </c>
      <c r="F135" s="50">
        <v>6</v>
      </c>
      <c r="G135" s="21">
        <f t="shared" si="46"/>
        <v>10.833333333333339</v>
      </c>
      <c r="H135" s="6">
        <v>45814</v>
      </c>
      <c r="I135" s="29">
        <v>8.5</v>
      </c>
      <c r="J135" s="30">
        <f t="shared" si="53"/>
        <v>0.28787878787878785</v>
      </c>
      <c r="K135" s="35">
        <f t="shared" si="54"/>
        <v>104.5</v>
      </c>
      <c r="L135" s="21">
        <f t="shared" si="55"/>
        <v>15</v>
      </c>
      <c r="M135" s="9">
        <f t="shared" si="56"/>
        <v>1</v>
      </c>
      <c r="N135">
        <f t="shared" si="57"/>
        <v>104.5</v>
      </c>
      <c r="O135" s="17">
        <f t="shared" si="58"/>
        <v>0</v>
      </c>
      <c r="P135" s="86"/>
      <c r="Q135" s="78"/>
      <c r="R135" s="28">
        <v>3790.3</v>
      </c>
      <c r="S135" s="28">
        <v>-104.61</v>
      </c>
    </row>
    <row r="136" spans="1:19">
      <c r="A136" s="6">
        <v>45792</v>
      </c>
      <c r="B136" t="s">
        <v>310</v>
      </c>
      <c r="C136" s="9">
        <v>344</v>
      </c>
      <c r="D136">
        <v>2.9</v>
      </c>
      <c r="E136" s="29">
        <v>3.5</v>
      </c>
      <c r="F136" s="50">
        <v>2.5</v>
      </c>
      <c r="G136" s="21">
        <f t="shared" si="46"/>
        <v>2.5000000000000004</v>
      </c>
      <c r="H136" s="6">
        <v>45826</v>
      </c>
      <c r="I136" s="29">
        <v>3.15</v>
      </c>
      <c r="J136" s="30">
        <f t="shared" si="53"/>
        <v>8.6206896551724199E-2</v>
      </c>
      <c r="K136" s="35">
        <f t="shared" si="54"/>
        <v>85.999999999999886</v>
      </c>
      <c r="L136" s="21">
        <f t="shared" si="55"/>
        <v>34</v>
      </c>
      <c r="M136" s="9">
        <f t="shared" si="56"/>
        <v>1</v>
      </c>
      <c r="N136">
        <f t="shared" si="57"/>
        <v>85.999999999999886</v>
      </c>
      <c r="O136" s="17">
        <f t="shared" si="58"/>
        <v>0</v>
      </c>
      <c r="P136" s="86"/>
      <c r="Q136" s="78"/>
    </row>
    <row r="137" spans="1:19">
      <c r="A137" s="6">
        <v>45792</v>
      </c>
      <c r="B137" t="s">
        <v>314</v>
      </c>
      <c r="C137" s="9">
        <v>17</v>
      </c>
      <c r="D137">
        <v>205</v>
      </c>
      <c r="E137" s="29">
        <v>225</v>
      </c>
      <c r="F137" s="50">
        <v>190</v>
      </c>
      <c r="G137" s="21">
        <f t="shared" si="46"/>
        <v>2.3333333333333335</v>
      </c>
      <c r="H137" s="6">
        <v>45814</v>
      </c>
      <c r="I137" s="29">
        <v>213.25</v>
      </c>
      <c r="J137" s="30">
        <f t="shared" si="53"/>
        <v>4.0243902439024426E-2</v>
      </c>
      <c r="K137" s="35">
        <f t="shared" si="54"/>
        <v>140.25</v>
      </c>
      <c r="L137" s="21">
        <f t="shared" si="55"/>
        <v>22</v>
      </c>
      <c r="M137" s="9">
        <f t="shared" si="56"/>
        <v>1</v>
      </c>
      <c r="N137">
        <f t="shared" si="57"/>
        <v>140.25</v>
      </c>
      <c r="O137" s="17">
        <f t="shared" si="58"/>
        <v>0</v>
      </c>
      <c r="P137" s="86"/>
      <c r="Q137" s="78"/>
      <c r="R137" s="28">
        <v>4027.58</v>
      </c>
    </row>
    <row r="138" spans="1:19">
      <c r="A138" s="6">
        <v>45792</v>
      </c>
      <c r="B138" t="s">
        <v>899</v>
      </c>
      <c r="C138" s="9">
        <v>382</v>
      </c>
      <c r="D138">
        <v>4.3899999999999997</v>
      </c>
      <c r="E138" s="29">
        <v>7.5</v>
      </c>
      <c r="F138" s="50">
        <v>4.3499999999999996</v>
      </c>
      <c r="G138" s="21">
        <f t="shared" si="46"/>
        <v>78.749999999999943</v>
      </c>
      <c r="H138" s="6">
        <v>45936</v>
      </c>
      <c r="I138" s="29">
        <v>5.25</v>
      </c>
      <c r="J138" s="30">
        <f t="shared" si="53"/>
        <v>0.19589977220956722</v>
      </c>
      <c r="K138" s="35">
        <f t="shared" si="54"/>
        <v>328.52000000000021</v>
      </c>
      <c r="L138" s="21">
        <f t="shared" si="55"/>
        <v>144</v>
      </c>
      <c r="M138" s="9">
        <f t="shared" si="56"/>
        <v>1</v>
      </c>
      <c r="N138">
        <f t="shared" si="57"/>
        <v>328.52000000000021</v>
      </c>
      <c r="O138" s="17">
        <f t="shared" si="58"/>
        <v>0</v>
      </c>
      <c r="P138" s="86"/>
      <c r="Q138" s="78"/>
      <c r="R138" s="64">
        <v>4069.88</v>
      </c>
    </row>
    <row r="139" spans="1:19">
      <c r="A139" s="6">
        <v>45791</v>
      </c>
      <c r="B139" t="s">
        <v>906</v>
      </c>
      <c r="C139" s="9">
        <v>43</v>
      </c>
      <c r="D139">
        <v>26.73</v>
      </c>
      <c r="E139" s="29">
        <v>35</v>
      </c>
      <c r="F139" s="50">
        <v>25</v>
      </c>
      <c r="G139" s="21">
        <f t="shared" ref="G139:G144" si="59" xml:space="preserve"> (E139 - F139)/(D139-F139)</f>
        <v>5.780346820809247</v>
      </c>
      <c r="H139" s="6">
        <v>45859</v>
      </c>
      <c r="I139" s="29">
        <v>40</v>
      </c>
      <c r="J139" s="30">
        <f t="shared" si="53"/>
        <v>0.49644594089038541</v>
      </c>
      <c r="K139" s="35">
        <f t="shared" si="54"/>
        <v>570.6099999999999</v>
      </c>
      <c r="L139" s="21">
        <f t="shared" si="55"/>
        <v>68</v>
      </c>
      <c r="M139" s="9">
        <f t="shared" si="56"/>
        <v>1</v>
      </c>
      <c r="N139">
        <f t="shared" si="57"/>
        <v>570.6099999999999</v>
      </c>
      <c r="O139" s="17">
        <f t="shared" si="58"/>
        <v>0</v>
      </c>
      <c r="P139" s="86"/>
      <c r="Q139" s="78"/>
    </row>
    <row r="140" spans="1:19">
      <c r="A140" s="6">
        <v>45791</v>
      </c>
      <c r="B140" t="s">
        <v>888</v>
      </c>
      <c r="C140" s="9">
        <v>8</v>
      </c>
      <c r="D140">
        <v>133.47999999999999</v>
      </c>
      <c r="E140" s="29">
        <v>150</v>
      </c>
      <c r="F140" s="50">
        <v>120</v>
      </c>
      <c r="G140" s="21">
        <f t="shared" si="59"/>
        <v>2.2255192878338295</v>
      </c>
      <c r="H140" s="6">
        <v>45909</v>
      </c>
      <c r="I140" s="29">
        <v>146.44999999999999</v>
      </c>
      <c r="J140" s="30">
        <f t="shared" si="53"/>
        <v>9.7168115073419159E-2</v>
      </c>
      <c r="K140" s="35">
        <f t="shared" si="54"/>
        <v>103.75999999999999</v>
      </c>
      <c r="L140" s="21">
        <f t="shared" si="55"/>
        <v>118</v>
      </c>
      <c r="M140" s="9">
        <f t="shared" si="56"/>
        <v>1</v>
      </c>
      <c r="N140">
        <f t="shared" si="57"/>
        <v>103.75999999999999</v>
      </c>
      <c r="O140" s="17">
        <f t="shared" si="58"/>
        <v>0</v>
      </c>
      <c r="P140" s="86"/>
      <c r="Q140" s="78"/>
    </row>
    <row r="141" spans="1:19">
      <c r="A141" s="6">
        <v>45791</v>
      </c>
      <c r="B141" t="s">
        <v>888</v>
      </c>
      <c r="C141" s="9">
        <v>12</v>
      </c>
      <c r="D141">
        <v>108.29</v>
      </c>
      <c r="E141" s="29">
        <v>150</v>
      </c>
      <c r="F141" s="50">
        <v>120</v>
      </c>
      <c r="G141" s="21">
        <f xml:space="preserve"> (E141 - F141)/(D141-F141)</f>
        <v>-2.5619128949615728</v>
      </c>
      <c r="H141" s="6">
        <v>45853</v>
      </c>
      <c r="I141" s="29">
        <v>115</v>
      </c>
      <c r="J141" s="30">
        <f t="shared" ref="J141:J149" si="60">I141/D141 -1</f>
        <v>6.1963246837196451E-2</v>
      </c>
      <c r="K141" s="35">
        <f t="shared" ref="K141:K149" si="61">(C141*I141) - (C141*D141)</f>
        <v>80.519999999999982</v>
      </c>
      <c r="L141" s="21">
        <f t="shared" ref="L141:L149" si="62">H141-A141</f>
        <v>62</v>
      </c>
      <c r="M141" s="9">
        <f t="shared" ref="M141:M149" si="63">IF(J141&gt;0,1,0)</f>
        <v>1</v>
      </c>
      <c r="N141">
        <f t="shared" ref="N141:N149" si="64">IF(K141&gt;0, K141, 0)</f>
        <v>80.519999999999982</v>
      </c>
      <c r="O141" s="17">
        <f t="shared" ref="O141:O149" si="65">IF(K141&lt;0, K141, 0)</f>
        <v>0</v>
      </c>
      <c r="P141" s="86"/>
      <c r="Q141" s="78"/>
    </row>
    <row r="142" spans="1:19">
      <c r="A142" s="6">
        <v>45791</v>
      </c>
      <c r="B142" t="s">
        <v>888</v>
      </c>
      <c r="C142" s="9">
        <v>14</v>
      </c>
      <c r="D142">
        <v>133.47999999999999</v>
      </c>
      <c r="E142" s="29">
        <v>150</v>
      </c>
      <c r="F142" s="50">
        <v>120</v>
      </c>
      <c r="G142" s="21">
        <f xml:space="preserve"> (E142 - F142)/(D142-F142)</f>
        <v>2.2255192878338295</v>
      </c>
      <c r="H142" s="6">
        <v>45840</v>
      </c>
      <c r="I142" s="16">
        <v>110.75</v>
      </c>
      <c r="J142" s="25">
        <f t="shared" si="60"/>
        <v>-0.17028768354809698</v>
      </c>
      <c r="K142" s="36">
        <f t="shared" si="61"/>
        <v>-318.2199999999998</v>
      </c>
      <c r="L142" s="24">
        <f t="shared" si="62"/>
        <v>49</v>
      </c>
      <c r="M142" s="52">
        <f t="shared" si="63"/>
        <v>0</v>
      </c>
      <c r="N142" s="24">
        <f t="shared" si="64"/>
        <v>0</v>
      </c>
      <c r="O142" s="17">
        <f t="shared" si="65"/>
        <v>-318.2199999999998</v>
      </c>
      <c r="P142" s="86"/>
      <c r="Q142" s="78"/>
    </row>
    <row r="143" spans="1:19">
      <c r="A143" s="6">
        <v>45791</v>
      </c>
      <c r="B143" s="61" t="s">
        <v>521</v>
      </c>
      <c r="C143" s="9">
        <v>27</v>
      </c>
      <c r="D143">
        <v>164.9</v>
      </c>
      <c r="E143" s="29">
        <v>170</v>
      </c>
      <c r="F143" s="50">
        <v>148</v>
      </c>
      <c r="G143" s="21">
        <f t="shared" si="59"/>
        <v>1.3017751479289936</v>
      </c>
      <c r="H143" s="6">
        <v>45804</v>
      </c>
      <c r="I143" s="29">
        <v>173</v>
      </c>
      <c r="J143" s="30">
        <f t="shared" si="60"/>
        <v>4.9120679199514905E-2</v>
      </c>
      <c r="K143" s="35">
        <f t="shared" si="61"/>
        <v>218.69999999999982</v>
      </c>
      <c r="L143" s="21">
        <f t="shared" si="62"/>
        <v>13</v>
      </c>
      <c r="M143" s="9">
        <f t="shared" si="63"/>
        <v>1</v>
      </c>
      <c r="N143">
        <f t="shared" si="64"/>
        <v>218.69999999999982</v>
      </c>
      <c r="O143" s="17">
        <f t="shared" si="65"/>
        <v>0</v>
      </c>
      <c r="P143" s="86"/>
      <c r="Q143" s="78"/>
    </row>
    <row r="144" spans="1:19">
      <c r="A144" s="6">
        <v>45791</v>
      </c>
      <c r="B144" t="s">
        <v>710</v>
      </c>
      <c r="C144" s="9">
        <v>5</v>
      </c>
      <c r="D144">
        <v>769</v>
      </c>
      <c r="E144" s="29">
        <v>800</v>
      </c>
      <c r="F144" s="50">
        <v>650</v>
      </c>
      <c r="G144" s="21">
        <f t="shared" si="59"/>
        <v>1.2605042016806722</v>
      </c>
      <c r="H144" s="6">
        <v>45811</v>
      </c>
      <c r="I144" s="16">
        <v>747.5</v>
      </c>
      <c r="J144" s="25">
        <f t="shared" si="60"/>
        <v>-2.7958387516254901E-2</v>
      </c>
      <c r="K144" s="36">
        <f t="shared" si="61"/>
        <v>-107.5</v>
      </c>
      <c r="L144" s="24">
        <f t="shared" si="62"/>
        <v>20</v>
      </c>
      <c r="M144" s="52">
        <f t="shared" si="63"/>
        <v>0</v>
      </c>
      <c r="N144" s="24">
        <f t="shared" si="64"/>
        <v>0</v>
      </c>
      <c r="O144" s="17">
        <f t="shared" si="65"/>
        <v>-107.5</v>
      </c>
      <c r="P144" s="86"/>
      <c r="Q144" s="78"/>
      <c r="R144" s="28">
        <v>3733.56</v>
      </c>
    </row>
    <row r="145" spans="1:18">
      <c r="A145" s="6">
        <v>45790</v>
      </c>
      <c r="B145" t="s">
        <v>718</v>
      </c>
      <c r="C145" s="9">
        <v>5</v>
      </c>
      <c r="D145">
        <v>230.75</v>
      </c>
      <c r="E145" s="29">
        <v>250</v>
      </c>
      <c r="F145" s="50">
        <v>225</v>
      </c>
      <c r="G145" s="21">
        <f t="shared" ref="G145:G150" si="66" xml:space="preserve"> (E145 - F145)/(D145-F145)</f>
        <v>4.3478260869565215</v>
      </c>
      <c r="H145" s="6">
        <v>45873</v>
      </c>
      <c r="I145" s="29">
        <v>233.5</v>
      </c>
      <c r="J145" s="30">
        <f t="shared" si="60"/>
        <v>1.1917659804983716E-2</v>
      </c>
      <c r="K145" s="35">
        <f t="shared" si="61"/>
        <v>13.75</v>
      </c>
      <c r="L145" s="21">
        <f t="shared" si="62"/>
        <v>83</v>
      </c>
      <c r="M145" s="9">
        <f t="shared" si="63"/>
        <v>1</v>
      </c>
      <c r="N145">
        <f t="shared" si="64"/>
        <v>13.75</v>
      </c>
      <c r="O145" s="17">
        <f t="shared" si="65"/>
        <v>0</v>
      </c>
      <c r="P145" s="86"/>
      <c r="Q145" s="78"/>
    </row>
    <row r="146" spans="1:18">
      <c r="A146" s="6">
        <v>45790</v>
      </c>
      <c r="B146" t="s">
        <v>129</v>
      </c>
      <c r="C146" s="9">
        <v>3</v>
      </c>
      <c r="D146">
        <v>996</v>
      </c>
      <c r="E146" s="29">
        <v>1100</v>
      </c>
      <c r="F146" s="50">
        <v>975</v>
      </c>
      <c r="G146" s="21">
        <f t="shared" si="66"/>
        <v>5.9523809523809526</v>
      </c>
      <c r="H146" s="6">
        <v>45792</v>
      </c>
      <c r="I146" s="29">
        <v>1010</v>
      </c>
      <c r="J146" s="30">
        <f t="shared" si="60"/>
        <v>1.4056224899598346E-2</v>
      </c>
      <c r="K146" s="35">
        <f t="shared" si="61"/>
        <v>42</v>
      </c>
      <c r="L146" s="21">
        <f t="shared" si="62"/>
        <v>2</v>
      </c>
      <c r="M146" s="9">
        <f t="shared" si="63"/>
        <v>1</v>
      </c>
      <c r="N146">
        <f t="shared" si="64"/>
        <v>42</v>
      </c>
      <c r="O146" s="17">
        <f t="shared" si="65"/>
        <v>0</v>
      </c>
      <c r="P146" s="86"/>
      <c r="Q146" s="78"/>
      <c r="R146" s="28">
        <v>3328.22</v>
      </c>
    </row>
    <row r="147" spans="1:18">
      <c r="A147" s="6">
        <v>45789</v>
      </c>
      <c r="B147" t="s">
        <v>316</v>
      </c>
      <c r="C147" s="9">
        <v>3</v>
      </c>
      <c r="D147">
        <v>1113.5</v>
      </c>
      <c r="E147" s="29">
        <v>1200</v>
      </c>
      <c r="F147" s="50">
        <v>1050</v>
      </c>
      <c r="G147" s="21">
        <f t="shared" si="66"/>
        <v>2.3622047244094486</v>
      </c>
      <c r="H147" s="6">
        <v>45792</v>
      </c>
      <c r="I147" s="29">
        <v>1180</v>
      </c>
      <c r="J147" s="30">
        <f t="shared" si="60"/>
        <v>5.9721598563089451E-2</v>
      </c>
      <c r="K147" s="35">
        <f t="shared" si="61"/>
        <v>199.5</v>
      </c>
      <c r="L147" s="21">
        <f t="shared" si="62"/>
        <v>3</v>
      </c>
      <c r="M147" s="9">
        <f t="shared" si="63"/>
        <v>1</v>
      </c>
      <c r="N147">
        <f t="shared" si="64"/>
        <v>199.5</v>
      </c>
      <c r="O147" s="17">
        <f t="shared" si="65"/>
        <v>0</v>
      </c>
      <c r="P147" s="86"/>
      <c r="Q147" s="78"/>
    </row>
    <row r="148" spans="1:18">
      <c r="A148" s="6">
        <v>45789</v>
      </c>
      <c r="B148" s="61" t="s">
        <v>521</v>
      </c>
      <c r="C148" s="9">
        <v>27</v>
      </c>
      <c r="D148">
        <v>158.30000000000001</v>
      </c>
      <c r="E148" s="29">
        <v>170</v>
      </c>
      <c r="F148" s="50">
        <v>148</v>
      </c>
      <c r="G148" s="21">
        <f t="shared" si="66"/>
        <v>2.1359223300970851</v>
      </c>
      <c r="H148" s="6">
        <v>45791</v>
      </c>
      <c r="I148" s="29">
        <v>164.97</v>
      </c>
      <c r="J148" s="30">
        <f t="shared" si="60"/>
        <v>4.2135186355022114E-2</v>
      </c>
      <c r="K148" s="35">
        <f t="shared" si="61"/>
        <v>180.08999999999924</v>
      </c>
      <c r="L148" s="21">
        <f t="shared" si="62"/>
        <v>2</v>
      </c>
      <c r="M148" s="9">
        <f t="shared" si="63"/>
        <v>1</v>
      </c>
      <c r="N148">
        <f t="shared" si="64"/>
        <v>180.08999999999924</v>
      </c>
      <c r="O148" s="17">
        <f t="shared" si="65"/>
        <v>0</v>
      </c>
      <c r="P148" s="86"/>
      <c r="Q148" s="78"/>
    </row>
    <row r="149" spans="1:18">
      <c r="A149" s="6">
        <v>45789</v>
      </c>
      <c r="B149" t="s">
        <v>710</v>
      </c>
      <c r="C149" s="9">
        <v>5</v>
      </c>
      <c r="D149">
        <v>746.25</v>
      </c>
      <c r="E149" s="29">
        <v>800</v>
      </c>
      <c r="F149" s="50">
        <v>650</v>
      </c>
      <c r="G149" s="21">
        <f t="shared" si="66"/>
        <v>1.5584415584415585</v>
      </c>
      <c r="H149" s="6">
        <v>45791</v>
      </c>
      <c r="I149" s="29">
        <v>769.4</v>
      </c>
      <c r="J149" s="30">
        <f t="shared" si="60"/>
        <v>3.1021775544388674E-2</v>
      </c>
      <c r="K149" s="35">
        <f t="shared" si="61"/>
        <v>115.75</v>
      </c>
      <c r="L149" s="21">
        <f t="shared" si="62"/>
        <v>2</v>
      </c>
      <c r="M149" s="9">
        <f t="shared" si="63"/>
        <v>1</v>
      </c>
      <c r="N149">
        <f t="shared" si="64"/>
        <v>115.75</v>
      </c>
      <c r="O149" s="17">
        <f t="shared" si="65"/>
        <v>0</v>
      </c>
      <c r="P149" s="86"/>
      <c r="Q149" s="78"/>
    </row>
    <row r="150" spans="1:18">
      <c r="A150" s="6">
        <v>45789</v>
      </c>
      <c r="B150" s="61" t="s">
        <v>332</v>
      </c>
      <c r="C150" s="9">
        <v>50</v>
      </c>
      <c r="D150">
        <v>80.55</v>
      </c>
      <c r="E150" s="29">
        <v>85</v>
      </c>
      <c r="F150" s="50">
        <v>75</v>
      </c>
      <c r="G150" s="21">
        <f t="shared" si="66"/>
        <v>1.8018018018018027</v>
      </c>
      <c r="H150" s="6">
        <v>45929</v>
      </c>
      <c r="I150" s="29">
        <v>81.75</v>
      </c>
      <c r="J150" s="30">
        <f>I150/D150 -1</f>
        <v>1.4897579143389184E-2</v>
      </c>
      <c r="K150" s="35">
        <f>(C150*I150) - (C150*D150)</f>
        <v>60</v>
      </c>
      <c r="L150" s="21">
        <f>H150-A150</f>
        <v>140</v>
      </c>
      <c r="M150" s="9">
        <f>IF(J150&gt;0,1,0)</f>
        <v>1</v>
      </c>
      <c r="N150">
        <f>IF(K150&gt;0, K150, 0)</f>
        <v>60</v>
      </c>
      <c r="O150" s="17">
        <f>IF(K150&lt;0, K150, 0)</f>
        <v>0</v>
      </c>
      <c r="P150" s="86"/>
      <c r="Q150" s="78"/>
      <c r="R150" s="28">
        <v>3008.62</v>
      </c>
    </row>
    <row r="151" spans="1:18">
      <c r="A151" s="6">
        <v>45786</v>
      </c>
      <c r="B151" t="s">
        <v>896</v>
      </c>
      <c r="C151" s="9">
        <v>150</v>
      </c>
      <c r="D151">
        <v>7.24</v>
      </c>
      <c r="E151" s="29">
        <v>10</v>
      </c>
      <c r="F151" s="50">
        <v>4.5</v>
      </c>
      <c r="G151" s="21">
        <f t="shared" ref="G151:G182" si="67" xml:space="preserve"> (E151 - F151)/(D151-F151)</f>
        <v>2.0072992700729926</v>
      </c>
      <c r="H151" s="6">
        <v>45790</v>
      </c>
      <c r="I151" s="29">
        <v>8.77</v>
      </c>
      <c r="J151" s="30">
        <f>I151/D151 -1</f>
        <v>0.21132596685082872</v>
      </c>
      <c r="K151" s="35">
        <f>(C151*I151) - (C151*D151)</f>
        <v>229.5</v>
      </c>
      <c r="L151" s="21">
        <f>H151-A151</f>
        <v>4</v>
      </c>
      <c r="M151" s="9">
        <f>IF(J151&gt;0,1,0)</f>
        <v>1</v>
      </c>
      <c r="N151">
        <f>IF(K151&gt;0, K151, 0)</f>
        <v>229.5</v>
      </c>
      <c r="O151" s="17">
        <f>IF(K151&lt;0, K151, 0)</f>
        <v>0</v>
      </c>
      <c r="P151" s="86"/>
      <c r="Q151" s="78"/>
    </row>
    <row r="152" spans="1:18">
      <c r="A152" s="6">
        <v>45785</v>
      </c>
      <c r="B152" t="s">
        <v>896</v>
      </c>
      <c r="C152" s="9">
        <v>151</v>
      </c>
      <c r="D152">
        <v>5.35</v>
      </c>
      <c r="E152" s="29">
        <v>10</v>
      </c>
      <c r="F152" s="50">
        <v>4.5</v>
      </c>
      <c r="G152" s="21">
        <f t="shared" si="67"/>
        <v>6.4705882352941204</v>
      </c>
      <c r="H152" s="6">
        <v>45786</v>
      </c>
      <c r="I152" s="29">
        <v>7.21</v>
      </c>
      <c r="J152" s="30">
        <f>I152/D152 -1</f>
        <v>0.34766355140186933</v>
      </c>
      <c r="K152" s="35">
        <f>(C152*I152) - (C152*D152)</f>
        <v>280.86000000000013</v>
      </c>
      <c r="L152" s="21">
        <f>H152-A152</f>
        <v>1</v>
      </c>
      <c r="M152" s="9">
        <f>IF(J152&gt;0,1,0)</f>
        <v>1</v>
      </c>
      <c r="N152">
        <f>IF(K152&gt;0, K152, 0)</f>
        <v>280.86000000000013</v>
      </c>
      <c r="O152" s="17">
        <f>IF(K152&lt;0, K152, 0)</f>
        <v>0</v>
      </c>
      <c r="P152" s="86"/>
      <c r="Q152" s="78"/>
      <c r="R152" s="28">
        <v>1834.78</v>
      </c>
    </row>
    <row r="153" spans="1:18">
      <c r="A153" s="6">
        <v>45785</v>
      </c>
      <c r="B153" t="s">
        <v>888</v>
      </c>
      <c r="C153" s="9">
        <v>15</v>
      </c>
      <c r="D153">
        <v>126.25</v>
      </c>
      <c r="E153" s="29">
        <v>150</v>
      </c>
      <c r="F153" s="50">
        <v>120</v>
      </c>
      <c r="G153" s="21">
        <f t="shared" si="67"/>
        <v>4.8</v>
      </c>
      <c r="H153" s="6">
        <v>45791</v>
      </c>
      <c r="I153" s="29">
        <v>133.55000000000001</v>
      </c>
      <c r="J153" s="30">
        <f>I153/D153 -1</f>
        <v>5.7821782178217873E-2</v>
      </c>
      <c r="K153" s="35">
        <f>(C153*I153) - (C153*D153)</f>
        <v>109.50000000000023</v>
      </c>
      <c r="L153" s="21">
        <f>H153-A153</f>
        <v>6</v>
      </c>
      <c r="M153" s="9">
        <f>IF(J153&gt;0,1,0)</f>
        <v>1</v>
      </c>
      <c r="N153">
        <f>IF(K153&gt;0, K153, 0)</f>
        <v>109.50000000000023</v>
      </c>
      <c r="O153" s="17">
        <f>IF(K153&lt;0, K153, 0)</f>
        <v>0</v>
      </c>
      <c r="P153" s="86"/>
      <c r="Q153" s="78"/>
    </row>
    <row r="154" spans="1:18">
      <c r="A154" s="6">
        <v>45785</v>
      </c>
      <c r="B154" s="61" t="s">
        <v>847</v>
      </c>
      <c r="C154" s="9">
        <v>50</v>
      </c>
      <c r="D154">
        <v>60.3</v>
      </c>
      <c r="E154" s="29">
        <v>69</v>
      </c>
      <c r="F154" s="50">
        <v>58</v>
      </c>
      <c r="G154" s="21">
        <f t="shared" si="67"/>
        <v>4.7826086956521801</v>
      </c>
      <c r="H154" s="6">
        <v>45912</v>
      </c>
      <c r="I154" s="29">
        <v>60.75</v>
      </c>
      <c r="J154" s="30">
        <f>I154/D154 -1</f>
        <v>7.4626865671643117E-3</v>
      </c>
      <c r="K154" s="35">
        <f>(C154*I154) - (C154*D154)</f>
        <v>22.5</v>
      </c>
      <c r="L154" s="21">
        <f>H154-A154</f>
        <v>127</v>
      </c>
      <c r="M154" s="9">
        <f>IF(J154&gt;0,1,0)</f>
        <v>1</v>
      </c>
      <c r="N154">
        <f>IF(K154&gt;0, K154, 0)</f>
        <v>22.5</v>
      </c>
      <c r="O154" s="17">
        <f>IF(K154&lt;0, K154, 0)</f>
        <v>0</v>
      </c>
      <c r="P154" s="86"/>
      <c r="Q154" s="78"/>
    </row>
    <row r="155" spans="1:18">
      <c r="A155" s="6">
        <v>45812</v>
      </c>
      <c r="B155" s="61" t="s">
        <v>847</v>
      </c>
      <c r="C155" s="9">
        <v>31</v>
      </c>
      <c r="D155">
        <v>54.38</v>
      </c>
      <c r="E155" s="29">
        <v>69</v>
      </c>
      <c r="F155" s="50">
        <v>58</v>
      </c>
      <c r="G155" s="21">
        <f t="shared" si="67"/>
        <v>-3.0386740331491735</v>
      </c>
      <c r="H155" s="6">
        <v>45867</v>
      </c>
      <c r="I155" s="29">
        <v>57.1</v>
      </c>
      <c r="J155" s="30">
        <f t="shared" ref="J155:J197" si="68">I155/D155 -1</f>
        <v>5.0018389113644757E-2</v>
      </c>
      <c r="K155" s="35">
        <f t="shared" ref="K155:K161" si="69">(C155*I155) - (C155*D155)</f>
        <v>84.320000000000164</v>
      </c>
      <c r="L155" s="21">
        <f t="shared" ref="L155:L161" si="70">H155-A155</f>
        <v>55</v>
      </c>
      <c r="M155" s="9">
        <f t="shared" ref="M155:M197" si="71">IF(J155&gt;0,1,0)</f>
        <v>1</v>
      </c>
      <c r="N155">
        <f t="shared" ref="N155:N197" si="72">IF(K155&gt;0, K155, 0)</f>
        <v>84.320000000000164</v>
      </c>
      <c r="O155" s="17">
        <f t="shared" ref="O155:O161" si="73">IF(K155&lt;0, K155, 0)</f>
        <v>0</v>
      </c>
      <c r="P155" s="86"/>
      <c r="Q155" s="78"/>
      <c r="R155" s="28">
        <v>1553.92</v>
      </c>
    </row>
    <row r="156" spans="1:18">
      <c r="A156" s="6">
        <v>45784</v>
      </c>
      <c r="B156" s="61" t="s">
        <v>332</v>
      </c>
      <c r="C156" s="9">
        <v>50</v>
      </c>
      <c r="D156">
        <v>76.5</v>
      </c>
      <c r="E156" s="29">
        <v>85</v>
      </c>
      <c r="F156" s="50">
        <v>75</v>
      </c>
      <c r="G156" s="21">
        <f t="shared" si="67"/>
        <v>6.666666666666667</v>
      </c>
      <c r="H156" s="6">
        <v>45789</v>
      </c>
      <c r="I156" s="29">
        <v>80.5</v>
      </c>
      <c r="J156" s="30">
        <f t="shared" si="68"/>
        <v>5.2287581699346442E-2</v>
      </c>
      <c r="K156" s="35">
        <f t="shared" si="69"/>
        <v>200</v>
      </c>
      <c r="L156" s="21">
        <f t="shared" si="70"/>
        <v>5</v>
      </c>
      <c r="M156" s="9">
        <f t="shared" si="71"/>
        <v>1</v>
      </c>
      <c r="N156">
        <f t="shared" si="72"/>
        <v>200</v>
      </c>
      <c r="O156" s="17">
        <f t="shared" si="73"/>
        <v>0</v>
      </c>
      <c r="P156" s="86"/>
      <c r="Q156" s="78"/>
    </row>
    <row r="157" spans="1:18">
      <c r="A157" s="6">
        <v>45784</v>
      </c>
      <c r="B157" t="s">
        <v>895</v>
      </c>
      <c r="C157" s="9">
        <v>17</v>
      </c>
      <c r="D157">
        <v>182.45</v>
      </c>
      <c r="E157" s="29">
        <v>200</v>
      </c>
      <c r="F157" s="50">
        <v>170</v>
      </c>
      <c r="G157" s="21">
        <f t="shared" si="67"/>
        <v>2.4096385542168695</v>
      </c>
      <c r="H157" s="6">
        <v>45790</v>
      </c>
      <c r="I157" s="29">
        <v>187.75</v>
      </c>
      <c r="J157" s="30">
        <f t="shared" si="68"/>
        <v>2.9049054535489338E-2</v>
      </c>
      <c r="K157" s="35">
        <f t="shared" si="69"/>
        <v>90.100000000000364</v>
      </c>
      <c r="L157" s="21">
        <f t="shared" si="70"/>
        <v>6</v>
      </c>
      <c r="M157" s="9">
        <f t="shared" si="71"/>
        <v>1</v>
      </c>
      <c r="N157">
        <f t="shared" si="72"/>
        <v>90.100000000000364</v>
      </c>
      <c r="O157" s="17">
        <f t="shared" si="73"/>
        <v>0</v>
      </c>
      <c r="P157" s="86"/>
      <c r="Q157" s="78"/>
    </row>
    <row r="158" spans="1:18">
      <c r="A158" s="6">
        <v>45784</v>
      </c>
      <c r="B158" s="61" t="s">
        <v>521</v>
      </c>
      <c r="C158" s="9">
        <v>27</v>
      </c>
      <c r="D158">
        <v>149.81</v>
      </c>
      <c r="E158" s="29">
        <v>170</v>
      </c>
      <c r="F158" s="50">
        <v>148</v>
      </c>
      <c r="G158" s="21">
        <f t="shared" si="67"/>
        <v>12.154696132596669</v>
      </c>
      <c r="H158" s="6">
        <v>45789</v>
      </c>
      <c r="I158" s="29">
        <v>158.30000000000001</v>
      </c>
      <c r="J158" s="30">
        <f t="shared" si="68"/>
        <v>5.6671784260062807E-2</v>
      </c>
      <c r="K158" s="35">
        <f t="shared" si="69"/>
        <v>229.23000000000047</v>
      </c>
      <c r="L158" s="21">
        <f t="shared" si="70"/>
        <v>5</v>
      </c>
      <c r="M158" s="9">
        <f t="shared" si="71"/>
        <v>1</v>
      </c>
      <c r="N158">
        <f t="shared" si="72"/>
        <v>229.23000000000047</v>
      </c>
      <c r="O158" s="17">
        <f t="shared" si="73"/>
        <v>0</v>
      </c>
      <c r="P158" s="86"/>
      <c r="Q158" s="78"/>
      <c r="R158" s="28">
        <v>1668.75</v>
      </c>
    </row>
    <row r="159" spans="1:18">
      <c r="A159" s="6">
        <v>45779</v>
      </c>
      <c r="B159" t="s">
        <v>710</v>
      </c>
      <c r="C159" s="9">
        <v>5</v>
      </c>
      <c r="D159">
        <v>689</v>
      </c>
      <c r="E159" s="29">
        <v>800</v>
      </c>
      <c r="F159" s="50">
        <v>650</v>
      </c>
      <c r="G159" s="21">
        <f t="shared" si="67"/>
        <v>3.8461538461538463</v>
      </c>
      <c r="H159" s="6">
        <v>45789</v>
      </c>
      <c r="I159" s="29">
        <v>746.55</v>
      </c>
      <c r="J159" s="30">
        <f t="shared" si="68"/>
        <v>8.3526850507982475E-2</v>
      </c>
      <c r="K159" s="35">
        <f t="shared" si="69"/>
        <v>287.75</v>
      </c>
      <c r="L159" s="21">
        <f t="shared" si="70"/>
        <v>10</v>
      </c>
      <c r="M159" s="9">
        <f t="shared" si="71"/>
        <v>1</v>
      </c>
      <c r="N159">
        <f t="shared" si="72"/>
        <v>287.75</v>
      </c>
      <c r="O159" s="17">
        <f t="shared" si="73"/>
        <v>0</v>
      </c>
      <c r="P159" s="86"/>
      <c r="Q159" s="78"/>
      <c r="R159" s="64">
        <v>1685.89</v>
      </c>
    </row>
    <row r="160" spans="1:18">
      <c r="A160" s="6">
        <v>45778</v>
      </c>
      <c r="B160" t="s">
        <v>426</v>
      </c>
      <c r="C160" s="9">
        <v>14</v>
      </c>
      <c r="D160">
        <v>431.5</v>
      </c>
      <c r="E160" s="29">
        <v>450</v>
      </c>
      <c r="F160" s="75">
        <v>405</v>
      </c>
      <c r="G160" s="21">
        <f t="shared" si="67"/>
        <v>1.6981132075471699</v>
      </c>
      <c r="H160" s="6">
        <v>45784</v>
      </c>
      <c r="I160" s="29">
        <v>435.5</v>
      </c>
      <c r="J160" s="30">
        <f t="shared" si="68"/>
        <v>9.2699884125144738E-3</v>
      </c>
      <c r="K160" s="35">
        <f t="shared" si="69"/>
        <v>56</v>
      </c>
      <c r="L160" s="21">
        <f t="shared" si="70"/>
        <v>6</v>
      </c>
      <c r="M160" s="9">
        <f t="shared" si="71"/>
        <v>1</v>
      </c>
      <c r="N160">
        <f t="shared" si="72"/>
        <v>56</v>
      </c>
      <c r="O160" s="17">
        <f t="shared" si="73"/>
        <v>0</v>
      </c>
      <c r="P160" s="86"/>
      <c r="Q160" s="78"/>
    </row>
    <row r="161" spans="1:19">
      <c r="A161" s="6">
        <v>45778</v>
      </c>
      <c r="B161" s="61" t="s">
        <v>889</v>
      </c>
      <c r="C161" s="9">
        <v>716</v>
      </c>
      <c r="D161">
        <v>7.98</v>
      </c>
      <c r="E161" s="29">
        <v>10</v>
      </c>
      <c r="F161" s="50">
        <v>6.8</v>
      </c>
      <c r="G161" s="21">
        <f t="shared" si="67"/>
        <v>2.7118644067796596</v>
      </c>
      <c r="H161" s="6">
        <v>45881</v>
      </c>
      <c r="I161" s="29">
        <v>8.4</v>
      </c>
      <c r="J161" s="30">
        <f t="shared" si="68"/>
        <v>5.2631578947368363E-2</v>
      </c>
      <c r="K161" s="35">
        <f t="shared" si="69"/>
        <v>300.72000000000025</v>
      </c>
      <c r="L161" s="21">
        <f t="shared" si="70"/>
        <v>103</v>
      </c>
      <c r="M161" s="9">
        <f t="shared" si="71"/>
        <v>1</v>
      </c>
      <c r="N161">
        <f t="shared" si="72"/>
        <v>300.72000000000025</v>
      </c>
      <c r="O161" s="17">
        <f t="shared" si="73"/>
        <v>0</v>
      </c>
      <c r="P161" s="86"/>
      <c r="Q161" s="78"/>
      <c r="R161" s="28">
        <v>1605.19</v>
      </c>
    </row>
    <row r="162" spans="1:19">
      <c r="A162" s="6">
        <v>45776</v>
      </c>
      <c r="B162" s="61" t="s">
        <v>889</v>
      </c>
      <c r="C162" s="9">
        <v>716</v>
      </c>
      <c r="D162">
        <v>7.59</v>
      </c>
      <c r="E162" s="29">
        <v>10</v>
      </c>
      <c r="F162" s="50">
        <v>6.8</v>
      </c>
      <c r="G162" s="21">
        <f t="shared" si="67"/>
        <v>4.0506329113924053</v>
      </c>
      <c r="H162" s="6">
        <v>45778</v>
      </c>
      <c r="I162" s="29">
        <v>7.92</v>
      </c>
      <c r="J162" s="30">
        <f t="shared" si="68"/>
        <v>4.3478260869565188E-2</v>
      </c>
      <c r="K162" s="35">
        <f t="shared" ref="K162:K168" si="74">(C162*I162) - (C162*D162)</f>
        <v>236.28000000000065</v>
      </c>
      <c r="L162" s="21">
        <f t="shared" ref="L162:L168" si="75">H162-A162</f>
        <v>2</v>
      </c>
      <c r="M162" s="9">
        <f t="shared" si="71"/>
        <v>1</v>
      </c>
      <c r="N162">
        <f t="shared" si="72"/>
        <v>236.28000000000065</v>
      </c>
      <c r="O162" s="17">
        <f t="shared" ref="O162:O168" si="76">IF(K162&lt;0, K162, 0)</f>
        <v>0</v>
      </c>
      <c r="P162" s="86"/>
      <c r="Q162" s="78"/>
      <c r="R162" s="28">
        <v>1313.17</v>
      </c>
      <c r="S162" s="16">
        <v>437.05</v>
      </c>
    </row>
    <row r="163" spans="1:19">
      <c r="A163" s="6">
        <v>45775</v>
      </c>
      <c r="B163" s="61" t="s">
        <v>889</v>
      </c>
      <c r="C163" s="9">
        <v>498</v>
      </c>
      <c r="D163">
        <v>7.4</v>
      </c>
      <c r="E163" s="29">
        <v>10</v>
      </c>
      <c r="F163" s="50">
        <v>6.8</v>
      </c>
      <c r="G163" s="21">
        <f t="shared" si="67"/>
        <v>5.3333333333333286</v>
      </c>
      <c r="H163" s="6">
        <v>45776</v>
      </c>
      <c r="I163" s="29">
        <v>7.61</v>
      </c>
      <c r="J163" s="30">
        <f t="shared" si="68"/>
        <v>2.8378378378378422E-2</v>
      </c>
      <c r="K163" s="35">
        <f t="shared" si="74"/>
        <v>104.57999999999993</v>
      </c>
      <c r="L163" s="21">
        <f t="shared" si="75"/>
        <v>1</v>
      </c>
      <c r="M163" s="9">
        <f t="shared" si="71"/>
        <v>1</v>
      </c>
      <c r="N163">
        <f t="shared" si="72"/>
        <v>104.57999999999993</v>
      </c>
      <c r="O163" s="17">
        <f t="shared" si="76"/>
        <v>0</v>
      </c>
      <c r="P163" s="86"/>
      <c r="Q163" s="78"/>
      <c r="R163" s="64">
        <v>1381.11</v>
      </c>
      <c r="S163" s="28">
        <v>-83.15</v>
      </c>
    </row>
    <row r="164" spans="1:19">
      <c r="A164" s="6">
        <v>45772</v>
      </c>
      <c r="B164" t="s">
        <v>857</v>
      </c>
      <c r="C164" s="9">
        <v>86</v>
      </c>
      <c r="D164">
        <v>49.29</v>
      </c>
      <c r="E164" s="29">
        <v>60</v>
      </c>
      <c r="F164" s="50">
        <v>35</v>
      </c>
      <c r="G164" s="21">
        <f t="shared" si="67"/>
        <v>1.7494751574527643</v>
      </c>
      <c r="H164" s="6">
        <v>45777</v>
      </c>
      <c r="I164" s="16">
        <v>48.5</v>
      </c>
      <c r="J164" s="25">
        <f t="shared" si="68"/>
        <v>-1.6027591803611241E-2</v>
      </c>
      <c r="K164" s="36">
        <f t="shared" si="74"/>
        <v>-67.9399999999996</v>
      </c>
      <c r="L164" s="24">
        <f t="shared" si="75"/>
        <v>5</v>
      </c>
      <c r="M164" s="52">
        <f t="shared" si="71"/>
        <v>0</v>
      </c>
      <c r="N164" s="24">
        <f t="shared" si="72"/>
        <v>0</v>
      </c>
      <c r="O164" s="17">
        <f t="shared" si="76"/>
        <v>-67.9399999999996</v>
      </c>
      <c r="P164" s="86"/>
      <c r="Q164" s="78"/>
      <c r="R164" s="28">
        <v>1276.53</v>
      </c>
    </row>
    <row r="165" spans="1:19">
      <c r="A165" s="6">
        <v>45771</v>
      </c>
      <c r="B165" t="s">
        <v>857</v>
      </c>
      <c r="C165" s="9">
        <v>87</v>
      </c>
      <c r="D165">
        <v>48.05</v>
      </c>
      <c r="E165" s="29">
        <v>60</v>
      </c>
      <c r="F165" s="50">
        <v>35</v>
      </c>
      <c r="G165" s="21">
        <f t="shared" si="67"/>
        <v>1.9157088122605368</v>
      </c>
      <c r="H165" s="6">
        <v>45771</v>
      </c>
      <c r="I165" s="29">
        <v>49.3</v>
      </c>
      <c r="J165" s="30">
        <f t="shared" si="68"/>
        <v>2.6014568158168494E-2</v>
      </c>
      <c r="K165" s="35">
        <f t="shared" si="74"/>
        <v>108.75</v>
      </c>
      <c r="L165" s="21">
        <f t="shared" si="75"/>
        <v>0</v>
      </c>
      <c r="M165" s="9">
        <f t="shared" si="71"/>
        <v>1</v>
      </c>
      <c r="N165">
        <f t="shared" si="72"/>
        <v>108.75</v>
      </c>
      <c r="O165" s="17">
        <f t="shared" si="76"/>
        <v>0</v>
      </c>
      <c r="P165" s="86"/>
      <c r="Q165" s="78"/>
    </row>
    <row r="166" spans="1:19">
      <c r="A166" s="6">
        <v>45771</v>
      </c>
      <c r="B166" t="s">
        <v>893</v>
      </c>
      <c r="C166" s="9">
        <v>15</v>
      </c>
      <c r="D166">
        <v>222.12</v>
      </c>
      <c r="E166" s="29">
        <v>250</v>
      </c>
      <c r="F166" s="50">
        <v>206</v>
      </c>
      <c r="G166" s="21">
        <f t="shared" si="67"/>
        <v>2.729528535980148</v>
      </c>
      <c r="H166" s="6">
        <v>45779</v>
      </c>
      <c r="I166" s="29">
        <v>227.5</v>
      </c>
      <c r="J166" s="30">
        <f t="shared" si="68"/>
        <v>2.4221141725193629E-2</v>
      </c>
      <c r="K166" s="35">
        <f t="shared" si="74"/>
        <v>80.699999999999818</v>
      </c>
      <c r="L166" s="21">
        <f t="shared" si="75"/>
        <v>8</v>
      </c>
      <c r="M166" s="9">
        <f t="shared" si="71"/>
        <v>1</v>
      </c>
      <c r="N166">
        <f t="shared" si="72"/>
        <v>80.699999999999818</v>
      </c>
      <c r="O166" s="17">
        <f t="shared" si="76"/>
        <v>0</v>
      </c>
      <c r="P166" s="86"/>
      <c r="Q166" s="78"/>
      <c r="R166" s="28">
        <v>1109.93</v>
      </c>
    </row>
    <row r="167" spans="1:19">
      <c r="A167" s="6">
        <v>45761</v>
      </c>
      <c r="B167" t="s">
        <v>857</v>
      </c>
      <c r="C167" s="9">
        <v>84</v>
      </c>
      <c r="D167">
        <v>44.34</v>
      </c>
      <c r="E167" s="29">
        <v>60</v>
      </c>
      <c r="F167" s="50">
        <v>35</v>
      </c>
      <c r="G167" s="21">
        <f t="shared" si="67"/>
        <v>2.6766595289079218</v>
      </c>
      <c r="H167" s="6">
        <v>45771</v>
      </c>
      <c r="I167" s="29">
        <v>48.1</v>
      </c>
      <c r="J167" s="30">
        <f t="shared" si="68"/>
        <v>8.4799278304014347E-2</v>
      </c>
      <c r="K167" s="35">
        <f t="shared" si="74"/>
        <v>315.83999999999969</v>
      </c>
      <c r="L167" s="21">
        <f t="shared" si="75"/>
        <v>10</v>
      </c>
      <c r="M167" s="9">
        <f t="shared" si="71"/>
        <v>1</v>
      </c>
      <c r="N167">
        <f t="shared" si="72"/>
        <v>315.83999999999969</v>
      </c>
      <c r="O167" s="17">
        <f t="shared" si="76"/>
        <v>0</v>
      </c>
      <c r="P167" s="86"/>
      <c r="Q167" s="78"/>
      <c r="R167" s="28">
        <v>786.54</v>
      </c>
    </row>
    <row r="168" spans="1:19">
      <c r="A168" s="6">
        <v>45758</v>
      </c>
      <c r="B168" s="22" t="s">
        <v>438</v>
      </c>
      <c r="C168" s="57">
        <v>200</v>
      </c>
      <c r="D168">
        <v>1.07</v>
      </c>
      <c r="E168" s="29">
        <v>2.75</v>
      </c>
      <c r="F168" s="50">
        <v>0.37</v>
      </c>
      <c r="G168" s="21">
        <f t="shared" si="67"/>
        <v>3.3999999999999995</v>
      </c>
      <c r="H168" s="6">
        <v>45828</v>
      </c>
      <c r="I168" s="16">
        <v>0</v>
      </c>
      <c r="J168" s="25">
        <f t="shared" si="68"/>
        <v>-1</v>
      </c>
      <c r="K168" s="36">
        <f t="shared" si="74"/>
        <v>-214</v>
      </c>
      <c r="L168" s="24">
        <f t="shared" si="75"/>
        <v>70</v>
      </c>
      <c r="M168" s="52">
        <f t="shared" si="71"/>
        <v>0</v>
      </c>
      <c r="N168" s="24">
        <f t="shared" si="72"/>
        <v>0</v>
      </c>
      <c r="O168" s="17">
        <f t="shared" si="76"/>
        <v>-214</v>
      </c>
      <c r="P168" s="86"/>
      <c r="Q168" s="78"/>
      <c r="R168" s="64">
        <v>1105.98</v>
      </c>
    </row>
    <row r="169" spans="1:19">
      <c r="A169" s="6">
        <v>45756</v>
      </c>
      <c r="B169" t="s">
        <v>24</v>
      </c>
      <c r="C169" s="9">
        <v>17</v>
      </c>
      <c r="D169">
        <v>214.7</v>
      </c>
      <c r="E169" s="29">
        <v>300</v>
      </c>
      <c r="F169" s="50">
        <v>200</v>
      </c>
      <c r="G169" s="21">
        <f t="shared" si="67"/>
        <v>6.802721088435379</v>
      </c>
      <c r="H169" s="6">
        <v>45775</v>
      </c>
      <c r="I169" s="29">
        <v>224.5</v>
      </c>
      <c r="J169" s="30">
        <f t="shared" si="68"/>
        <v>4.5645086166744342E-2</v>
      </c>
      <c r="K169" s="35">
        <f t="shared" ref="K169:K174" si="77">(C169*I169) - (C169*D169)</f>
        <v>166.60000000000036</v>
      </c>
      <c r="L169" s="21">
        <f t="shared" ref="L169:L174" si="78">H169-A169</f>
        <v>19</v>
      </c>
      <c r="M169" s="9">
        <f t="shared" si="71"/>
        <v>1</v>
      </c>
      <c r="N169">
        <f t="shared" si="72"/>
        <v>166.60000000000036</v>
      </c>
      <c r="O169" s="17">
        <f t="shared" ref="O169:O174" si="79">IF(K169&lt;0, K169, 0)</f>
        <v>0</v>
      </c>
      <c r="P169" s="86"/>
      <c r="Q169" s="78"/>
      <c r="R169" s="28">
        <v>933.98</v>
      </c>
    </row>
    <row r="170" spans="1:19">
      <c r="A170" s="6">
        <v>45756</v>
      </c>
      <c r="B170" t="s">
        <v>857</v>
      </c>
      <c r="C170" s="9">
        <v>80</v>
      </c>
      <c r="D170">
        <v>42</v>
      </c>
      <c r="E170" s="29">
        <v>60</v>
      </c>
      <c r="F170" s="50">
        <v>35</v>
      </c>
      <c r="G170" s="21">
        <f t="shared" si="67"/>
        <v>3.5714285714285716</v>
      </c>
      <c r="H170" s="6">
        <v>45761</v>
      </c>
      <c r="I170" s="29">
        <v>44.15</v>
      </c>
      <c r="J170" s="30">
        <f t="shared" si="68"/>
        <v>5.1190476190476231E-2</v>
      </c>
      <c r="K170" s="35">
        <f t="shared" si="77"/>
        <v>172</v>
      </c>
      <c r="L170" s="21">
        <f t="shared" si="78"/>
        <v>5</v>
      </c>
      <c r="M170" s="9">
        <f t="shared" si="71"/>
        <v>1</v>
      </c>
      <c r="N170">
        <f t="shared" si="72"/>
        <v>172</v>
      </c>
      <c r="O170" s="17">
        <f t="shared" si="79"/>
        <v>0</v>
      </c>
      <c r="P170" s="86"/>
      <c r="Q170" s="78"/>
      <c r="R170" s="28">
        <v>913.98</v>
      </c>
    </row>
    <row r="171" spans="1:19">
      <c r="A171" s="6">
        <v>45756</v>
      </c>
      <c r="B171" t="s">
        <v>129</v>
      </c>
      <c r="C171" s="9">
        <v>4</v>
      </c>
      <c r="D171">
        <v>959</v>
      </c>
      <c r="E171" s="29">
        <v>1000</v>
      </c>
      <c r="F171" s="50">
        <v>890</v>
      </c>
      <c r="G171" s="21">
        <f t="shared" si="67"/>
        <v>1.5942028985507246</v>
      </c>
      <c r="H171" s="6">
        <v>45758</v>
      </c>
      <c r="I171" s="29">
        <v>964</v>
      </c>
      <c r="J171" s="30">
        <f t="shared" si="68"/>
        <v>5.2137643378520337E-3</v>
      </c>
      <c r="K171" s="35">
        <f t="shared" si="77"/>
        <v>20</v>
      </c>
      <c r="L171" s="21">
        <f t="shared" si="78"/>
        <v>2</v>
      </c>
      <c r="M171" s="9">
        <f t="shared" si="71"/>
        <v>1</v>
      </c>
      <c r="N171">
        <f t="shared" si="72"/>
        <v>20</v>
      </c>
      <c r="O171" s="17">
        <f t="shared" si="79"/>
        <v>0</v>
      </c>
      <c r="P171" s="86"/>
      <c r="Q171" s="78"/>
      <c r="R171" s="28"/>
    </row>
    <row r="172" spans="1:19">
      <c r="A172" s="6">
        <v>45754</v>
      </c>
      <c r="B172" t="s">
        <v>129</v>
      </c>
      <c r="C172" s="9">
        <v>4</v>
      </c>
      <c r="D172">
        <v>900</v>
      </c>
      <c r="E172" s="29">
        <v>1000</v>
      </c>
      <c r="F172" s="50">
        <v>890</v>
      </c>
      <c r="G172" s="21">
        <f t="shared" si="67"/>
        <v>11</v>
      </c>
      <c r="H172" s="6">
        <v>45756</v>
      </c>
      <c r="I172" s="29">
        <v>961</v>
      </c>
      <c r="J172" s="30">
        <f t="shared" si="68"/>
        <v>6.7777777777777715E-2</v>
      </c>
      <c r="K172" s="35">
        <f t="shared" si="77"/>
        <v>244</v>
      </c>
      <c r="L172" s="21">
        <f t="shared" si="78"/>
        <v>2</v>
      </c>
      <c r="M172" s="9">
        <f t="shared" si="71"/>
        <v>1</v>
      </c>
      <c r="N172">
        <f t="shared" si="72"/>
        <v>244</v>
      </c>
      <c r="O172" s="17">
        <f t="shared" si="79"/>
        <v>0</v>
      </c>
      <c r="P172" s="86"/>
      <c r="Q172" s="78"/>
      <c r="R172" s="28">
        <v>669.98</v>
      </c>
    </row>
    <row r="173" spans="1:19">
      <c r="A173" s="6">
        <v>45744</v>
      </c>
      <c r="B173" t="s">
        <v>287</v>
      </c>
      <c r="C173" s="9">
        <v>11</v>
      </c>
      <c r="D173">
        <v>59.48</v>
      </c>
      <c r="E173" s="29">
        <v>90</v>
      </c>
      <c r="F173" s="50">
        <v>57</v>
      </c>
      <c r="G173" s="21">
        <f t="shared" si="67"/>
        <v>13.306451612903242</v>
      </c>
      <c r="H173" s="6">
        <v>45789</v>
      </c>
      <c r="I173" s="29">
        <v>66</v>
      </c>
      <c r="J173" s="30">
        <f t="shared" si="68"/>
        <v>0.10961667787491591</v>
      </c>
      <c r="K173" s="35">
        <f t="shared" si="77"/>
        <v>71.720000000000027</v>
      </c>
      <c r="L173" s="21">
        <f t="shared" si="78"/>
        <v>45</v>
      </c>
      <c r="M173" s="9">
        <f t="shared" si="71"/>
        <v>1</v>
      </c>
      <c r="N173">
        <f t="shared" si="72"/>
        <v>71.720000000000027</v>
      </c>
      <c r="O173" s="17">
        <f t="shared" si="79"/>
        <v>0</v>
      </c>
      <c r="P173" s="86"/>
      <c r="Q173" s="78"/>
      <c r="R173" s="28"/>
    </row>
    <row r="174" spans="1:19">
      <c r="A174" s="6">
        <v>45741</v>
      </c>
      <c r="B174" t="s">
        <v>639</v>
      </c>
      <c r="C174" s="9">
        <v>22</v>
      </c>
      <c r="D174">
        <v>40.69</v>
      </c>
      <c r="E174" s="29">
        <v>75</v>
      </c>
      <c r="F174" s="50">
        <v>38</v>
      </c>
      <c r="G174" s="21">
        <f t="shared" si="67"/>
        <v>13.754646840148711</v>
      </c>
      <c r="H174" s="6">
        <v>45792</v>
      </c>
      <c r="I174" s="29">
        <v>45</v>
      </c>
      <c r="J174" s="30">
        <f t="shared" si="68"/>
        <v>0.10592283116244783</v>
      </c>
      <c r="K174" s="35">
        <f t="shared" si="77"/>
        <v>94.82000000000005</v>
      </c>
      <c r="L174" s="21">
        <f t="shared" si="78"/>
        <v>51</v>
      </c>
      <c r="M174" s="9">
        <f t="shared" si="71"/>
        <v>1</v>
      </c>
      <c r="N174">
        <f t="shared" si="72"/>
        <v>94.82000000000005</v>
      </c>
      <c r="O174" s="17">
        <f t="shared" si="79"/>
        <v>0</v>
      </c>
      <c r="P174" s="86"/>
      <c r="Q174" s="78"/>
      <c r="R174" s="28">
        <v>681.98</v>
      </c>
      <c r="S174" s="16">
        <v>470.85</v>
      </c>
    </row>
    <row r="175" spans="1:19">
      <c r="A175" s="6">
        <v>45740</v>
      </c>
      <c r="B175" s="22" t="s">
        <v>438</v>
      </c>
      <c r="C175" s="57">
        <v>200</v>
      </c>
      <c r="D175">
        <v>1.1499999999999999</v>
      </c>
      <c r="E175" s="29">
        <v>4</v>
      </c>
      <c r="F175" s="50">
        <v>0.6</v>
      </c>
      <c r="G175" s="21">
        <f t="shared" si="67"/>
        <v>6.1818181818181825</v>
      </c>
      <c r="H175" s="6">
        <v>45751</v>
      </c>
      <c r="I175" s="29">
        <v>2.4500000000000002</v>
      </c>
      <c r="J175" s="30">
        <f t="shared" si="68"/>
        <v>1.1304347826086958</v>
      </c>
      <c r="K175" s="35">
        <f t="shared" ref="K175:K180" si="80">(C175*I175) - (C175*D175)</f>
        <v>260.00000000000011</v>
      </c>
      <c r="L175" s="21">
        <f t="shared" ref="L175:L180" si="81">H175-A175</f>
        <v>11</v>
      </c>
      <c r="M175" s="9">
        <f t="shared" si="71"/>
        <v>1</v>
      </c>
      <c r="N175">
        <f t="shared" si="72"/>
        <v>260.00000000000011</v>
      </c>
      <c r="O175" s="17">
        <f t="shared" ref="O175:O180" si="82">IF(K175&lt;0, K175, 0)</f>
        <v>0</v>
      </c>
      <c r="P175" s="86"/>
      <c r="Q175" s="78"/>
      <c r="S175" s="28">
        <v>-192.75</v>
      </c>
    </row>
    <row r="176" spans="1:19">
      <c r="A176" s="6">
        <v>45730</v>
      </c>
      <c r="B176" s="119" t="s">
        <v>885</v>
      </c>
      <c r="C176" s="76">
        <v>400</v>
      </c>
      <c r="D176">
        <v>0.62</v>
      </c>
      <c r="E176" s="29">
        <v>4</v>
      </c>
      <c r="F176" s="50">
        <v>0.4</v>
      </c>
      <c r="G176" s="21">
        <f t="shared" si="67"/>
        <v>16.363636363636367</v>
      </c>
      <c r="H176" s="6">
        <v>45739</v>
      </c>
      <c r="I176" s="16">
        <v>0</v>
      </c>
      <c r="J176" s="25">
        <f t="shared" si="68"/>
        <v>-1</v>
      </c>
      <c r="K176" s="36">
        <f t="shared" si="80"/>
        <v>-248</v>
      </c>
      <c r="L176" s="24">
        <f t="shared" si="81"/>
        <v>9</v>
      </c>
      <c r="M176" s="52">
        <f t="shared" si="71"/>
        <v>0</v>
      </c>
      <c r="N176" s="24">
        <f t="shared" si="72"/>
        <v>0</v>
      </c>
      <c r="O176" s="17">
        <f t="shared" si="82"/>
        <v>-248</v>
      </c>
      <c r="P176" s="86"/>
      <c r="Q176" s="78"/>
      <c r="R176" s="28">
        <v>541.82000000000005</v>
      </c>
    </row>
    <row r="177" spans="1:19">
      <c r="A177" s="6">
        <v>45726</v>
      </c>
      <c r="B177" t="s">
        <v>287</v>
      </c>
      <c r="C177" s="9">
        <v>5</v>
      </c>
      <c r="D177">
        <v>60.8</v>
      </c>
      <c r="E177" s="29">
        <v>90</v>
      </c>
      <c r="F177" s="50">
        <v>55</v>
      </c>
      <c r="G177" s="21">
        <f t="shared" si="67"/>
        <v>6.0344827586206931</v>
      </c>
      <c r="H177" s="6">
        <v>45739</v>
      </c>
      <c r="I177" s="29">
        <v>67.3</v>
      </c>
      <c r="J177" s="30">
        <f t="shared" si="68"/>
        <v>0.10690789473684204</v>
      </c>
      <c r="K177" s="35">
        <f t="shared" si="80"/>
        <v>32.5</v>
      </c>
      <c r="L177" s="21">
        <f t="shared" si="81"/>
        <v>13</v>
      </c>
      <c r="M177" s="9">
        <f t="shared" si="71"/>
        <v>1</v>
      </c>
      <c r="N177">
        <f t="shared" si="72"/>
        <v>32.5</v>
      </c>
      <c r="O177" s="17">
        <f t="shared" si="82"/>
        <v>0</v>
      </c>
      <c r="P177" s="86"/>
      <c r="Q177" s="78"/>
    </row>
    <row r="178" spans="1:19">
      <c r="A178" s="6">
        <v>45726</v>
      </c>
      <c r="B178" t="s">
        <v>287</v>
      </c>
      <c r="C178" s="9">
        <v>4</v>
      </c>
      <c r="D178">
        <v>60.8</v>
      </c>
      <c r="E178" s="29">
        <v>90</v>
      </c>
      <c r="F178" s="50">
        <v>55</v>
      </c>
      <c r="G178" s="21">
        <f t="shared" si="67"/>
        <v>6.0344827586206931</v>
      </c>
      <c r="H178" s="6">
        <v>45730</v>
      </c>
      <c r="I178" s="29">
        <v>61.8</v>
      </c>
      <c r="J178" s="30">
        <f t="shared" si="68"/>
        <v>1.6447368421052655E-2</v>
      </c>
      <c r="K178" s="35">
        <f t="shared" si="80"/>
        <v>4</v>
      </c>
      <c r="L178" s="21">
        <f t="shared" si="81"/>
        <v>4</v>
      </c>
      <c r="M178" s="9">
        <f t="shared" si="71"/>
        <v>1</v>
      </c>
      <c r="N178">
        <f t="shared" si="72"/>
        <v>4</v>
      </c>
      <c r="O178" s="17">
        <f t="shared" si="82"/>
        <v>0</v>
      </c>
      <c r="P178" s="86"/>
      <c r="Q178" s="78"/>
    </row>
    <row r="179" spans="1:19">
      <c r="A179" s="6">
        <v>45726</v>
      </c>
      <c r="B179" s="119" t="s">
        <v>836</v>
      </c>
      <c r="C179" s="76">
        <v>100</v>
      </c>
      <c r="D179">
        <v>1.82</v>
      </c>
      <c r="E179" s="29">
        <v>8</v>
      </c>
      <c r="F179" s="50">
        <v>0.91</v>
      </c>
      <c r="G179" s="21">
        <f t="shared" si="67"/>
        <v>7.7912087912087911</v>
      </c>
      <c r="H179" s="6">
        <v>45739</v>
      </c>
      <c r="I179" s="16">
        <v>0</v>
      </c>
      <c r="J179" s="25">
        <f t="shared" si="68"/>
        <v>-1</v>
      </c>
      <c r="K179" s="36">
        <f t="shared" si="80"/>
        <v>-182</v>
      </c>
      <c r="L179" s="24">
        <f t="shared" si="81"/>
        <v>13</v>
      </c>
      <c r="M179" s="52">
        <f t="shared" si="71"/>
        <v>0</v>
      </c>
      <c r="N179" s="24">
        <f t="shared" si="72"/>
        <v>0</v>
      </c>
      <c r="O179" s="17">
        <f t="shared" si="82"/>
        <v>-182</v>
      </c>
      <c r="P179" s="86"/>
      <c r="Q179" s="78"/>
      <c r="R179" s="28">
        <v>649.4</v>
      </c>
    </row>
    <row r="180" spans="1:19">
      <c r="A180" s="6">
        <v>45709</v>
      </c>
      <c r="B180" t="s">
        <v>370</v>
      </c>
      <c r="C180" s="9">
        <v>44</v>
      </c>
      <c r="D180">
        <v>15.25</v>
      </c>
      <c r="E180" s="29">
        <v>17</v>
      </c>
      <c r="F180" s="50">
        <v>14</v>
      </c>
      <c r="G180" s="21">
        <f t="shared" si="67"/>
        <v>2.4</v>
      </c>
      <c r="H180" s="6">
        <v>45743</v>
      </c>
      <c r="I180" s="29">
        <v>15.3</v>
      </c>
      <c r="J180" s="30">
        <f t="shared" si="68"/>
        <v>3.2786885245901232E-3</v>
      </c>
      <c r="K180" s="35">
        <f t="shared" si="80"/>
        <v>2.2000000000000455</v>
      </c>
      <c r="L180" s="21">
        <f t="shared" si="81"/>
        <v>34</v>
      </c>
      <c r="M180" s="9">
        <f t="shared" si="71"/>
        <v>1</v>
      </c>
      <c r="N180">
        <f t="shared" si="72"/>
        <v>2.2000000000000455</v>
      </c>
      <c r="O180" s="17">
        <f t="shared" si="82"/>
        <v>0</v>
      </c>
      <c r="P180" s="86"/>
      <c r="Q180" s="78"/>
      <c r="R180" s="28">
        <v>609.08000000000004</v>
      </c>
    </row>
    <row r="181" spans="1:19">
      <c r="A181" s="6">
        <v>45707</v>
      </c>
      <c r="B181" t="s">
        <v>324</v>
      </c>
      <c r="C181" s="9">
        <v>9</v>
      </c>
      <c r="D181">
        <v>100.86</v>
      </c>
      <c r="E181" s="29">
        <v>125</v>
      </c>
      <c r="F181" s="50">
        <v>100</v>
      </c>
      <c r="G181" s="21">
        <f t="shared" si="67"/>
        <v>29.069767441860485</v>
      </c>
      <c r="H181" s="6">
        <v>45856</v>
      </c>
      <c r="I181" s="29">
        <v>112</v>
      </c>
      <c r="J181" s="30">
        <f t="shared" si="68"/>
        <v>0.11045012889153272</v>
      </c>
      <c r="K181" s="35">
        <f>(C181*I181) - (C181*D181)</f>
        <v>100.25999999999999</v>
      </c>
      <c r="L181" s="21">
        <f>H181-A181</f>
        <v>149</v>
      </c>
      <c r="M181" s="9">
        <f t="shared" si="71"/>
        <v>1</v>
      </c>
      <c r="N181">
        <f t="shared" si="72"/>
        <v>100.25999999999999</v>
      </c>
      <c r="O181" s="17">
        <f>IF(K181&lt;0, K181, 0)</f>
        <v>0</v>
      </c>
      <c r="P181" s="86"/>
      <c r="Q181" s="78"/>
      <c r="R181" s="64">
        <v>964.93</v>
      </c>
    </row>
    <row r="182" spans="1:19">
      <c r="A182" s="6">
        <v>45707</v>
      </c>
      <c r="B182" t="s">
        <v>539</v>
      </c>
      <c r="C182" s="9">
        <v>9</v>
      </c>
      <c r="D182">
        <v>393.45</v>
      </c>
      <c r="E182" s="29">
        <v>425</v>
      </c>
      <c r="F182" s="50">
        <v>380</v>
      </c>
      <c r="G182" s="21">
        <f t="shared" si="67"/>
        <v>3.3457249070631998</v>
      </c>
      <c r="H182" s="6">
        <v>45713</v>
      </c>
      <c r="I182" s="29">
        <v>400</v>
      </c>
      <c r="J182" s="30">
        <f t="shared" si="68"/>
        <v>1.6647604524081761E-2</v>
      </c>
      <c r="K182" s="35">
        <f t="shared" ref="K182:K187" si="83">(C182*I182) - (C182*D182)</f>
        <v>58.950000000000273</v>
      </c>
      <c r="L182" s="21">
        <f t="shared" ref="L182:L187" si="84">H182-A182</f>
        <v>6</v>
      </c>
      <c r="M182" s="9">
        <f t="shared" si="71"/>
        <v>1</v>
      </c>
      <c r="N182">
        <f t="shared" si="72"/>
        <v>58.950000000000273</v>
      </c>
      <c r="O182" s="17">
        <f t="shared" ref="O182:O187" si="85">IF(K182&lt;0, K182, 0)</f>
        <v>0</v>
      </c>
      <c r="P182" s="86"/>
      <c r="Q182" s="78"/>
      <c r="R182" s="28">
        <v>898.98</v>
      </c>
      <c r="S182" s="16">
        <v>430.27</v>
      </c>
    </row>
    <row r="183" spans="1:19">
      <c r="A183" s="6">
        <v>45707</v>
      </c>
      <c r="B183" t="s">
        <v>718</v>
      </c>
      <c r="C183" s="9">
        <v>14</v>
      </c>
      <c r="D183">
        <v>246.5</v>
      </c>
      <c r="E183" s="29">
        <v>275</v>
      </c>
      <c r="F183" s="50">
        <v>240</v>
      </c>
      <c r="G183" s="21">
        <f t="shared" ref="G183:G199" si="86" xml:space="preserve"> (E183 - F183)/(D183-F183)</f>
        <v>5.384615384615385</v>
      </c>
      <c r="H183" s="6">
        <v>45716</v>
      </c>
      <c r="I183" s="29">
        <v>247</v>
      </c>
      <c r="J183" s="30">
        <f t="shared" si="68"/>
        <v>2.0283975659229903E-3</v>
      </c>
      <c r="K183" s="35">
        <f t="shared" si="83"/>
        <v>7</v>
      </c>
      <c r="L183" s="21">
        <f t="shared" si="84"/>
        <v>9</v>
      </c>
      <c r="M183" s="9">
        <f t="shared" si="71"/>
        <v>1</v>
      </c>
      <c r="N183">
        <f t="shared" si="72"/>
        <v>7</v>
      </c>
      <c r="O183" s="17">
        <f t="shared" si="85"/>
        <v>0</v>
      </c>
      <c r="P183" s="86"/>
      <c r="Q183" s="78"/>
      <c r="R183" s="64">
        <v>927.48</v>
      </c>
      <c r="S183" s="28">
        <v>-69.66</v>
      </c>
    </row>
    <row r="184" spans="1:19">
      <c r="A184" s="6">
        <v>45706</v>
      </c>
      <c r="B184" t="s">
        <v>586</v>
      </c>
      <c r="C184" s="9">
        <v>9</v>
      </c>
      <c r="D184">
        <v>47.7</v>
      </c>
      <c r="E184" s="29">
        <v>50</v>
      </c>
      <c r="F184" s="50">
        <v>46</v>
      </c>
      <c r="G184" s="21">
        <f t="shared" si="86"/>
        <v>2.3529411764705843</v>
      </c>
      <c r="H184" s="6">
        <v>45798</v>
      </c>
      <c r="I184" s="16">
        <v>43</v>
      </c>
      <c r="J184" s="25">
        <f t="shared" si="68"/>
        <v>-9.8532494758909905E-2</v>
      </c>
      <c r="K184" s="36">
        <f t="shared" si="83"/>
        <v>-42.300000000000011</v>
      </c>
      <c r="L184" s="24">
        <f t="shared" si="84"/>
        <v>92</v>
      </c>
      <c r="M184" s="52">
        <f t="shared" si="71"/>
        <v>0</v>
      </c>
      <c r="N184" s="24">
        <f t="shared" si="72"/>
        <v>0</v>
      </c>
      <c r="O184" s="17">
        <f t="shared" si="85"/>
        <v>-42.300000000000011</v>
      </c>
      <c r="P184" s="86"/>
      <c r="Q184" s="78"/>
      <c r="R184" s="29"/>
      <c r="S184" s="28"/>
    </row>
    <row r="185" spans="1:19">
      <c r="A185" s="6">
        <v>45706</v>
      </c>
      <c r="B185" t="s">
        <v>586</v>
      </c>
      <c r="C185" s="9">
        <v>1</v>
      </c>
      <c r="D185">
        <v>47.7</v>
      </c>
      <c r="E185" s="29">
        <v>50</v>
      </c>
      <c r="F185" s="50">
        <v>46</v>
      </c>
      <c r="G185" s="21">
        <f t="shared" si="86"/>
        <v>2.3529411764705843</v>
      </c>
      <c r="H185" s="6">
        <v>45733</v>
      </c>
      <c r="I185" s="16">
        <v>42.28</v>
      </c>
      <c r="J185" s="25">
        <f t="shared" si="68"/>
        <v>-0.11362683438155141</v>
      </c>
      <c r="K185" s="36">
        <f t="shared" si="83"/>
        <v>-5.4200000000000017</v>
      </c>
      <c r="L185" s="24">
        <f t="shared" si="84"/>
        <v>27</v>
      </c>
      <c r="M185" s="52">
        <f t="shared" si="71"/>
        <v>0</v>
      </c>
      <c r="N185" s="24">
        <f t="shared" si="72"/>
        <v>0</v>
      </c>
      <c r="O185" s="17">
        <f t="shared" si="85"/>
        <v>-5.4200000000000017</v>
      </c>
      <c r="P185" s="86"/>
      <c r="Q185" s="78"/>
    </row>
    <row r="186" spans="1:19">
      <c r="A186" s="6">
        <v>45706</v>
      </c>
      <c r="B186" t="s">
        <v>426</v>
      </c>
      <c r="C186" s="9">
        <v>14</v>
      </c>
      <c r="D186">
        <v>402.52</v>
      </c>
      <c r="E186" s="29">
        <v>450</v>
      </c>
      <c r="F186" s="50">
        <v>405</v>
      </c>
      <c r="G186" s="21">
        <f t="shared" si="86"/>
        <v>-18.145161290322449</v>
      </c>
      <c r="H186" s="6">
        <v>45778</v>
      </c>
      <c r="I186" s="29">
        <v>431.78</v>
      </c>
      <c r="J186" s="30">
        <f t="shared" si="68"/>
        <v>7.2692040147073422E-2</v>
      </c>
      <c r="K186" s="35">
        <f t="shared" si="83"/>
        <v>409.64000000000033</v>
      </c>
      <c r="L186" s="21">
        <f t="shared" si="84"/>
        <v>72</v>
      </c>
      <c r="M186" s="9">
        <f t="shared" si="71"/>
        <v>1</v>
      </c>
      <c r="N186">
        <f t="shared" si="72"/>
        <v>409.64000000000033</v>
      </c>
      <c r="O186" s="17">
        <f t="shared" si="85"/>
        <v>0</v>
      </c>
      <c r="P186" s="86"/>
      <c r="Q186" s="78"/>
    </row>
    <row r="187" spans="1:19">
      <c r="A187" s="6">
        <v>45706</v>
      </c>
      <c r="B187" s="61" t="s">
        <v>830</v>
      </c>
      <c r="C187" s="9">
        <v>16</v>
      </c>
      <c r="D187">
        <v>306.83</v>
      </c>
      <c r="E187" s="29">
        <v>400</v>
      </c>
      <c r="F187" s="50">
        <v>310</v>
      </c>
      <c r="G187" s="21">
        <f t="shared" si="86"/>
        <v>-28.391167192428881</v>
      </c>
      <c r="H187" s="6">
        <v>45839</v>
      </c>
      <c r="I187" s="29">
        <v>319</v>
      </c>
      <c r="J187" s="30">
        <f t="shared" si="68"/>
        <v>3.9663657399863217E-2</v>
      </c>
      <c r="K187" s="35">
        <f t="shared" si="83"/>
        <v>194.72000000000025</v>
      </c>
      <c r="L187" s="21">
        <f t="shared" si="84"/>
        <v>133</v>
      </c>
      <c r="M187" s="9">
        <f t="shared" si="71"/>
        <v>1</v>
      </c>
      <c r="N187">
        <f t="shared" si="72"/>
        <v>194.72000000000025</v>
      </c>
      <c r="O187" s="17">
        <f t="shared" si="85"/>
        <v>0</v>
      </c>
      <c r="P187" s="86"/>
      <c r="Q187" s="78"/>
      <c r="R187" s="28">
        <v>577.48</v>
      </c>
    </row>
    <row r="188" spans="1:19">
      <c r="A188" s="6">
        <v>45701</v>
      </c>
      <c r="B188" t="s">
        <v>231</v>
      </c>
      <c r="C188" s="9">
        <v>54</v>
      </c>
      <c r="D188">
        <v>76.09</v>
      </c>
      <c r="E188" s="29">
        <v>90</v>
      </c>
      <c r="F188" s="50">
        <v>75</v>
      </c>
      <c r="G188" s="21">
        <f t="shared" si="86"/>
        <v>13.761467889908214</v>
      </c>
      <c r="H188" s="6">
        <v>45863</v>
      </c>
      <c r="I188" s="29">
        <v>78.5</v>
      </c>
      <c r="J188" s="30">
        <f t="shared" si="68"/>
        <v>3.1673018793533902E-2</v>
      </c>
      <c r="K188" s="35">
        <f t="shared" ref="K188:K197" si="87">(C188*I188) - (C188*D188)</f>
        <v>130.13999999999942</v>
      </c>
      <c r="L188" s="21">
        <f t="shared" ref="L188:L197" si="88">H188-A188</f>
        <v>162</v>
      </c>
      <c r="M188" s="9">
        <f t="shared" si="71"/>
        <v>1</v>
      </c>
      <c r="N188">
        <f t="shared" si="72"/>
        <v>130.13999999999942</v>
      </c>
      <c r="O188" s="17">
        <f t="shared" ref="O188:O197" si="89">IF(K188&lt;0, K188, 0)</f>
        <v>0</v>
      </c>
      <c r="P188" s="86"/>
      <c r="Q188" s="78"/>
      <c r="R188" s="28">
        <v>454.6</v>
      </c>
    </row>
    <row r="189" spans="1:19">
      <c r="A189" s="6">
        <v>45700</v>
      </c>
      <c r="B189" s="61" t="s">
        <v>332</v>
      </c>
      <c r="C189" s="9">
        <v>7</v>
      </c>
      <c r="D189">
        <v>82.6</v>
      </c>
      <c r="E189" s="29">
        <v>90</v>
      </c>
      <c r="F189" s="50">
        <v>81</v>
      </c>
      <c r="G189" s="21">
        <f t="shared" si="86"/>
        <v>5.6250000000000195</v>
      </c>
      <c r="H189" s="6">
        <v>45741</v>
      </c>
      <c r="I189" s="29">
        <v>83.77</v>
      </c>
      <c r="J189" s="30">
        <f t="shared" si="68"/>
        <v>1.4164648910411692E-2</v>
      </c>
      <c r="K189" s="35">
        <f t="shared" si="87"/>
        <v>8.1900000000000546</v>
      </c>
      <c r="L189" s="21">
        <f t="shared" si="88"/>
        <v>41</v>
      </c>
      <c r="M189" s="9">
        <f t="shared" si="71"/>
        <v>1</v>
      </c>
      <c r="N189">
        <f t="shared" si="72"/>
        <v>8.1900000000000546</v>
      </c>
      <c r="O189" s="17">
        <f t="shared" si="89"/>
        <v>0</v>
      </c>
      <c r="P189" s="86"/>
      <c r="Q189" s="78"/>
      <c r="R189" s="28">
        <v>426.34</v>
      </c>
    </row>
    <row r="190" spans="1:19">
      <c r="A190" s="6">
        <v>45693</v>
      </c>
      <c r="B190" s="22" t="s">
        <v>438</v>
      </c>
      <c r="C190" s="57">
        <v>400</v>
      </c>
      <c r="D190">
        <v>0.44</v>
      </c>
      <c r="E190" s="29">
        <v>0.7</v>
      </c>
      <c r="F190" s="50">
        <v>0.17</v>
      </c>
      <c r="G190" s="21">
        <f t="shared" si="86"/>
        <v>1.9629629629629626</v>
      </c>
      <c r="H190" s="6">
        <v>45708</v>
      </c>
      <c r="I190" s="16">
        <v>0.41</v>
      </c>
      <c r="J190" s="25">
        <f t="shared" si="68"/>
        <v>-6.8181818181818232E-2</v>
      </c>
      <c r="K190" s="36">
        <f t="shared" si="87"/>
        <v>-12</v>
      </c>
      <c r="L190" s="24">
        <f t="shared" si="88"/>
        <v>15</v>
      </c>
      <c r="M190" s="52">
        <f t="shared" si="71"/>
        <v>0</v>
      </c>
      <c r="N190" s="24">
        <f t="shared" si="72"/>
        <v>0</v>
      </c>
      <c r="O190" s="17">
        <f t="shared" si="89"/>
        <v>-12</v>
      </c>
      <c r="P190" s="86"/>
      <c r="Q190" s="78"/>
    </row>
    <row r="191" spans="1:19">
      <c r="A191" s="6">
        <v>45693</v>
      </c>
      <c r="B191" t="s">
        <v>788</v>
      </c>
      <c r="C191" s="9">
        <v>5</v>
      </c>
      <c r="D191">
        <v>128.69999999999999</v>
      </c>
      <c r="E191" s="29">
        <v>175</v>
      </c>
      <c r="F191" s="50">
        <v>125</v>
      </c>
      <c r="G191" s="21">
        <f t="shared" si="86"/>
        <v>13.513513513513555</v>
      </c>
      <c r="H191" s="6">
        <v>45708</v>
      </c>
      <c r="I191" s="16">
        <v>123</v>
      </c>
      <c r="J191" s="25">
        <f t="shared" si="68"/>
        <v>-4.4289044289044233E-2</v>
      </c>
      <c r="K191" s="36">
        <f t="shared" si="87"/>
        <v>-28.5</v>
      </c>
      <c r="L191" s="24">
        <f t="shared" si="88"/>
        <v>15</v>
      </c>
      <c r="M191" s="52">
        <f t="shared" si="71"/>
        <v>0</v>
      </c>
      <c r="N191" s="24">
        <f t="shared" si="72"/>
        <v>0</v>
      </c>
      <c r="O191" s="17">
        <f t="shared" si="89"/>
        <v>-28.5</v>
      </c>
      <c r="P191" s="86"/>
      <c r="Q191" s="78"/>
    </row>
    <row r="192" spans="1:19">
      <c r="A192" s="6">
        <v>45693</v>
      </c>
      <c r="B192" t="s">
        <v>871</v>
      </c>
      <c r="C192" s="9">
        <v>38</v>
      </c>
      <c r="D192">
        <v>15.24</v>
      </c>
      <c r="E192" s="29">
        <v>20</v>
      </c>
      <c r="F192" s="50">
        <v>15</v>
      </c>
      <c r="G192" s="21">
        <f t="shared" si="86"/>
        <v>20.833333333333314</v>
      </c>
      <c r="H192" s="6">
        <v>45700</v>
      </c>
      <c r="I192" s="29">
        <v>15.75</v>
      </c>
      <c r="J192" s="30">
        <f t="shared" si="68"/>
        <v>3.3464566929133799E-2</v>
      </c>
      <c r="K192" s="35">
        <f t="shared" si="87"/>
        <v>19.379999999999995</v>
      </c>
      <c r="L192" s="21">
        <f t="shared" si="88"/>
        <v>7</v>
      </c>
      <c r="M192" s="9">
        <f t="shared" si="71"/>
        <v>1</v>
      </c>
      <c r="N192">
        <f t="shared" si="72"/>
        <v>19.379999999999995</v>
      </c>
      <c r="O192" s="17">
        <f t="shared" si="89"/>
        <v>0</v>
      </c>
      <c r="P192" s="86"/>
      <c r="Q192" s="78"/>
      <c r="R192" s="28">
        <v>406.96</v>
      </c>
    </row>
    <row r="193" spans="1:19">
      <c r="A193" s="6">
        <v>45693</v>
      </c>
      <c r="B193" t="s">
        <v>521</v>
      </c>
      <c r="C193" s="9">
        <v>4</v>
      </c>
      <c r="D193">
        <v>190</v>
      </c>
      <c r="E193" s="29">
        <v>210</v>
      </c>
      <c r="F193" s="50">
        <v>185</v>
      </c>
      <c r="G193" s="21">
        <f t="shared" si="86"/>
        <v>5</v>
      </c>
      <c r="H193" s="6">
        <v>45880</v>
      </c>
      <c r="I193" s="29">
        <v>201</v>
      </c>
      <c r="J193" s="30">
        <f t="shared" si="68"/>
        <v>5.7894736842105221E-2</v>
      </c>
      <c r="K193" s="35">
        <f t="shared" si="87"/>
        <v>44</v>
      </c>
      <c r="L193" s="21">
        <f t="shared" si="88"/>
        <v>187</v>
      </c>
      <c r="M193" s="9">
        <f t="shared" si="71"/>
        <v>1</v>
      </c>
      <c r="N193">
        <f t="shared" si="72"/>
        <v>44</v>
      </c>
      <c r="O193" s="17">
        <f t="shared" si="89"/>
        <v>0</v>
      </c>
      <c r="P193" s="86"/>
      <c r="Q193" s="78"/>
      <c r="R193" s="28">
        <v>338.96</v>
      </c>
    </row>
    <row r="194" spans="1:19">
      <c r="A194" s="6">
        <v>45687</v>
      </c>
      <c r="B194" t="s">
        <v>92</v>
      </c>
      <c r="C194" s="9">
        <v>8</v>
      </c>
      <c r="D194">
        <v>91.64</v>
      </c>
      <c r="E194" s="29">
        <v>110</v>
      </c>
      <c r="F194" s="50">
        <v>90</v>
      </c>
      <c r="G194" s="21">
        <f t="shared" si="86"/>
        <v>12.195121951219509</v>
      </c>
      <c r="H194" s="6">
        <v>45706</v>
      </c>
      <c r="I194" s="29">
        <v>107</v>
      </c>
      <c r="J194" s="30">
        <f t="shared" si="68"/>
        <v>0.1676123963334788</v>
      </c>
      <c r="K194" s="35">
        <f t="shared" si="87"/>
        <v>122.88</v>
      </c>
      <c r="L194" s="21">
        <f t="shared" si="88"/>
        <v>19</v>
      </c>
      <c r="M194" s="9">
        <f t="shared" si="71"/>
        <v>1</v>
      </c>
      <c r="N194">
        <f t="shared" si="72"/>
        <v>122.88</v>
      </c>
      <c r="O194" s="17">
        <f t="shared" si="89"/>
        <v>0</v>
      </c>
      <c r="P194" s="86"/>
      <c r="Q194" s="78"/>
      <c r="R194" s="64">
        <v>749.21</v>
      </c>
      <c r="S194" s="16">
        <v>452.56</v>
      </c>
    </row>
    <row r="195" spans="1:19">
      <c r="A195" s="6">
        <v>45686</v>
      </c>
      <c r="B195" t="s">
        <v>184</v>
      </c>
      <c r="C195" s="9">
        <v>64</v>
      </c>
      <c r="D195">
        <v>11.12</v>
      </c>
      <c r="E195" s="29">
        <v>13</v>
      </c>
      <c r="F195" s="50">
        <v>10</v>
      </c>
      <c r="G195" s="21">
        <f t="shared" si="86"/>
        <v>2.6785714285714306</v>
      </c>
      <c r="H195" s="6">
        <v>45726</v>
      </c>
      <c r="I195" s="29">
        <v>11.75</v>
      </c>
      <c r="J195" s="30">
        <f t="shared" si="68"/>
        <v>5.6654676258992787E-2</v>
      </c>
      <c r="K195" s="35">
        <f t="shared" si="87"/>
        <v>40.32000000000005</v>
      </c>
      <c r="L195" s="21">
        <f t="shared" si="88"/>
        <v>40</v>
      </c>
      <c r="M195" s="9">
        <f t="shared" si="71"/>
        <v>1</v>
      </c>
      <c r="N195">
        <f t="shared" si="72"/>
        <v>40.32000000000005</v>
      </c>
      <c r="O195" s="17">
        <f t="shared" si="89"/>
        <v>0</v>
      </c>
      <c r="P195" s="86"/>
      <c r="Q195" s="78"/>
      <c r="R195" s="28">
        <v>636.85</v>
      </c>
      <c r="S195" s="28">
        <v>-27.31</v>
      </c>
    </row>
    <row r="196" spans="1:19">
      <c r="A196" s="6">
        <v>45684</v>
      </c>
      <c r="B196" t="s">
        <v>287</v>
      </c>
      <c r="C196" s="9">
        <v>8</v>
      </c>
      <c r="D196">
        <v>77.900000000000006</v>
      </c>
      <c r="E196" s="29">
        <v>100</v>
      </c>
      <c r="F196" s="50">
        <v>73</v>
      </c>
      <c r="G196" s="21">
        <f t="shared" si="86"/>
        <v>5.5102040816326463</v>
      </c>
      <c r="H196" s="6">
        <v>45686</v>
      </c>
      <c r="I196" s="29">
        <v>82.7</v>
      </c>
      <c r="J196" s="30">
        <f t="shared" si="68"/>
        <v>6.1617458279845883E-2</v>
      </c>
      <c r="K196" s="35">
        <f t="shared" si="87"/>
        <v>38.399999999999977</v>
      </c>
      <c r="L196" s="21">
        <f t="shared" si="88"/>
        <v>2</v>
      </c>
      <c r="M196" s="9">
        <f t="shared" si="71"/>
        <v>1</v>
      </c>
      <c r="N196">
        <f t="shared" si="72"/>
        <v>38.399999999999977</v>
      </c>
      <c r="O196" s="17">
        <f t="shared" si="89"/>
        <v>0</v>
      </c>
      <c r="P196" s="86"/>
      <c r="Q196" s="78"/>
      <c r="R196" s="28">
        <v>598.45000000000005</v>
      </c>
    </row>
    <row r="197" spans="1:19">
      <c r="A197" s="6">
        <v>45679</v>
      </c>
      <c r="B197" t="s">
        <v>586</v>
      </c>
      <c r="C197" s="9">
        <v>14</v>
      </c>
      <c r="D197">
        <v>48.47</v>
      </c>
      <c r="E197" s="29">
        <v>52.5</v>
      </c>
      <c r="F197" s="50">
        <v>47.5</v>
      </c>
      <c r="G197" s="21">
        <f t="shared" si="86"/>
        <v>5.1546391752577376</v>
      </c>
      <c r="H197" s="6">
        <v>45684</v>
      </c>
      <c r="I197" s="29">
        <v>49.4</v>
      </c>
      <c r="J197" s="30">
        <f t="shared" si="68"/>
        <v>1.9187126057355064E-2</v>
      </c>
      <c r="K197" s="35">
        <f t="shared" si="87"/>
        <v>13.020000000000095</v>
      </c>
      <c r="L197" s="21">
        <f t="shared" si="88"/>
        <v>5</v>
      </c>
      <c r="M197" s="9">
        <f t="shared" si="71"/>
        <v>1</v>
      </c>
      <c r="N197">
        <f t="shared" si="72"/>
        <v>13.020000000000095</v>
      </c>
      <c r="O197" s="17">
        <f t="shared" si="89"/>
        <v>0</v>
      </c>
      <c r="P197" s="86"/>
      <c r="Q197" s="78"/>
      <c r="R197" s="64">
        <v>609.16</v>
      </c>
    </row>
    <row r="198" spans="1:19">
      <c r="A198" s="6">
        <v>45679</v>
      </c>
      <c r="B198" t="s">
        <v>132</v>
      </c>
      <c r="C198" s="9">
        <v>196</v>
      </c>
      <c r="D198">
        <v>5.0599999999999996</v>
      </c>
      <c r="E198" s="29">
        <v>15</v>
      </c>
      <c r="F198" s="50">
        <v>6</v>
      </c>
      <c r="G198" s="21">
        <f t="shared" si="86"/>
        <v>-9.5744680851063784</v>
      </c>
      <c r="J198" s="30"/>
      <c r="K198" s="35"/>
      <c r="L198" s="37"/>
      <c r="M198" s="58"/>
      <c r="N198" s="38"/>
      <c r="O198" s="85"/>
      <c r="P198" s="86"/>
      <c r="Q198" s="78"/>
      <c r="R198" s="28">
        <v>596.14</v>
      </c>
    </row>
    <row r="199" spans="1:19">
      <c r="A199" s="6">
        <v>45679</v>
      </c>
      <c r="B199" s="61" t="s">
        <v>521</v>
      </c>
      <c r="C199" s="9">
        <v>16</v>
      </c>
      <c r="D199">
        <v>198.8</v>
      </c>
      <c r="E199" s="29">
        <v>220</v>
      </c>
      <c r="F199" s="50">
        <v>190</v>
      </c>
      <c r="G199" s="21">
        <f t="shared" si="86"/>
        <v>3.4090909090909047</v>
      </c>
      <c r="H199" s="6">
        <v>45688</v>
      </c>
      <c r="I199" s="29">
        <v>204</v>
      </c>
      <c r="J199" s="30">
        <f t="shared" ref="J199:J208" si="90">I199/D199 -1</f>
        <v>2.6156941649899235E-2</v>
      </c>
      <c r="K199" s="35">
        <f t="shared" ref="K199:K208" si="91">(C199*I199) - (C199*D199)</f>
        <v>83.199999999999818</v>
      </c>
      <c r="L199" s="21">
        <f t="shared" ref="L199:L208" si="92">H199-A199</f>
        <v>9</v>
      </c>
      <c r="M199" s="9">
        <f t="shared" ref="M199:M208" si="93">IF(J199&gt;0,1,0)</f>
        <v>1</v>
      </c>
      <c r="N199">
        <f t="shared" ref="N199:N208" si="94">IF(K199&gt;0, K199, 0)</f>
        <v>83.199999999999818</v>
      </c>
      <c r="O199" s="17">
        <f t="shared" ref="O199:O208" si="95">IF(K199&lt;0, K199, 0)</f>
        <v>0</v>
      </c>
      <c r="P199" s="86"/>
      <c r="Q199" s="78"/>
      <c r="R199" s="28">
        <v>399.34</v>
      </c>
    </row>
    <row r="200" spans="1:19">
      <c r="A200" s="6">
        <v>45678</v>
      </c>
      <c r="B200" s="61" t="s">
        <v>860</v>
      </c>
      <c r="C200" s="9">
        <v>12</v>
      </c>
      <c r="D200">
        <v>247.6</v>
      </c>
      <c r="E200" s="29">
        <v>260</v>
      </c>
      <c r="F200" s="50">
        <v>225</v>
      </c>
      <c r="G200" s="21">
        <f t="shared" ref="G200:G227" si="96" xml:space="preserve"> (E200 - F200)/(D200-F200)</f>
        <v>1.5486725663716818</v>
      </c>
      <c r="H200" s="6">
        <v>45679</v>
      </c>
      <c r="I200" s="29">
        <v>251</v>
      </c>
      <c r="J200" s="30">
        <f t="shared" si="90"/>
        <v>1.3731825525040486E-2</v>
      </c>
      <c r="K200" s="35">
        <f t="shared" si="91"/>
        <v>40.800000000000182</v>
      </c>
      <c r="L200" s="21">
        <f t="shared" si="92"/>
        <v>1</v>
      </c>
      <c r="M200" s="9">
        <f t="shared" si="93"/>
        <v>1</v>
      </c>
      <c r="N200">
        <f t="shared" si="94"/>
        <v>40.800000000000182</v>
      </c>
      <c r="O200" s="17">
        <f t="shared" si="95"/>
        <v>0</v>
      </c>
      <c r="P200" s="86"/>
      <c r="Q200" s="78"/>
      <c r="R200" s="28">
        <v>353.74</v>
      </c>
    </row>
    <row r="201" spans="1:19">
      <c r="A201" s="6">
        <v>45674</v>
      </c>
      <c r="B201" s="61" t="s">
        <v>860</v>
      </c>
      <c r="C201" s="9">
        <v>12</v>
      </c>
      <c r="D201">
        <v>239</v>
      </c>
      <c r="E201" s="29">
        <v>260</v>
      </c>
      <c r="F201" s="50">
        <v>225</v>
      </c>
      <c r="G201" s="21">
        <f t="shared" si="96"/>
        <v>2.5</v>
      </c>
      <c r="H201" s="6">
        <v>45678</v>
      </c>
      <c r="I201" s="29">
        <v>247.7</v>
      </c>
      <c r="J201" s="30">
        <f t="shared" si="90"/>
        <v>3.6401673640167331E-2</v>
      </c>
      <c r="K201" s="35">
        <f t="shared" si="91"/>
        <v>104.39999999999964</v>
      </c>
      <c r="L201" s="21">
        <f t="shared" si="92"/>
        <v>4</v>
      </c>
      <c r="M201" s="9">
        <f t="shared" si="93"/>
        <v>1</v>
      </c>
      <c r="N201">
        <f t="shared" si="94"/>
        <v>104.39999999999964</v>
      </c>
      <c r="O201" s="17">
        <f t="shared" si="95"/>
        <v>0</v>
      </c>
      <c r="P201" s="86"/>
      <c r="Q201" s="78"/>
      <c r="R201" s="28">
        <v>224.15</v>
      </c>
    </row>
    <row r="202" spans="1:19">
      <c r="A202" s="6">
        <v>45672</v>
      </c>
      <c r="B202" t="s">
        <v>528</v>
      </c>
      <c r="C202" s="9">
        <v>14</v>
      </c>
      <c r="D202">
        <v>134.5</v>
      </c>
      <c r="E202" s="29">
        <v>160</v>
      </c>
      <c r="F202" s="50">
        <v>129</v>
      </c>
      <c r="G202" s="21">
        <f t="shared" si="96"/>
        <v>5.6363636363636367</v>
      </c>
      <c r="H202" s="6">
        <v>45680</v>
      </c>
      <c r="I202" s="29">
        <v>146.5</v>
      </c>
      <c r="J202" s="30">
        <f t="shared" si="90"/>
        <v>8.9219330855018653E-2</v>
      </c>
      <c r="K202" s="35">
        <f t="shared" si="91"/>
        <v>168</v>
      </c>
      <c r="L202" s="21">
        <f t="shared" si="92"/>
        <v>8</v>
      </c>
      <c r="M202" s="9">
        <f t="shared" si="93"/>
        <v>1</v>
      </c>
      <c r="N202">
        <f t="shared" si="94"/>
        <v>168</v>
      </c>
      <c r="O202" s="17">
        <f t="shared" si="95"/>
        <v>0</v>
      </c>
      <c r="P202" s="86"/>
      <c r="Q202" s="78"/>
      <c r="R202" s="64">
        <v>408.15</v>
      </c>
    </row>
    <row r="203" spans="1:19">
      <c r="A203" s="6">
        <v>45672</v>
      </c>
      <c r="B203" t="s">
        <v>868</v>
      </c>
      <c r="C203" s="9">
        <v>37</v>
      </c>
      <c r="D203">
        <v>61.32</v>
      </c>
      <c r="E203" s="29">
        <v>80</v>
      </c>
      <c r="F203" s="50">
        <v>58</v>
      </c>
      <c r="G203" s="21">
        <f t="shared" si="96"/>
        <v>6.6265060240963853</v>
      </c>
      <c r="H203" s="6">
        <v>45938</v>
      </c>
      <c r="I203" s="16">
        <v>53.75</v>
      </c>
      <c r="J203" s="25">
        <f t="shared" si="90"/>
        <v>-0.12345075016307894</v>
      </c>
      <c r="K203" s="36">
        <f t="shared" si="91"/>
        <v>-280.09000000000015</v>
      </c>
      <c r="L203" s="24">
        <f t="shared" si="92"/>
        <v>266</v>
      </c>
      <c r="M203" s="52">
        <f t="shared" si="93"/>
        <v>0</v>
      </c>
      <c r="N203" s="24">
        <f t="shared" si="94"/>
        <v>0</v>
      </c>
      <c r="O203" s="17">
        <f t="shared" si="95"/>
        <v>-280.09000000000015</v>
      </c>
      <c r="P203" s="86"/>
      <c r="Q203" s="78"/>
      <c r="R203" s="29"/>
    </row>
    <row r="204" spans="1:19">
      <c r="A204" s="6">
        <v>45817</v>
      </c>
      <c r="B204" t="s">
        <v>868</v>
      </c>
      <c r="C204" s="9">
        <v>43</v>
      </c>
      <c r="D204">
        <v>50</v>
      </c>
      <c r="E204" s="29">
        <v>80</v>
      </c>
      <c r="F204" s="50">
        <v>58</v>
      </c>
      <c r="G204" s="21">
        <f xml:space="preserve"> (E204 - F204)/(D204-F204)</f>
        <v>-2.75</v>
      </c>
      <c r="H204" s="6">
        <v>45867</v>
      </c>
      <c r="I204" s="29">
        <v>52.4</v>
      </c>
      <c r="J204" s="30">
        <f t="shared" si="90"/>
        <v>4.8000000000000043E-2</v>
      </c>
      <c r="K204" s="35">
        <f t="shared" si="91"/>
        <v>103.19999999999982</v>
      </c>
      <c r="L204" s="21">
        <f t="shared" si="92"/>
        <v>50</v>
      </c>
      <c r="M204" s="9">
        <f t="shared" si="93"/>
        <v>1</v>
      </c>
      <c r="N204">
        <f t="shared" si="94"/>
        <v>103.19999999999982</v>
      </c>
      <c r="O204" s="17">
        <f t="shared" si="95"/>
        <v>0</v>
      </c>
      <c r="P204" s="86"/>
      <c r="Q204" s="78"/>
      <c r="R204" s="29"/>
    </row>
    <row r="205" spans="1:19">
      <c r="A205" s="6">
        <v>45672</v>
      </c>
      <c r="B205" t="s">
        <v>868</v>
      </c>
      <c r="C205" s="9">
        <v>12</v>
      </c>
      <c r="D205">
        <v>52.43</v>
      </c>
      <c r="E205" s="29">
        <v>80</v>
      </c>
      <c r="F205" s="50">
        <v>58</v>
      </c>
      <c r="G205" s="21">
        <f t="shared" si="96"/>
        <v>-3.9497307001795332</v>
      </c>
      <c r="H205" s="6">
        <v>45736</v>
      </c>
      <c r="I205" s="29">
        <v>58.75</v>
      </c>
      <c r="J205" s="30">
        <f t="shared" si="90"/>
        <v>0.12054167461377086</v>
      </c>
      <c r="K205" s="35">
        <f t="shared" si="91"/>
        <v>75.840000000000032</v>
      </c>
      <c r="L205" s="21">
        <f t="shared" si="92"/>
        <v>64</v>
      </c>
      <c r="M205" s="9">
        <f t="shared" si="93"/>
        <v>1</v>
      </c>
      <c r="N205">
        <f t="shared" si="94"/>
        <v>75.840000000000032</v>
      </c>
      <c r="O205" s="17">
        <f t="shared" si="95"/>
        <v>0</v>
      </c>
      <c r="P205" s="86"/>
      <c r="Q205" s="78"/>
    </row>
    <row r="206" spans="1:19">
      <c r="A206" s="6">
        <v>45663</v>
      </c>
      <c r="B206" t="s">
        <v>94</v>
      </c>
      <c r="C206" s="9">
        <v>15</v>
      </c>
      <c r="D206">
        <v>244.4</v>
      </c>
      <c r="E206" s="29">
        <v>260</v>
      </c>
      <c r="F206" s="50">
        <v>240</v>
      </c>
      <c r="G206" s="21">
        <f t="shared" si="96"/>
        <v>4.5454545454545396</v>
      </c>
      <c r="H206" s="6">
        <v>45720</v>
      </c>
      <c r="I206" s="16">
        <v>240</v>
      </c>
      <c r="J206" s="25">
        <f t="shared" si="90"/>
        <v>-1.8003273322422242E-2</v>
      </c>
      <c r="K206" s="36">
        <f t="shared" si="91"/>
        <v>-66</v>
      </c>
      <c r="L206" s="24">
        <f t="shared" si="92"/>
        <v>57</v>
      </c>
      <c r="M206" s="52">
        <f t="shared" si="93"/>
        <v>0</v>
      </c>
      <c r="N206" s="24">
        <f t="shared" si="94"/>
        <v>0</v>
      </c>
      <c r="O206" s="17">
        <f t="shared" si="95"/>
        <v>-66</v>
      </c>
      <c r="P206" s="86"/>
      <c r="Q206" s="78"/>
      <c r="R206" s="28">
        <v>293.10000000000002</v>
      </c>
    </row>
    <row r="207" spans="1:19">
      <c r="A207" s="6">
        <v>45660</v>
      </c>
      <c r="B207" t="s">
        <v>629</v>
      </c>
      <c r="C207" s="9">
        <v>341</v>
      </c>
      <c r="D207">
        <v>3.47</v>
      </c>
      <c r="E207" s="29">
        <v>4</v>
      </c>
      <c r="F207" s="50">
        <v>240</v>
      </c>
      <c r="G207" s="21">
        <f t="shared" si="96"/>
        <v>0.99775926943728066</v>
      </c>
      <c r="H207" s="6">
        <v>45847</v>
      </c>
      <c r="I207" s="29">
        <v>4.5</v>
      </c>
      <c r="J207" s="30">
        <f t="shared" si="90"/>
        <v>0.29682997118155607</v>
      </c>
      <c r="K207" s="35">
        <f t="shared" si="91"/>
        <v>351.23</v>
      </c>
      <c r="L207" s="21">
        <f t="shared" si="92"/>
        <v>187</v>
      </c>
      <c r="M207" s="9">
        <f t="shared" si="93"/>
        <v>1</v>
      </c>
      <c r="N207">
        <f t="shared" si="94"/>
        <v>351.23</v>
      </c>
      <c r="O207" s="17">
        <f t="shared" si="95"/>
        <v>0</v>
      </c>
      <c r="P207" s="86"/>
      <c r="Q207" s="78"/>
      <c r="R207" s="28">
        <v>155.1</v>
      </c>
    </row>
    <row r="208" spans="1:19">
      <c r="A208" s="6">
        <v>45652</v>
      </c>
      <c r="B208" t="s">
        <v>847</v>
      </c>
      <c r="C208" s="9">
        <v>11</v>
      </c>
      <c r="D208">
        <v>56.51</v>
      </c>
      <c r="E208" s="29">
        <v>65</v>
      </c>
      <c r="F208" s="50">
        <v>55</v>
      </c>
      <c r="G208" s="21">
        <f t="shared" si="96"/>
        <v>6.6225165562913997</v>
      </c>
      <c r="H208" s="6">
        <v>45678</v>
      </c>
      <c r="I208" s="29">
        <v>58.8</v>
      </c>
      <c r="J208" s="30">
        <f t="shared" si="90"/>
        <v>4.0523801097150924E-2</v>
      </c>
      <c r="K208" s="35">
        <f t="shared" si="91"/>
        <v>25.189999999999941</v>
      </c>
      <c r="L208" s="21">
        <f t="shared" si="92"/>
        <v>26</v>
      </c>
      <c r="M208" s="9">
        <f t="shared" si="93"/>
        <v>1</v>
      </c>
      <c r="N208">
        <f t="shared" si="94"/>
        <v>25.189999999999941</v>
      </c>
      <c r="O208" s="17">
        <f t="shared" si="95"/>
        <v>0</v>
      </c>
      <c r="P208" s="86"/>
      <c r="Q208" s="78"/>
    </row>
    <row r="209" spans="1:19">
      <c r="A209" s="6">
        <v>45642</v>
      </c>
      <c r="B209" t="s">
        <v>227</v>
      </c>
      <c r="C209" s="9">
        <v>10</v>
      </c>
      <c r="D209">
        <v>430.63</v>
      </c>
      <c r="E209" s="29">
        <v>550</v>
      </c>
      <c r="F209" s="50">
        <v>450</v>
      </c>
      <c r="G209" s="21">
        <f t="shared" si="96"/>
        <v>-5.1626226122870404</v>
      </c>
      <c r="J209" s="30"/>
      <c r="K209" s="35"/>
      <c r="L209" s="37"/>
      <c r="M209" s="58"/>
      <c r="N209" s="38"/>
      <c r="O209" s="85"/>
      <c r="P209" s="86"/>
      <c r="Q209" s="78"/>
      <c r="R209" s="28"/>
      <c r="S209" s="16"/>
    </row>
    <row r="210" spans="1:19">
      <c r="A210" s="6">
        <v>45638</v>
      </c>
      <c r="B210" t="s">
        <v>231</v>
      </c>
      <c r="C210" s="9">
        <v>8</v>
      </c>
      <c r="D210">
        <v>89.4</v>
      </c>
      <c r="E210" s="29">
        <v>100</v>
      </c>
      <c r="F210" s="50">
        <v>85</v>
      </c>
      <c r="G210" s="21">
        <f t="shared" si="96"/>
        <v>3.4090909090909047</v>
      </c>
      <c r="H210" s="6">
        <v>45679</v>
      </c>
      <c r="I210" s="29">
        <v>90</v>
      </c>
      <c r="J210" s="30">
        <f>I210/D210 -1</f>
        <v>6.7114093959730337E-3</v>
      </c>
      <c r="K210" s="35">
        <f>(C210*I210) - (C210*D210)</f>
        <v>4.7999999999999545</v>
      </c>
      <c r="L210" s="21">
        <f>H210-A210</f>
        <v>41</v>
      </c>
      <c r="M210" s="9">
        <f>IF(J210&gt;0,1,0)</f>
        <v>1</v>
      </c>
      <c r="N210">
        <f>IF(K210&gt;0, K210, 0)</f>
        <v>4.7999999999999545</v>
      </c>
      <c r="O210" s="17">
        <f>IF(K210&lt;0, K210, 0)</f>
        <v>0</v>
      </c>
      <c r="P210" s="86"/>
      <c r="Q210" s="78"/>
      <c r="R210" s="28"/>
      <c r="S210" s="28"/>
    </row>
    <row r="211" spans="1:19">
      <c r="A211" s="6">
        <v>45637</v>
      </c>
      <c r="B211" t="s">
        <v>566</v>
      </c>
      <c r="C211" s="9">
        <v>8</v>
      </c>
      <c r="D211">
        <v>131.4</v>
      </c>
      <c r="E211" s="29">
        <v>160</v>
      </c>
      <c r="F211" s="50">
        <v>130</v>
      </c>
      <c r="G211" s="21">
        <f t="shared" si="96"/>
        <v>21.428571428571342</v>
      </c>
      <c r="H211" s="6">
        <v>45915</v>
      </c>
      <c r="I211" s="29">
        <v>137</v>
      </c>
      <c r="J211" s="30">
        <f>I211/D211 -1</f>
        <v>4.2617960426179602E-2</v>
      </c>
      <c r="K211" s="35">
        <f>(C211*I211) - (C211*D211)</f>
        <v>44.799999999999955</v>
      </c>
      <c r="L211" s="21">
        <f>H211-A211</f>
        <v>278</v>
      </c>
      <c r="M211" s="9">
        <f>IF(J211&gt;0,1,0)</f>
        <v>1</v>
      </c>
      <c r="N211">
        <f>IF(K211&gt;0, K211, 0)</f>
        <v>44.799999999999955</v>
      </c>
      <c r="O211" s="17">
        <f>IF(K211&lt;0, K211, 0)</f>
        <v>0</v>
      </c>
      <c r="P211" s="86"/>
      <c r="Q211" s="78"/>
      <c r="S211" s="28"/>
    </row>
    <row r="212" spans="1:19">
      <c r="A212" s="6">
        <v>45635</v>
      </c>
      <c r="B212" t="s">
        <v>823</v>
      </c>
      <c r="C212" s="9">
        <v>12</v>
      </c>
      <c r="D212">
        <v>111.69</v>
      </c>
      <c r="E212" s="29">
        <v>160</v>
      </c>
      <c r="F212" s="50">
        <v>95</v>
      </c>
      <c r="G212" s="21">
        <f t="shared" si="96"/>
        <v>3.894547633313362</v>
      </c>
      <c r="H212" s="6">
        <v>45692</v>
      </c>
      <c r="I212" s="29">
        <v>114.12</v>
      </c>
      <c r="J212" s="30">
        <f>I212/D212 -1</f>
        <v>2.1756647864625389E-2</v>
      </c>
      <c r="K212" s="35">
        <f>(C212*I212) - (C212*D212)</f>
        <v>29.160000000000082</v>
      </c>
      <c r="L212" s="21">
        <f>H212-A212</f>
        <v>57</v>
      </c>
      <c r="M212" s="9">
        <f>IF(J212&gt;0,1,0)</f>
        <v>1</v>
      </c>
      <c r="N212">
        <f>IF(K212&gt;0, K212, 0)</f>
        <v>29.160000000000082</v>
      </c>
      <c r="O212" s="17">
        <f>IF(K212&lt;0, K212, 0)</f>
        <v>0</v>
      </c>
      <c r="P212" s="86"/>
      <c r="Q212" s="78"/>
    </row>
    <row r="213" spans="1:19">
      <c r="A213" s="6">
        <v>45635</v>
      </c>
      <c r="B213" t="s">
        <v>427</v>
      </c>
      <c r="C213" s="9">
        <v>17</v>
      </c>
      <c r="D213">
        <v>323.27999999999997</v>
      </c>
      <c r="E213" s="29">
        <v>450</v>
      </c>
      <c r="F213" s="75">
        <v>400</v>
      </c>
      <c r="G213" s="21">
        <f t="shared" si="96"/>
        <v>-0.6517205422314909</v>
      </c>
      <c r="H213" s="6"/>
      <c r="I213" s="29"/>
      <c r="J213" s="30"/>
      <c r="K213" s="35"/>
      <c r="O213" s="17"/>
      <c r="P213" s="86"/>
      <c r="Q213" s="78"/>
    </row>
    <row r="214" spans="1:19">
      <c r="A214" s="6">
        <v>45905</v>
      </c>
      <c r="B214" t="s">
        <v>427</v>
      </c>
      <c r="C214" s="9">
        <v>10</v>
      </c>
      <c r="D214">
        <v>167.78</v>
      </c>
      <c r="E214" s="29">
        <v>450</v>
      </c>
      <c r="F214" s="75">
        <v>400</v>
      </c>
      <c r="G214" s="21">
        <f xml:space="preserve"> (E214 - F214)/(D214-F214)</f>
        <v>-0.21531306519679613</v>
      </c>
      <c r="H214" s="6">
        <v>46008</v>
      </c>
      <c r="I214" s="29">
        <v>207.5</v>
      </c>
      <c r="J214" s="30">
        <f>I214/D214 -1</f>
        <v>0.23673858624389088</v>
      </c>
      <c r="K214" s="35">
        <f>(C214*I214) - (C214*D214)</f>
        <v>397.20000000000005</v>
      </c>
      <c r="L214" s="21">
        <f>H214-A214</f>
        <v>103</v>
      </c>
      <c r="M214" s="9">
        <f>IF(J214&gt;0,1,0)</f>
        <v>1</v>
      </c>
      <c r="N214">
        <f>IF(K214&gt;0, K214, 0)</f>
        <v>397.20000000000005</v>
      </c>
      <c r="O214" s="17">
        <f>IF(K214&lt;0, K214, 0)</f>
        <v>0</v>
      </c>
      <c r="P214" s="86"/>
      <c r="Q214" s="78"/>
    </row>
    <row r="215" spans="1:19">
      <c r="A215" s="6">
        <v>45635</v>
      </c>
      <c r="B215" t="s">
        <v>427</v>
      </c>
      <c r="C215" s="9">
        <v>5</v>
      </c>
      <c r="D215">
        <v>229</v>
      </c>
      <c r="E215" s="29">
        <v>450</v>
      </c>
      <c r="F215" s="75">
        <v>400</v>
      </c>
      <c r="G215" s="21">
        <f t="shared" si="96"/>
        <v>-0.29239766081871343</v>
      </c>
      <c r="H215" s="6">
        <v>45895</v>
      </c>
      <c r="I215" s="16">
        <v>201.5</v>
      </c>
      <c r="J215" s="25">
        <f>I215/D215 -1</f>
        <v>-0.12008733624454149</v>
      </c>
      <c r="K215" s="36">
        <f>(C215*I215) - (C215*D215)</f>
        <v>-137.5</v>
      </c>
      <c r="L215" s="24">
        <f>H215-A215</f>
        <v>260</v>
      </c>
      <c r="M215" s="52">
        <f>IF(J215&gt;0,1,0)</f>
        <v>0</v>
      </c>
      <c r="N215" s="24">
        <f>IF(K215&gt;0, K215, 0)</f>
        <v>0</v>
      </c>
      <c r="O215" s="17">
        <f>IF(K215&lt;0, K215, 0)</f>
        <v>-137.5</v>
      </c>
      <c r="P215" s="86"/>
      <c r="Q215" s="78"/>
    </row>
    <row r="216" spans="1:19">
      <c r="A216" s="6">
        <v>45635</v>
      </c>
      <c r="B216" t="s">
        <v>15</v>
      </c>
      <c r="C216" s="9">
        <v>30</v>
      </c>
      <c r="D216">
        <v>104.5</v>
      </c>
      <c r="E216" s="29">
        <v>115</v>
      </c>
      <c r="F216" s="50">
        <v>100</v>
      </c>
      <c r="G216" s="21">
        <f t="shared" si="96"/>
        <v>3.3333333333333335</v>
      </c>
      <c r="H216" s="6">
        <v>45748</v>
      </c>
      <c r="I216" s="29">
        <v>105.25</v>
      </c>
      <c r="J216" s="30">
        <f>I216/D216 -1</f>
        <v>7.1770334928229484E-3</v>
      </c>
      <c r="K216" s="35">
        <f>(C216*I216) - (C216*D216)</f>
        <v>22.5</v>
      </c>
      <c r="L216" s="21">
        <f>H216-A216</f>
        <v>113</v>
      </c>
      <c r="M216" s="9">
        <f>IF(J216&gt;0,1,0)</f>
        <v>1</v>
      </c>
      <c r="N216">
        <f>IF(K216&gt;0, K216, 0)</f>
        <v>22.5</v>
      </c>
      <c r="O216" s="17">
        <f>IF(K216&lt;0, K216, 0)</f>
        <v>0</v>
      </c>
      <c r="P216" s="86"/>
      <c r="Q216" s="78"/>
    </row>
    <row r="217" spans="1:19">
      <c r="A217" s="6">
        <v>45635</v>
      </c>
      <c r="B217" s="61" t="s">
        <v>332</v>
      </c>
      <c r="C217" s="9">
        <v>39</v>
      </c>
      <c r="D217">
        <v>82.7</v>
      </c>
      <c r="E217" s="29">
        <v>90</v>
      </c>
      <c r="F217" s="50">
        <v>80</v>
      </c>
      <c r="G217" s="21">
        <f t="shared" si="96"/>
        <v>3.7037037037036997</v>
      </c>
      <c r="H217" s="6">
        <v>45673</v>
      </c>
      <c r="I217" s="29">
        <v>85.65</v>
      </c>
      <c r="J217" s="30">
        <f>I217/D217 -1</f>
        <v>3.5671100362757002E-2</v>
      </c>
      <c r="K217" s="35">
        <f>(C217*I217) - (C217*D217)</f>
        <v>115.05000000000018</v>
      </c>
      <c r="L217" s="21">
        <f>H217-A217</f>
        <v>38</v>
      </c>
      <c r="M217" s="9">
        <f>IF(J217&gt;0,1,0)</f>
        <v>1</v>
      </c>
      <c r="N217">
        <f>IF(K217&gt;0, K217, 0)</f>
        <v>115.05000000000018</v>
      </c>
      <c r="O217" s="17">
        <f>IF(K217&lt;0, K217, 0)</f>
        <v>0</v>
      </c>
      <c r="P217" s="86"/>
      <c r="Q217" s="78"/>
    </row>
    <row r="218" spans="1:19">
      <c r="A218" s="6">
        <v>45635</v>
      </c>
      <c r="B218" t="s">
        <v>594</v>
      </c>
      <c r="C218" s="9">
        <v>34</v>
      </c>
      <c r="D218">
        <v>145.15</v>
      </c>
      <c r="E218" s="29">
        <v>200</v>
      </c>
      <c r="F218" s="50">
        <v>174</v>
      </c>
      <c r="G218" s="21">
        <f t="shared" si="96"/>
        <v>-0.90121317157712322</v>
      </c>
      <c r="J218" s="30"/>
      <c r="K218" s="35"/>
      <c r="L218" s="37"/>
      <c r="M218" s="58"/>
      <c r="N218" s="38"/>
      <c r="O218" s="85"/>
      <c r="P218" s="86"/>
      <c r="Q218" s="78"/>
      <c r="R218" s="28"/>
    </row>
    <row r="219" spans="1:19">
      <c r="A219" s="6">
        <v>45631</v>
      </c>
      <c r="B219" s="61" t="s">
        <v>243</v>
      </c>
      <c r="C219" s="9">
        <v>16</v>
      </c>
      <c r="D219">
        <v>181</v>
      </c>
      <c r="E219" s="29">
        <v>200</v>
      </c>
      <c r="F219" s="50">
        <v>180</v>
      </c>
      <c r="G219" s="21">
        <f t="shared" si="96"/>
        <v>20</v>
      </c>
      <c r="H219" s="6">
        <v>45873</v>
      </c>
      <c r="I219" s="29">
        <v>196</v>
      </c>
      <c r="J219" s="30">
        <f t="shared" ref="J219:J226" si="97">I219/D219 -1</f>
        <v>8.287292817679548E-2</v>
      </c>
      <c r="K219" s="35">
        <f>(C219*I219) - (C219*D219)</f>
        <v>240</v>
      </c>
      <c r="L219" s="21">
        <f>H219-A219</f>
        <v>242</v>
      </c>
      <c r="M219" s="9">
        <f t="shared" ref="M219:M226" si="98">IF(J219&gt;0,1,0)</f>
        <v>1</v>
      </c>
      <c r="N219">
        <f t="shared" ref="N219:N226" si="99">IF(K219&gt;0, K219, 0)</f>
        <v>240</v>
      </c>
      <c r="O219" s="17">
        <f>IF(K219&lt;0, K219, 0)</f>
        <v>0</v>
      </c>
      <c r="P219" s="86"/>
      <c r="Q219" s="78"/>
    </row>
    <row r="220" spans="1:19">
      <c r="A220" s="6">
        <v>45631</v>
      </c>
      <c r="B220" s="61" t="s">
        <v>852</v>
      </c>
      <c r="C220" s="9">
        <v>34</v>
      </c>
      <c r="D220">
        <v>140.22999999999999</v>
      </c>
      <c r="E220" s="29">
        <v>150</v>
      </c>
      <c r="F220" s="50">
        <v>140</v>
      </c>
      <c r="G220" s="21">
        <f t="shared" si="96"/>
        <v>43.478260869567151</v>
      </c>
      <c r="H220" s="6">
        <v>45784</v>
      </c>
      <c r="I220" s="29">
        <v>140.5</v>
      </c>
      <c r="J220" s="30">
        <f t="shared" si="97"/>
        <v>1.9254082578621379E-3</v>
      </c>
      <c r="K220" s="35">
        <f t="shared" ref="K220:K226" si="100">(C220*I220) - (C220*D220)</f>
        <v>9.180000000000291</v>
      </c>
      <c r="L220" s="21">
        <f t="shared" ref="L220:L226" si="101">H220-A220</f>
        <v>153</v>
      </c>
      <c r="M220" s="9">
        <f t="shared" si="98"/>
        <v>1</v>
      </c>
      <c r="N220">
        <f t="shared" si="99"/>
        <v>9.180000000000291</v>
      </c>
      <c r="O220" s="17">
        <f t="shared" ref="O220:O226" si="102">IF(K220&lt;0, K220, 0)</f>
        <v>0</v>
      </c>
      <c r="P220" s="86"/>
      <c r="Q220" s="78"/>
      <c r="R220" s="16"/>
    </row>
    <row r="221" spans="1:19">
      <c r="A221" s="6">
        <v>45622</v>
      </c>
      <c r="B221" s="22" t="s">
        <v>370</v>
      </c>
      <c r="C221" s="57">
        <v>200</v>
      </c>
      <c r="D221">
        <v>0.92</v>
      </c>
      <c r="E221" s="29">
        <v>2</v>
      </c>
      <c r="F221" s="50">
        <v>0.46</v>
      </c>
      <c r="G221" s="21">
        <f t="shared" si="96"/>
        <v>3.3478260869565215</v>
      </c>
      <c r="H221" s="6">
        <v>45674</v>
      </c>
      <c r="I221" s="16">
        <v>0</v>
      </c>
      <c r="J221" s="25">
        <f t="shared" si="97"/>
        <v>-1</v>
      </c>
      <c r="K221" s="36">
        <f t="shared" si="100"/>
        <v>-184</v>
      </c>
      <c r="L221" s="24">
        <f t="shared" si="101"/>
        <v>52</v>
      </c>
      <c r="M221" s="52">
        <f t="shared" si="98"/>
        <v>0</v>
      </c>
      <c r="N221" s="24">
        <f t="shared" si="99"/>
        <v>0</v>
      </c>
      <c r="O221" s="17">
        <f t="shared" si="102"/>
        <v>-184</v>
      </c>
      <c r="P221" s="86"/>
      <c r="Q221" s="78"/>
      <c r="R221" s="16"/>
      <c r="S221" s="28"/>
    </row>
    <row r="222" spans="1:19">
      <c r="A222" s="6">
        <v>45621</v>
      </c>
      <c r="B222" t="s">
        <v>835</v>
      </c>
      <c r="C222" s="9">
        <v>21</v>
      </c>
      <c r="D222">
        <v>42.47</v>
      </c>
      <c r="E222" s="29">
        <v>50</v>
      </c>
      <c r="F222" s="50">
        <v>40</v>
      </c>
      <c r="G222" s="21">
        <f t="shared" si="96"/>
        <v>4.0485829959514188</v>
      </c>
      <c r="H222" s="6">
        <v>45784</v>
      </c>
      <c r="I222" s="16">
        <v>38.549999999999997</v>
      </c>
      <c r="J222" s="25">
        <f t="shared" si="97"/>
        <v>-9.23004473746174E-2</v>
      </c>
      <c r="K222" s="36">
        <f t="shared" si="100"/>
        <v>-82.32000000000005</v>
      </c>
      <c r="L222" s="24">
        <f t="shared" si="101"/>
        <v>163</v>
      </c>
      <c r="M222" s="52">
        <f t="shared" si="98"/>
        <v>0</v>
      </c>
      <c r="N222" s="24">
        <f t="shared" si="99"/>
        <v>0</v>
      </c>
      <c r="O222" s="17">
        <f t="shared" si="102"/>
        <v>-82.32000000000005</v>
      </c>
      <c r="P222" s="86"/>
      <c r="Q222" s="78"/>
      <c r="S222" s="28"/>
    </row>
    <row r="223" spans="1:19">
      <c r="A223" s="6">
        <v>45607</v>
      </c>
      <c r="B223" t="s">
        <v>629</v>
      </c>
      <c r="C223" s="9">
        <v>330</v>
      </c>
      <c r="D223">
        <v>3.09</v>
      </c>
      <c r="E223" s="29">
        <v>4</v>
      </c>
      <c r="F223" s="50">
        <v>3</v>
      </c>
      <c r="G223" s="21">
        <f t="shared" si="96"/>
        <v>11.111111111111128</v>
      </c>
      <c r="H223" s="6">
        <v>45660</v>
      </c>
      <c r="I223" s="29">
        <v>3.56</v>
      </c>
      <c r="J223" s="30">
        <f t="shared" si="97"/>
        <v>0.15210355987055024</v>
      </c>
      <c r="K223" s="35">
        <f t="shared" si="100"/>
        <v>155.10000000000002</v>
      </c>
      <c r="L223" s="21">
        <f t="shared" si="101"/>
        <v>53</v>
      </c>
      <c r="M223" s="9">
        <f t="shared" si="98"/>
        <v>1</v>
      </c>
      <c r="N223">
        <f t="shared" si="99"/>
        <v>155.10000000000002</v>
      </c>
      <c r="O223" s="17">
        <f t="shared" si="102"/>
        <v>0</v>
      </c>
      <c r="P223" s="86"/>
      <c r="Q223" s="78"/>
    </row>
    <row r="224" spans="1:19">
      <c r="A224" s="6">
        <v>45604</v>
      </c>
      <c r="B224" t="s">
        <v>507</v>
      </c>
      <c r="C224" s="9">
        <v>21</v>
      </c>
      <c r="D224">
        <v>32.01</v>
      </c>
      <c r="E224" s="29">
        <v>37</v>
      </c>
      <c r="F224" s="50">
        <v>30</v>
      </c>
      <c r="G224" s="21">
        <f t="shared" si="96"/>
        <v>3.4825870646766202</v>
      </c>
      <c r="H224" s="6">
        <v>45685</v>
      </c>
      <c r="I224" s="16">
        <v>31.5</v>
      </c>
      <c r="J224" s="25">
        <f t="shared" si="97"/>
        <v>-1.5932521087160256E-2</v>
      </c>
      <c r="K224" s="36">
        <f t="shared" si="100"/>
        <v>-10.709999999999923</v>
      </c>
      <c r="L224" s="24">
        <f t="shared" si="101"/>
        <v>81</v>
      </c>
      <c r="M224" s="52">
        <f t="shared" si="98"/>
        <v>0</v>
      </c>
      <c r="N224" s="24">
        <f t="shared" si="99"/>
        <v>0</v>
      </c>
      <c r="O224" s="17">
        <f t="shared" si="102"/>
        <v>-10.709999999999923</v>
      </c>
      <c r="P224" s="86"/>
      <c r="Q224" s="78"/>
      <c r="R224" s="16"/>
    </row>
    <row r="225" spans="1:19">
      <c r="A225" s="6">
        <v>45600</v>
      </c>
      <c r="B225" s="22" t="s">
        <v>438</v>
      </c>
      <c r="C225" s="57">
        <v>400</v>
      </c>
      <c r="D225">
        <v>0.9</v>
      </c>
      <c r="E225" s="29">
        <v>1</v>
      </c>
      <c r="F225" s="50">
        <v>0.27</v>
      </c>
      <c r="G225" s="21">
        <f t="shared" si="96"/>
        <v>1.1587301587301586</v>
      </c>
      <c r="H225" s="6">
        <v>45698</v>
      </c>
      <c r="I225" s="29">
        <v>1.07</v>
      </c>
      <c r="J225" s="30">
        <f t="shared" si="97"/>
        <v>0.18888888888888888</v>
      </c>
      <c r="K225" s="35">
        <f t="shared" si="100"/>
        <v>68</v>
      </c>
      <c r="L225" s="21">
        <f t="shared" si="101"/>
        <v>98</v>
      </c>
      <c r="M225" s="9">
        <f t="shared" si="98"/>
        <v>1</v>
      </c>
      <c r="N225">
        <f t="shared" si="99"/>
        <v>68</v>
      </c>
      <c r="O225" s="17">
        <f t="shared" si="102"/>
        <v>0</v>
      </c>
      <c r="P225" s="86"/>
      <c r="Q225" s="78"/>
    </row>
    <row r="226" spans="1:19">
      <c r="A226" s="6">
        <v>45573</v>
      </c>
      <c r="B226" t="s">
        <v>620</v>
      </c>
      <c r="C226" s="9">
        <v>12</v>
      </c>
      <c r="D226">
        <v>233</v>
      </c>
      <c r="E226" s="29">
        <v>275</v>
      </c>
      <c r="F226" s="50">
        <v>225</v>
      </c>
      <c r="G226" s="21">
        <f t="shared" si="96"/>
        <v>6.25</v>
      </c>
      <c r="H226" s="6">
        <v>45680</v>
      </c>
      <c r="I226" s="29">
        <v>235.4</v>
      </c>
      <c r="J226" s="30">
        <f t="shared" si="97"/>
        <v>1.0300429184549431E-2</v>
      </c>
      <c r="K226" s="35">
        <f t="shared" si="100"/>
        <v>28.800000000000182</v>
      </c>
      <c r="L226" s="21">
        <f t="shared" si="101"/>
        <v>107</v>
      </c>
      <c r="M226" s="9">
        <f t="shared" si="98"/>
        <v>1</v>
      </c>
      <c r="N226">
        <f t="shared" si="99"/>
        <v>28.800000000000182</v>
      </c>
      <c r="O226" s="17">
        <f t="shared" si="102"/>
        <v>0</v>
      </c>
      <c r="P226" s="86"/>
      <c r="Q226" s="78"/>
    </row>
    <row r="227" spans="1:19" ht="16.5" customHeight="1">
      <c r="A227" s="6">
        <v>45572</v>
      </c>
      <c r="B227" t="s">
        <v>40</v>
      </c>
      <c r="C227" s="9">
        <v>25</v>
      </c>
      <c r="D227">
        <v>139.25</v>
      </c>
      <c r="E227" s="29">
        <v>150</v>
      </c>
      <c r="F227" s="50">
        <v>130</v>
      </c>
      <c r="G227" s="21">
        <f t="shared" si="96"/>
        <v>2.1621621621621623</v>
      </c>
      <c r="H227" s="6">
        <v>46001</v>
      </c>
      <c r="I227" s="29">
        <v>141</v>
      </c>
      <c r="J227" s="30">
        <f t="shared" ref="J227:J233" si="103">I227/D227 -1</f>
        <v>1.2567324955116588E-2</v>
      </c>
      <c r="K227" s="35">
        <f t="shared" ref="K227:K233" si="104">(C227*I227) - (C227*D227)</f>
        <v>43.75</v>
      </c>
      <c r="L227" s="21">
        <f t="shared" ref="L227:L233" si="105">H227-A227</f>
        <v>429</v>
      </c>
      <c r="M227" s="9">
        <f t="shared" ref="M227:M233" si="106">IF(J227&gt;0,1,0)</f>
        <v>1</v>
      </c>
      <c r="N227">
        <f t="shared" ref="N227:N233" si="107">IF(K227&gt;0, K227, 0)</f>
        <v>43.75</v>
      </c>
      <c r="O227" s="17">
        <f t="shared" ref="O227:O233" si="108">IF(K227&lt;0, K227, 0)</f>
        <v>0</v>
      </c>
      <c r="P227" s="86"/>
      <c r="Q227" s="78"/>
    </row>
    <row r="228" spans="1:19" ht="16.5" customHeight="1">
      <c r="A228" s="6">
        <v>45542</v>
      </c>
      <c r="B228" t="s">
        <v>130</v>
      </c>
      <c r="C228" s="9">
        <v>5</v>
      </c>
      <c r="D228">
        <v>172</v>
      </c>
      <c r="E228" s="29">
        <v>200</v>
      </c>
      <c r="F228" s="75">
        <v>165</v>
      </c>
      <c r="G228" s="21">
        <f t="shared" ref="G228:G250" si="109" xml:space="preserve"> (E228 - F228)/(D228-F228)</f>
        <v>5</v>
      </c>
      <c r="H228" s="6">
        <v>45693</v>
      </c>
      <c r="I228" s="29">
        <v>175</v>
      </c>
      <c r="J228" s="30">
        <f t="shared" si="103"/>
        <v>1.744186046511631E-2</v>
      </c>
      <c r="K228" s="35">
        <f t="shared" si="104"/>
        <v>15</v>
      </c>
      <c r="L228" s="21">
        <f t="shared" si="105"/>
        <v>151</v>
      </c>
      <c r="M228" s="9">
        <f t="shared" si="106"/>
        <v>1</v>
      </c>
      <c r="N228">
        <f t="shared" si="107"/>
        <v>15</v>
      </c>
      <c r="O228" s="17">
        <f t="shared" si="108"/>
        <v>0</v>
      </c>
      <c r="P228" s="86"/>
      <c r="Q228" s="78"/>
    </row>
    <row r="229" spans="1:19" ht="15.75" customHeight="1">
      <c r="A229" s="6">
        <v>45540</v>
      </c>
      <c r="B229" s="119" t="s">
        <v>47</v>
      </c>
      <c r="C229" s="76">
        <v>600</v>
      </c>
      <c r="D229">
        <v>2.0699999999999998</v>
      </c>
      <c r="E229" s="29">
        <v>2.5</v>
      </c>
      <c r="F229" s="50">
        <v>0.6</v>
      </c>
      <c r="G229" s="21">
        <f t="shared" si="109"/>
        <v>1.2925170068027212</v>
      </c>
      <c r="H229" s="6">
        <v>45670</v>
      </c>
      <c r="I229" s="29">
        <v>2.2999999999999998</v>
      </c>
      <c r="J229" s="30">
        <f t="shared" si="103"/>
        <v>0.11111111111111116</v>
      </c>
      <c r="K229" s="35">
        <f t="shared" si="104"/>
        <v>138</v>
      </c>
      <c r="L229" s="21">
        <f t="shared" si="105"/>
        <v>130</v>
      </c>
      <c r="M229" s="9">
        <f t="shared" si="106"/>
        <v>1</v>
      </c>
      <c r="N229">
        <f t="shared" si="107"/>
        <v>138</v>
      </c>
      <c r="O229" s="17">
        <f t="shared" si="108"/>
        <v>0</v>
      </c>
      <c r="P229" s="86"/>
      <c r="Q229" s="78"/>
      <c r="R229" s="16"/>
    </row>
    <row r="230" spans="1:19" ht="15.75" customHeight="1">
      <c r="A230" s="6">
        <v>45531</v>
      </c>
      <c r="B230" t="s">
        <v>639</v>
      </c>
      <c r="C230" s="9">
        <v>70</v>
      </c>
      <c r="D230">
        <v>55</v>
      </c>
      <c r="E230" s="29">
        <v>100</v>
      </c>
      <c r="F230" s="50">
        <v>50.5</v>
      </c>
      <c r="G230" s="21">
        <f t="shared" si="109"/>
        <v>11</v>
      </c>
      <c r="H230" s="6">
        <v>45707</v>
      </c>
      <c r="I230" s="29">
        <v>60</v>
      </c>
      <c r="J230" s="30">
        <f t="shared" si="103"/>
        <v>9.0909090909090828E-2</v>
      </c>
      <c r="K230" s="35">
        <f t="shared" si="104"/>
        <v>350</v>
      </c>
      <c r="L230" s="21">
        <f t="shared" si="105"/>
        <v>176</v>
      </c>
      <c r="M230" s="9">
        <f t="shared" si="106"/>
        <v>1</v>
      </c>
      <c r="N230">
        <f t="shared" si="107"/>
        <v>350</v>
      </c>
      <c r="O230" s="17">
        <f t="shared" si="108"/>
        <v>0</v>
      </c>
      <c r="P230" s="86"/>
      <c r="Q230" s="78"/>
      <c r="R230" s="16"/>
      <c r="S230" s="16"/>
    </row>
    <row r="231" spans="1:19" ht="15.75" customHeight="1">
      <c r="A231" s="6">
        <v>45530</v>
      </c>
      <c r="B231" s="61" t="s">
        <v>814</v>
      </c>
      <c r="C231" s="9">
        <v>152</v>
      </c>
      <c r="D231">
        <v>41.69</v>
      </c>
      <c r="E231" s="29">
        <v>50</v>
      </c>
      <c r="F231" s="50">
        <v>40</v>
      </c>
      <c r="G231" s="21">
        <f xml:space="preserve"> (E231 - F231)/(D231-F231)</f>
        <v>5.9171597633136175</v>
      </c>
      <c r="H231" s="6">
        <v>45995</v>
      </c>
      <c r="I231" s="29">
        <v>42</v>
      </c>
      <c r="J231" s="30">
        <f t="shared" si="103"/>
        <v>7.435835931878243E-3</v>
      </c>
      <c r="K231" s="35">
        <f t="shared" si="104"/>
        <v>47.1200000000008</v>
      </c>
      <c r="L231" s="21">
        <f t="shared" si="105"/>
        <v>465</v>
      </c>
      <c r="M231" s="9">
        <f t="shared" si="106"/>
        <v>1</v>
      </c>
      <c r="N231">
        <f t="shared" si="107"/>
        <v>47.1200000000008</v>
      </c>
      <c r="O231" s="17">
        <f t="shared" si="108"/>
        <v>0</v>
      </c>
      <c r="P231" s="86"/>
      <c r="Q231" s="78"/>
      <c r="R231" s="16"/>
      <c r="S231" s="16"/>
    </row>
    <row r="232" spans="1:19" ht="15.75" customHeight="1">
      <c r="A232" s="6">
        <v>45877</v>
      </c>
      <c r="B232" s="61" t="s">
        <v>814</v>
      </c>
      <c r="C232" s="9">
        <v>81</v>
      </c>
      <c r="D232">
        <v>41.41</v>
      </c>
      <c r="E232" s="29">
        <v>50</v>
      </c>
      <c r="F232" s="50">
        <v>40</v>
      </c>
      <c r="G232" s="21">
        <f xml:space="preserve"> (E232 - F232)/(D232-F232)</f>
        <v>7.092198581560301</v>
      </c>
      <c r="H232" s="6">
        <v>45915</v>
      </c>
      <c r="I232" s="29">
        <v>43</v>
      </c>
      <c r="J232" s="30">
        <f t="shared" si="103"/>
        <v>3.8396522579087211E-2</v>
      </c>
      <c r="K232" s="35">
        <f t="shared" si="104"/>
        <v>128.79000000000042</v>
      </c>
      <c r="L232" s="21">
        <f t="shared" si="105"/>
        <v>38</v>
      </c>
      <c r="M232" s="9">
        <f t="shared" si="106"/>
        <v>1</v>
      </c>
      <c r="N232">
        <f t="shared" si="107"/>
        <v>128.79000000000042</v>
      </c>
      <c r="O232" s="17">
        <f t="shared" si="108"/>
        <v>0</v>
      </c>
      <c r="P232" s="86"/>
      <c r="Q232" s="78"/>
      <c r="R232" s="16"/>
      <c r="S232" s="16"/>
    </row>
    <row r="233" spans="1:19" ht="15.75" customHeight="1">
      <c r="A233" s="6">
        <v>45877</v>
      </c>
      <c r="B233" s="61" t="s">
        <v>814</v>
      </c>
      <c r="C233" s="9">
        <v>81</v>
      </c>
      <c r="D233">
        <v>37</v>
      </c>
      <c r="E233" s="29">
        <v>50</v>
      </c>
      <c r="F233" s="50">
        <v>40</v>
      </c>
      <c r="G233" s="21">
        <f xml:space="preserve"> (E233 - F233)/(D233-F233)</f>
        <v>-3.3333333333333335</v>
      </c>
      <c r="H233" s="6">
        <v>45911</v>
      </c>
      <c r="I233" s="29">
        <v>41.42</v>
      </c>
      <c r="J233" s="30">
        <f t="shared" si="103"/>
        <v>0.11945945945945957</v>
      </c>
      <c r="K233" s="35">
        <f t="shared" si="104"/>
        <v>358.02</v>
      </c>
      <c r="L233" s="21">
        <f t="shared" si="105"/>
        <v>34</v>
      </c>
      <c r="M233" s="9">
        <f t="shared" si="106"/>
        <v>1</v>
      </c>
      <c r="N233">
        <f t="shared" si="107"/>
        <v>358.02</v>
      </c>
      <c r="O233" s="17">
        <f t="shared" si="108"/>
        <v>0</v>
      </c>
      <c r="P233" s="86"/>
      <c r="Q233" s="78"/>
      <c r="R233" s="16"/>
      <c r="S233" s="16"/>
    </row>
    <row r="234" spans="1:19" ht="15.75" customHeight="1">
      <c r="A234" s="6">
        <v>45782</v>
      </c>
      <c r="B234" s="61" t="s">
        <v>814</v>
      </c>
      <c r="C234" s="9">
        <v>32</v>
      </c>
      <c r="D234">
        <v>37.49</v>
      </c>
      <c r="E234" s="29">
        <v>50</v>
      </c>
      <c r="F234" s="50">
        <v>40</v>
      </c>
      <c r="G234" s="21">
        <f xml:space="preserve"> (E234 - F234)/(D234-F234)</f>
        <v>-3.9840637450199234</v>
      </c>
      <c r="H234" s="6">
        <v>45873</v>
      </c>
      <c r="I234" s="16">
        <v>37.200000000000003</v>
      </c>
      <c r="J234" s="25">
        <f t="shared" ref="J234:J239" si="110">I234/D234 -1</f>
        <v>-7.7353961056281229E-3</v>
      </c>
      <c r="K234" s="36">
        <f t="shared" ref="K234:K239" si="111">(C234*I234) - (C234*D234)</f>
        <v>-9.2799999999999727</v>
      </c>
      <c r="L234" s="21">
        <f t="shared" ref="L234:L239" si="112">H234-A234</f>
        <v>91</v>
      </c>
      <c r="M234" s="9">
        <f t="shared" ref="M234:M239" si="113">IF(J234&gt;0,1,0)</f>
        <v>0</v>
      </c>
      <c r="N234">
        <f t="shared" ref="N234:N239" si="114">IF(K234&gt;0, K234, 0)</f>
        <v>0</v>
      </c>
      <c r="O234" s="17">
        <f t="shared" ref="O234:O239" si="115">IF(K234&lt;0, K234, 0)</f>
        <v>-9.2799999999999727</v>
      </c>
      <c r="P234" s="86"/>
      <c r="Q234" s="78"/>
      <c r="R234" s="16"/>
      <c r="S234" s="16"/>
    </row>
    <row r="235" spans="1:19" ht="15.75" customHeight="1">
      <c r="A235" s="6">
        <v>45530</v>
      </c>
      <c r="B235" s="61" t="s">
        <v>814</v>
      </c>
      <c r="C235" s="9">
        <v>37</v>
      </c>
      <c r="D235">
        <v>34.49</v>
      </c>
      <c r="E235" s="29">
        <v>50</v>
      </c>
      <c r="F235" s="50">
        <v>40</v>
      </c>
      <c r="G235" s="21">
        <f t="shared" si="109"/>
        <v>-1.8148820326678772</v>
      </c>
      <c r="H235" s="6">
        <v>45749</v>
      </c>
      <c r="I235" s="29">
        <v>37</v>
      </c>
      <c r="J235" s="30">
        <f t="shared" si="110"/>
        <v>7.2774717309364911E-2</v>
      </c>
      <c r="K235" s="35">
        <f t="shared" si="111"/>
        <v>92.869999999999891</v>
      </c>
      <c r="L235" s="21">
        <f t="shared" si="112"/>
        <v>219</v>
      </c>
      <c r="M235" s="9">
        <f t="shared" si="113"/>
        <v>1</v>
      </c>
      <c r="N235">
        <f t="shared" si="114"/>
        <v>92.869999999999891</v>
      </c>
      <c r="O235" s="17">
        <f t="shared" si="115"/>
        <v>0</v>
      </c>
      <c r="P235" s="86"/>
      <c r="Q235" s="78"/>
      <c r="R235" s="16"/>
    </row>
    <row r="236" spans="1:19" ht="15.75" customHeight="1">
      <c r="A236" s="6">
        <v>45526</v>
      </c>
      <c r="B236" t="s">
        <v>70</v>
      </c>
      <c r="C236" s="9">
        <v>7</v>
      </c>
      <c r="D236">
        <v>143.6</v>
      </c>
      <c r="E236" s="29">
        <v>170</v>
      </c>
      <c r="F236" s="75">
        <v>140</v>
      </c>
      <c r="G236" s="21">
        <f t="shared" si="109"/>
        <v>8.3333333333333464</v>
      </c>
      <c r="H236" s="6">
        <v>45896</v>
      </c>
      <c r="I236" s="29">
        <v>151</v>
      </c>
      <c r="J236" s="30">
        <f t="shared" si="110"/>
        <v>5.1532033426183954E-2</v>
      </c>
      <c r="K236" s="35">
        <f t="shared" si="111"/>
        <v>51.800000000000068</v>
      </c>
      <c r="L236" s="21">
        <f t="shared" si="112"/>
        <v>370</v>
      </c>
      <c r="M236" s="9">
        <f t="shared" si="113"/>
        <v>1</v>
      </c>
      <c r="N236">
        <f t="shared" si="114"/>
        <v>51.800000000000068</v>
      </c>
      <c r="O236" s="17">
        <f t="shared" si="115"/>
        <v>0</v>
      </c>
      <c r="P236" s="86"/>
      <c r="Q236" s="78"/>
      <c r="R236" s="16"/>
    </row>
    <row r="237" spans="1:19" ht="15.75" customHeight="1">
      <c r="A237" s="6">
        <v>45524</v>
      </c>
      <c r="B237" t="s">
        <v>17</v>
      </c>
      <c r="C237" s="9">
        <v>16</v>
      </c>
      <c r="D237">
        <v>55.58</v>
      </c>
      <c r="E237" s="29">
        <v>65</v>
      </c>
      <c r="F237" s="50">
        <v>55</v>
      </c>
      <c r="G237" s="21">
        <f t="shared" si="109"/>
        <v>17.241379310344879</v>
      </c>
      <c r="H237" s="6">
        <v>45799</v>
      </c>
      <c r="I237" s="16">
        <v>40.75</v>
      </c>
      <c r="J237" s="25">
        <f t="shared" si="110"/>
        <v>-0.26682259805685493</v>
      </c>
      <c r="K237" s="36">
        <f t="shared" si="111"/>
        <v>-237.27999999999997</v>
      </c>
      <c r="L237" s="24">
        <f t="shared" si="112"/>
        <v>275</v>
      </c>
      <c r="M237" s="52">
        <f t="shared" si="113"/>
        <v>0</v>
      </c>
      <c r="N237" s="24">
        <f t="shared" si="114"/>
        <v>0</v>
      </c>
      <c r="O237" s="17">
        <f t="shared" si="115"/>
        <v>-237.27999999999997</v>
      </c>
      <c r="P237" s="86"/>
      <c r="Q237" s="78"/>
      <c r="R237" s="16"/>
    </row>
    <row r="238" spans="1:19">
      <c r="A238" s="6">
        <v>45498</v>
      </c>
      <c r="B238" t="s">
        <v>712</v>
      </c>
      <c r="C238" s="9">
        <v>7</v>
      </c>
      <c r="D238">
        <v>121.59</v>
      </c>
      <c r="E238" s="29">
        <v>140</v>
      </c>
      <c r="F238" s="50">
        <v>120</v>
      </c>
      <c r="G238" s="21">
        <f t="shared" si="109"/>
        <v>12.57861635220123</v>
      </c>
      <c r="H238" s="6">
        <v>45889</v>
      </c>
      <c r="I238" s="16">
        <v>79</v>
      </c>
      <c r="J238" s="25">
        <f t="shared" si="110"/>
        <v>-0.35027551607862495</v>
      </c>
      <c r="K238" s="36">
        <f t="shared" si="111"/>
        <v>-298.13</v>
      </c>
      <c r="L238" s="24">
        <f t="shared" si="112"/>
        <v>391</v>
      </c>
      <c r="M238" s="52">
        <f t="shared" si="113"/>
        <v>0</v>
      </c>
      <c r="N238" s="24">
        <f t="shared" si="114"/>
        <v>0</v>
      </c>
      <c r="O238" s="17">
        <f t="shared" si="115"/>
        <v>-298.13</v>
      </c>
      <c r="P238" s="86"/>
      <c r="Q238" s="78"/>
    </row>
    <row r="239" spans="1:19">
      <c r="A239" s="6">
        <v>45496</v>
      </c>
      <c r="B239" t="s">
        <v>352</v>
      </c>
      <c r="C239" s="9">
        <v>122</v>
      </c>
      <c r="D239">
        <v>27.73</v>
      </c>
      <c r="E239" s="29">
        <v>32.5</v>
      </c>
      <c r="F239" s="50">
        <v>27</v>
      </c>
      <c r="G239" s="21">
        <f t="shared" si="109"/>
        <v>7.5342465753424612</v>
      </c>
      <c r="H239" s="6">
        <v>45722</v>
      </c>
      <c r="I239" s="29">
        <v>28.31</v>
      </c>
      <c r="J239" s="30">
        <f t="shared" si="110"/>
        <v>2.0915975477821869E-2</v>
      </c>
      <c r="K239" s="35">
        <f t="shared" si="111"/>
        <v>70.759999999999764</v>
      </c>
      <c r="L239" s="21">
        <f t="shared" si="112"/>
        <v>226</v>
      </c>
      <c r="M239" s="9">
        <f t="shared" si="113"/>
        <v>1</v>
      </c>
      <c r="N239">
        <f t="shared" si="114"/>
        <v>70.759999999999764</v>
      </c>
      <c r="O239" s="17">
        <f t="shared" si="115"/>
        <v>0</v>
      </c>
      <c r="P239" s="86"/>
      <c r="Q239" s="78"/>
      <c r="R239" s="28"/>
    </row>
    <row r="240" spans="1:19">
      <c r="A240" s="6">
        <v>45490</v>
      </c>
      <c r="B240" t="s">
        <v>39</v>
      </c>
      <c r="C240" s="9">
        <v>90</v>
      </c>
      <c r="D240">
        <v>38.340000000000003</v>
      </c>
      <c r="E240" s="29">
        <v>52.5</v>
      </c>
      <c r="F240" s="50">
        <v>47.5</v>
      </c>
      <c r="G240" s="21">
        <f xml:space="preserve"> (E240 - F240)/(D240-F240)</f>
        <v>-0.54585152838427964</v>
      </c>
      <c r="H240" s="6"/>
      <c r="I240" s="29"/>
      <c r="J240" s="30"/>
      <c r="K240" s="35"/>
      <c r="O240" s="17"/>
      <c r="P240" s="86"/>
      <c r="Q240" s="78"/>
      <c r="R240" s="28"/>
    </row>
    <row r="241" spans="1:19">
      <c r="A241" s="6">
        <v>45490</v>
      </c>
      <c r="B241" t="s">
        <v>39</v>
      </c>
      <c r="C241" s="9">
        <v>30</v>
      </c>
      <c r="D241">
        <v>48.86</v>
      </c>
      <c r="E241" s="29">
        <v>52.5</v>
      </c>
      <c r="F241" s="50">
        <v>47.5</v>
      </c>
      <c r="G241" s="21">
        <f xml:space="preserve"> (E241 - F241)/(D241-F241)</f>
        <v>3.6764705882352957</v>
      </c>
      <c r="H241" s="6">
        <v>45908</v>
      </c>
      <c r="I241" s="16">
        <v>34.5</v>
      </c>
      <c r="J241" s="25">
        <f>I241/D241 -1</f>
        <v>-0.29390094146541135</v>
      </c>
      <c r="K241" s="36">
        <f>(C241*I241) - (C241*D241)</f>
        <v>-430.79999999999995</v>
      </c>
      <c r="L241" s="24">
        <f>H241-A241</f>
        <v>418</v>
      </c>
      <c r="M241" s="52">
        <f>IF(J241&gt;0,1,0)</f>
        <v>0</v>
      </c>
      <c r="N241" s="24">
        <f>IF(K241&gt;0, K241, 0)</f>
        <v>0</v>
      </c>
      <c r="O241" s="17">
        <f>IF(K241&lt;0, K241, 0)</f>
        <v>-430.79999999999995</v>
      </c>
      <c r="P241" s="86"/>
      <c r="Q241" s="78"/>
      <c r="R241" s="28"/>
    </row>
    <row r="242" spans="1:19">
      <c r="A242" s="6">
        <v>45490</v>
      </c>
      <c r="B242" t="s">
        <v>39</v>
      </c>
      <c r="C242" s="9">
        <v>4</v>
      </c>
      <c r="D242">
        <v>48.86</v>
      </c>
      <c r="E242" s="29">
        <v>52.5</v>
      </c>
      <c r="F242" s="50">
        <v>47.5</v>
      </c>
      <c r="G242" s="21">
        <f t="shared" si="109"/>
        <v>3.6764705882352957</v>
      </c>
      <c r="H242" s="6">
        <v>45770</v>
      </c>
      <c r="I242" s="16">
        <v>31</v>
      </c>
      <c r="J242" s="25">
        <f>I242/D242 -1</f>
        <v>-0.365534179287761</v>
      </c>
      <c r="K242" s="36">
        <f>(C242*I242) - (C242*D242)</f>
        <v>-71.44</v>
      </c>
      <c r="L242" s="24">
        <f>H242-A242</f>
        <v>280</v>
      </c>
      <c r="M242" s="52">
        <f>IF(J242&gt;0,1,0)</f>
        <v>0</v>
      </c>
      <c r="N242" s="24">
        <f>IF(K242&gt;0, K242, 0)</f>
        <v>0</v>
      </c>
      <c r="O242" s="17">
        <f>IF(K242&lt;0, K242, 0)</f>
        <v>-71.44</v>
      </c>
      <c r="P242" s="86"/>
      <c r="Q242" s="78"/>
      <c r="R242" s="28"/>
    </row>
    <row r="243" spans="1:19">
      <c r="A243" s="6">
        <v>45488</v>
      </c>
      <c r="B243" t="s">
        <v>728</v>
      </c>
      <c r="C243" s="9">
        <v>134</v>
      </c>
      <c r="D243">
        <v>36.19</v>
      </c>
      <c r="E243" s="29">
        <v>40</v>
      </c>
      <c r="F243" s="50">
        <v>35</v>
      </c>
      <c r="G243" s="21">
        <f t="shared" si="109"/>
        <v>4.2016806722689157</v>
      </c>
      <c r="J243" s="30"/>
      <c r="K243" s="35"/>
      <c r="L243" s="37"/>
      <c r="M243" s="58"/>
      <c r="N243" s="35"/>
      <c r="O243" s="85"/>
      <c r="P243" s="86"/>
      <c r="Q243" s="78"/>
      <c r="R243" s="28"/>
    </row>
    <row r="244" spans="1:19">
      <c r="A244" s="6">
        <v>45483</v>
      </c>
      <c r="B244" t="s">
        <v>92</v>
      </c>
      <c r="C244" s="9">
        <v>37</v>
      </c>
      <c r="D244">
        <v>125.82</v>
      </c>
      <c r="E244" s="29">
        <v>160</v>
      </c>
      <c r="F244" s="50">
        <v>130</v>
      </c>
      <c r="G244" s="21">
        <f xml:space="preserve"> (E244 - F244)/(D244-F244)</f>
        <v>-7.1770334928229547</v>
      </c>
      <c r="H244" s="6">
        <v>45905</v>
      </c>
      <c r="I244" s="29">
        <v>130</v>
      </c>
      <c r="J244" s="30">
        <f t="shared" ref="J244:J252" si="116">I244/D244 -1</f>
        <v>3.3222063264981783E-2</v>
      </c>
      <c r="K244" s="35">
        <f t="shared" ref="K244:K252" si="117">(C244*I244) - (C244*D244)</f>
        <v>154.65999999999985</v>
      </c>
      <c r="L244" s="21">
        <f t="shared" ref="L244:L252" si="118">H244-A244</f>
        <v>422</v>
      </c>
      <c r="M244" s="9">
        <f t="shared" ref="M244:M252" si="119">IF(J244&gt;0,1,0)</f>
        <v>1</v>
      </c>
      <c r="N244">
        <f t="shared" ref="N244:N252" si="120">IF(K244&gt;0, K244, 0)</f>
        <v>154.65999999999985</v>
      </c>
      <c r="O244" s="17">
        <f t="shared" ref="O244:O252" si="121">IF(K244&lt;0, K244, 0)</f>
        <v>0</v>
      </c>
      <c r="P244" s="86"/>
      <c r="Q244" s="78"/>
      <c r="R244" s="28"/>
    </row>
    <row r="245" spans="1:19">
      <c r="A245" s="6">
        <v>45483</v>
      </c>
      <c r="B245" t="s">
        <v>92</v>
      </c>
      <c r="C245" s="9">
        <v>17</v>
      </c>
      <c r="D245">
        <v>100</v>
      </c>
      <c r="E245" s="29">
        <v>160</v>
      </c>
      <c r="F245" s="50">
        <v>130</v>
      </c>
      <c r="G245" s="21">
        <f t="shared" si="109"/>
        <v>-1</v>
      </c>
      <c r="H245" s="6">
        <v>45826</v>
      </c>
      <c r="I245" s="29">
        <v>122.5</v>
      </c>
      <c r="J245" s="30">
        <f t="shared" si="116"/>
        <v>0.22500000000000009</v>
      </c>
      <c r="K245" s="35">
        <f t="shared" si="117"/>
        <v>382.5</v>
      </c>
      <c r="L245" s="21">
        <f t="shared" si="118"/>
        <v>343</v>
      </c>
      <c r="M245" s="9">
        <f t="shared" si="119"/>
        <v>1</v>
      </c>
      <c r="N245">
        <f t="shared" si="120"/>
        <v>382.5</v>
      </c>
      <c r="O245" s="17">
        <f t="shared" si="121"/>
        <v>0</v>
      </c>
      <c r="P245" s="86"/>
      <c r="Q245" s="78"/>
    </row>
    <row r="246" spans="1:19">
      <c r="A246" s="6">
        <v>45483</v>
      </c>
      <c r="B246" t="s">
        <v>439</v>
      </c>
      <c r="C246" s="9">
        <v>26</v>
      </c>
      <c r="D246">
        <v>170.23</v>
      </c>
      <c r="E246" s="29">
        <v>200</v>
      </c>
      <c r="F246" s="75">
        <v>175</v>
      </c>
      <c r="G246" s="21">
        <f xml:space="preserve"> (E246 - F246)/(D246-F246)</f>
        <v>-5.2410901467505129</v>
      </c>
      <c r="H246" s="6">
        <v>45936</v>
      </c>
      <c r="I246" s="29">
        <v>206.06</v>
      </c>
      <c r="J246" s="30">
        <f t="shared" si="116"/>
        <v>0.21047993890618577</v>
      </c>
      <c r="K246" s="35">
        <f t="shared" si="117"/>
        <v>931.58000000000084</v>
      </c>
      <c r="L246" s="21">
        <f t="shared" si="118"/>
        <v>453</v>
      </c>
      <c r="M246" s="9">
        <f t="shared" si="119"/>
        <v>1</v>
      </c>
      <c r="N246">
        <f t="shared" si="120"/>
        <v>931.58000000000084</v>
      </c>
      <c r="O246" s="17">
        <f t="shared" si="121"/>
        <v>0</v>
      </c>
      <c r="P246" s="86"/>
      <c r="Q246" s="78"/>
    </row>
    <row r="247" spans="1:19">
      <c r="A247" s="6">
        <v>45483</v>
      </c>
      <c r="B247" t="s">
        <v>439</v>
      </c>
      <c r="C247" s="9">
        <v>8</v>
      </c>
      <c r="D247">
        <v>118.9</v>
      </c>
      <c r="E247" s="29">
        <v>200</v>
      </c>
      <c r="F247" s="75">
        <v>175</v>
      </c>
      <c r="G247" s="21">
        <f xml:space="preserve"> (E247 - F247)/(D247-F247)</f>
        <v>-0.44563279857397509</v>
      </c>
      <c r="H247" s="6">
        <v>45820</v>
      </c>
      <c r="I247" s="29">
        <v>122</v>
      </c>
      <c r="J247" s="30">
        <f t="shared" si="116"/>
        <v>2.6072329688814122E-2</v>
      </c>
      <c r="K247" s="35">
        <f t="shared" si="117"/>
        <v>24.799999999999955</v>
      </c>
      <c r="L247" s="21">
        <f t="shared" si="118"/>
        <v>337</v>
      </c>
      <c r="M247" s="9">
        <f t="shared" si="119"/>
        <v>1</v>
      </c>
      <c r="N247">
        <f t="shared" si="120"/>
        <v>24.799999999999955</v>
      </c>
      <c r="O247" s="17">
        <f t="shared" si="121"/>
        <v>0</v>
      </c>
      <c r="P247" s="86"/>
      <c r="Q247" s="78"/>
    </row>
    <row r="248" spans="1:19">
      <c r="A248" s="6">
        <v>45483</v>
      </c>
      <c r="B248" t="s">
        <v>439</v>
      </c>
      <c r="C248" s="9">
        <v>7</v>
      </c>
      <c r="D248">
        <v>165.9</v>
      </c>
      <c r="E248" s="29">
        <v>200</v>
      </c>
      <c r="F248" s="75">
        <v>175</v>
      </c>
      <c r="G248" s="21">
        <f t="shared" si="109"/>
        <v>-2.747252747252749</v>
      </c>
      <c r="H248" s="6">
        <v>45806</v>
      </c>
      <c r="I248" s="16">
        <v>113</v>
      </c>
      <c r="J248" s="25">
        <f t="shared" si="116"/>
        <v>-0.31886678722121764</v>
      </c>
      <c r="K248" s="36">
        <f t="shared" si="117"/>
        <v>-370.29999999999995</v>
      </c>
      <c r="L248" s="24">
        <f t="shared" si="118"/>
        <v>323</v>
      </c>
      <c r="M248" s="52">
        <f t="shared" si="119"/>
        <v>0</v>
      </c>
      <c r="N248" s="24">
        <f t="shared" si="120"/>
        <v>0</v>
      </c>
      <c r="O248" s="17">
        <f t="shared" si="121"/>
        <v>-370.29999999999995</v>
      </c>
      <c r="P248" s="86"/>
      <c r="Q248" s="78"/>
    </row>
    <row r="249" spans="1:19">
      <c r="A249" s="6">
        <v>45481</v>
      </c>
      <c r="B249" t="s">
        <v>733</v>
      </c>
      <c r="C249" s="9">
        <v>27</v>
      </c>
      <c r="D249">
        <v>144.25</v>
      </c>
      <c r="E249" s="29">
        <v>180</v>
      </c>
      <c r="F249" s="50">
        <v>140</v>
      </c>
      <c r="G249" s="21">
        <f t="shared" si="109"/>
        <v>9.4117647058823533</v>
      </c>
      <c r="H249" s="6">
        <v>45938</v>
      </c>
      <c r="I249" s="29">
        <v>164.05</v>
      </c>
      <c r="J249" s="30">
        <f t="shared" si="116"/>
        <v>0.13726169844020797</v>
      </c>
      <c r="K249" s="35">
        <f t="shared" si="117"/>
        <v>534.60000000000036</v>
      </c>
      <c r="L249" s="21">
        <f t="shared" si="118"/>
        <v>457</v>
      </c>
      <c r="M249" s="9">
        <f t="shared" si="119"/>
        <v>1</v>
      </c>
      <c r="N249">
        <f t="shared" si="120"/>
        <v>534.60000000000036</v>
      </c>
      <c r="O249" s="17">
        <f t="shared" si="121"/>
        <v>0</v>
      </c>
      <c r="P249" s="86"/>
      <c r="Q249" s="78"/>
    </row>
    <row r="250" spans="1:19">
      <c r="A250" s="6">
        <v>45478</v>
      </c>
      <c r="B250" t="s">
        <v>286</v>
      </c>
      <c r="C250" s="9">
        <v>81</v>
      </c>
      <c r="D250">
        <v>18.149999999999999</v>
      </c>
      <c r="E250" s="29">
        <v>35</v>
      </c>
      <c r="F250" s="50">
        <v>25</v>
      </c>
      <c r="G250" s="21">
        <f t="shared" si="109"/>
        <v>-1.4598540145985399</v>
      </c>
      <c r="H250" s="6">
        <v>45898</v>
      </c>
      <c r="I250" s="16">
        <v>14</v>
      </c>
      <c r="J250" s="25">
        <f t="shared" si="116"/>
        <v>-0.22865013774104681</v>
      </c>
      <c r="K250" s="36">
        <f t="shared" si="117"/>
        <v>-336.14999999999986</v>
      </c>
      <c r="L250" s="24">
        <f t="shared" si="118"/>
        <v>420</v>
      </c>
      <c r="M250" s="52">
        <f t="shared" si="119"/>
        <v>0</v>
      </c>
      <c r="N250" s="24">
        <f t="shared" si="120"/>
        <v>0</v>
      </c>
      <c r="O250" s="17">
        <f t="shared" si="121"/>
        <v>-336.14999999999986</v>
      </c>
      <c r="P250" s="86"/>
      <c r="Q250" s="78"/>
      <c r="R250" s="28"/>
    </row>
    <row r="251" spans="1:19">
      <c r="A251" s="6">
        <v>45471</v>
      </c>
      <c r="B251" t="s">
        <v>611</v>
      </c>
      <c r="C251" s="9">
        <v>3</v>
      </c>
      <c r="D251">
        <v>23.62</v>
      </c>
      <c r="E251" s="29">
        <v>160</v>
      </c>
      <c r="F251" s="50">
        <v>150</v>
      </c>
      <c r="G251" s="21">
        <f t="shared" ref="G251:G272" si="122" xml:space="preserve"> (E251 - F251)/(D251-F251)</f>
        <v>-7.9126444057604051E-2</v>
      </c>
      <c r="H251" s="6">
        <v>45702</v>
      </c>
      <c r="I251" s="29">
        <v>161.41999999999999</v>
      </c>
      <c r="J251" s="30">
        <f t="shared" si="116"/>
        <v>5.834038950042336</v>
      </c>
      <c r="K251" s="35">
        <f t="shared" si="117"/>
        <v>413.4</v>
      </c>
      <c r="L251" s="21">
        <f t="shared" si="118"/>
        <v>231</v>
      </c>
      <c r="M251" s="9">
        <f t="shared" si="119"/>
        <v>1</v>
      </c>
      <c r="N251">
        <f t="shared" si="120"/>
        <v>413.4</v>
      </c>
      <c r="O251" s="17">
        <f t="shared" si="121"/>
        <v>0</v>
      </c>
      <c r="P251" s="86"/>
      <c r="Q251" s="78"/>
    </row>
    <row r="252" spans="1:19">
      <c r="A252" s="6">
        <v>45379</v>
      </c>
      <c r="B252" t="s">
        <v>205</v>
      </c>
      <c r="C252" s="9">
        <v>7</v>
      </c>
      <c r="D252">
        <v>522</v>
      </c>
      <c r="E252" s="29">
        <v>550</v>
      </c>
      <c r="F252" s="50">
        <v>500</v>
      </c>
      <c r="G252" s="21">
        <f t="shared" si="122"/>
        <v>2.2727272727272729</v>
      </c>
      <c r="H252" s="6">
        <v>45882</v>
      </c>
      <c r="I252" s="29">
        <v>532.5</v>
      </c>
      <c r="J252" s="30">
        <f t="shared" si="116"/>
        <v>2.0114942528735691E-2</v>
      </c>
      <c r="K252" s="35">
        <f t="shared" si="117"/>
        <v>73.5</v>
      </c>
      <c r="L252" s="21">
        <f t="shared" si="118"/>
        <v>503</v>
      </c>
      <c r="M252" s="9">
        <f t="shared" si="119"/>
        <v>1</v>
      </c>
      <c r="N252">
        <f t="shared" si="120"/>
        <v>73.5</v>
      </c>
      <c r="O252" s="17">
        <f t="shared" si="121"/>
        <v>0</v>
      </c>
      <c r="P252" s="86"/>
      <c r="Q252" s="78"/>
      <c r="R252" s="28"/>
      <c r="S252" s="28"/>
    </row>
    <row r="253" spans="1:19">
      <c r="A253" s="6">
        <v>45377</v>
      </c>
      <c r="B253" t="s">
        <v>464</v>
      </c>
      <c r="C253" s="9">
        <v>24</v>
      </c>
      <c r="D253">
        <v>193.07</v>
      </c>
      <c r="E253" s="29">
        <v>325</v>
      </c>
      <c r="F253" s="50">
        <v>260</v>
      </c>
      <c r="G253" s="21">
        <f xml:space="preserve"> (E253 - F253)/(D253-F253)</f>
        <v>-0.97116390258479002</v>
      </c>
      <c r="H253" s="6">
        <v>45995</v>
      </c>
      <c r="I253" s="29">
        <v>201</v>
      </c>
      <c r="J253" s="30">
        <f>I253/D253 -1</f>
        <v>4.1073185891127517E-2</v>
      </c>
      <c r="K253" s="35">
        <f>(C253*I253) - (C253*D253)</f>
        <v>190.31999999999971</v>
      </c>
      <c r="L253" s="21">
        <f>H253-A253</f>
        <v>618</v>
      </c>
      <c r="M253" s="9">
        <f>IF(J253&gt;0,1,0)</f>
        <v>1</v>
      </c>
      <c r="N253">
        <f>IF(K253&gt;0, K253, 0)</f>
        <v>190.31999999999971</v>
      </c>
      <c r="O253" s="17">
        <f>IF(K253&lt;0, K253, 0)</f>
        <v>0</v>
      </c>
      <c r="P253" s="86"/>
      <c r="Q253" s="78"/>
      <c r="R253" s="28"/>
      <c r="S253" s="28"/>
    </row>
    <row r="254" spans="1:19">
      <c r="A254" s="6">
        <v>45377</v>
      </c>
      <c r="B254" t="s">
        <v>464</v>
      </c>
      <c r="C254" s="9">
        <v>5</v>
      </c>
      <c r="D254">
        <v>270.69</v>
      </c>
      <c r="E254" s="29">
        <v>325</v>
      </c>
      <c r="F254" s="50">
        <v>260</v>
      </c>
      <c r="G254" s="21">
        <f t="shared" si="122"/>
        <v>6.0804490177736215</v>
      </c>
      <c r="H254" s="6">
        <v>45908</v>
      </c>
      <c r="I254" s="16">
        <v>169.5</v>
      </c>
      <c r="J254" s="25">
        <f>I254/D254 -1</f>
        <v>-0.37382245372935829</v>
      </c>
      <c r="K254" s="36">
        <f>(C254*I254) - (C254*D254)</f>
        <v>-505.95000000000005</v>
      </c>
      <c r="L254" s="24">
        <f>H254-A254</f>
        <v>531</v>
      </c>
      <c r="M254" s="52">
        <f>IF(J254&gt;0,1,0)</f>
        <v>0</v>
      </c>
      <c r="N254" s="24">
        <f>IF(K254&gt;0, K254, 0)</f>
        <v>0</v>
      </c>
      <c r="O254" s="17">
        <f>IF(K254&lt;0, K254, 0)</f>
        <v>-505.95000000000005</v>
      </c>
      <c r="P254" s="86"/>
      <c r="Q254" s="78"/>
      <c r="R254" s="28"/>
      <c r="S254" s="28"/>
    </row>
    <row r="255" spans="1:19">
      <c r="A255" s="6">
        <v>45859</v>
      </c>
      <c r="B255" t="s">
        <v>464</v>
      </c>
      <c r="C255" s="9">
        <v>7</v>
      </c>
      <c r="D255">
        <v>166</v>
      </c>
      <c r="E255" s="29">
        <v>325</v>
      </c>
      <c r="F255" s="50">
        <v>260</v>
      </c>
      <c r="G255" s="21">
        <f t="shared" si="122"/>
        <v>-0.69148936170212771</v>
      </c>
      <c r="H255" s="6">
        <v>45866</v>
      </c>
      <c r="I255" s="29">
        <v>169.5</v>
      </c>
      <c r="J255" s="30">
        <f>I255/D255 -1</f>
        <v>2.108433734939763E-2</v>
      </c>
      <c r="K255" s="35">
        <f>(C255*I255) - (C255*D255)</f>
        <v>24.5</v>
      </c>
      <c r="L255" s="21">
        <f>H255-A255</f>
        <v>7</v>
      </c>
      <c r="M255" s="9">
        <f>IF(J255&gt;0,1,0)</f>
        <v>1</v>
      </c>
      <c r="N255">
        <f>IF(K255&gt;0, K255, 0)</f>
        <v>24.5</v>
      </c>
      <c r="O255" s="17">
        <f>IF(K255&lt;0, K255, 0)</f>
        <v>0</v>
      </c>
      <c r="P255" s="86"/>
      <c r="Q255" s="78"/>
      <c r="R255" s="28"/>
    </row>
    <row r="256" spans="1:19">
      <c r="A256" s="6">
        <v>45376</v>
      </c>
      <c r="B256" t="s">
        <v>719</v>
      </c>
      <c r="C256" s="9">
        <v>184</v>
      </c>
      <c r="D256">
        <v>22.56</v>
      </c>
      <c r="E256" s="29">
        <v>35</v>
      </c>
      <c r="F256" s="50">
        <v>28</v>
      </c>
      <c r="G256" s="21">
        <f t="shared" si="122"/>
        <v>-1.2867647058823526</v>
      </c>
      <c r="H256" s="6"/>
      <c r="I256" s="29"/>
      <c r="J256" s="30"/>
      <c r="K256" s="35"/>
      <c r="P256" s="86"/>
      <c r="Q256" s="78"/>
      <c r="R256" s="28"/>
    </row>
    <row r="257" spans="1:18">
      <c r="A257" s="6">
        <v>45376</v>
      </c>
      <c r="B257" t="s">
        <v>719</v>
      </c>
      <c r="C257" s="9">
        <v>8</v>
      </c>
      <c r="D257">
        <v>20.74</v>
      </c>
      <c r="E257" s="29">
        <v>35</v>
      </c>
      <c r="F257" s="50">
        <v>28</v>
      </c>
      <c r="G257" s="21">
        <f t="shared" si="122"/>
        <v>-0.96418732782369121</v>
      </c>
      <c r="H257" s="6">
        <v>45848</v>
      </c>
      <c r="I257" s="29">
        <v>21.5</v>
      </c>
      <c r="J257" s="30">
        <f>I257/D257 -1</f>
        <v>3.6644165863066513E-2</v>
      </c>
      <c r="K257" s="35">
        <f>(C257*I257) - (C257*D257)</f>
        <v>6.0800000000000125</v>
      </c>
      <c r="L257" s="21">
        <f>H257-A257</f>
        <v>472</v>
      </c>
      <c r="M257" s="9">
        <f>IF(J257&gt;0,1,0)</f>
        <v>1</v>
      </c>
      <c r="N257">
        <f>IF(K257&gt;0, K257, 0)</f>
        <v>6.0800000000000125</v>
      </c>
      <c r="O257" s="17">
        <f>IF(K257&lt;0, K257, 0)</f>
        <v>0</v>
      </c>
      <c r="P257" s="86"/>
      <c r="Q257" s="78"/>
    </row>
    <row r="258" spans="1:18">
      <c r="A258" s="6">
        <v>45373</v>
      </c>
      <c r="B258" s="22" t="s">
        <v>519</v>
      </c>
      <c r="C258" s="57">
        <v>207</v>
      </c>
      <c r="D258">
        <v>13.24</v>
      </c>
      <c r="E258" s="29">
        <v>14</v>
      </c>
      <c r="F258" s="50">
        <v>9</v>
      </c>
      <c r="G258" s="21">
        <f t="shared" si="122"/>
        <v>1.1792452830188678</v>
      </c>
      <c r="H258" s="6">
        <v>45898</v>
      </c>
      <c r="I258" s="16">
        <v>11.45</v>
      </c>
      <c r="J258" s="25">
        <f>I258/D258 -1</f>
        <v>-0.13519637462235656</v>
      </c>
      <c r="K258" s="36">
        <f>(C258*I258) - (C258*D258)</f>
        <v>-370.5300000000002</v>
      </c>
      <c r="L258" s="24">
        <f>H258-A258</f>
        <v>525</v>
      </c>
      <c r="M258" s="52">
        <f>IF(J258&gt;0,1,0)</f>
        <v>0</v>
      </c>
      <c r="N258" s="24">
        <f>IF(K258&gt;0, K258, 0)</f>
        <v>0</v>
      </c>
      <c r="O258" s="17">
        <f>IF(K258&lt;0, K258, 0)</f>
        <v>-370.5300000000002</v>
      </c>
      <c r="P258" s="86"/>
      <c r="Q258" s="78"/>
      <c r="R258" s="28"/>
    </row>
    <row r="259" spans="1:18">
      <c r="A259" s="6">
        <v>45337</v>
      </c>
      <c r="B259" s="61" t="s">
        <v>745</v>
      </c>
      <c r="C259" s="9">
        <v>47</v>
      </c>
      <c r="D259">
        <v>20.079999999999998</v>
      </c>
      <c r="E259" s="29">
        <v>30</v>
      </c>
      <c r="F259" s="50">
        <v>25</v>
      </c>
      <c r="G259" s="21">
        <f t="shared" si="122"/>
        <v>-1.0162601626016257</v>
      </c>
      <c r="J259" s="30"/>
      <c r="K259" s="35"/>
      <c r="L259" s="37"/>
      <c r="M259" s="58"/>
      <c r="N259" s="35"/>
      <c r="O259" s="85"/>
      <c r="P259" s="86"/>
      <c r="Q259" s="78"/>
      <c r="R259" s="28"/>
    </row>
    <row r="260" spans="1:18">
      <c r="A260" s="6">
        <v>45279</v>
      </c>
      <c r="B260" t="s">
        <v>18</v>
      </c>
      <c r="C260" s="9">
        <v>191</v>
      </c>
      <c r="D260">
        <v>29.69</v>
      </c>
      <c r="E260" s="29">
        <v>40</v>
      </c>
      <c r="F260" s="50">
        <v>36</v>
      </c>
      <c r="G260" s="21">
        <f t="shared" si="122"/>
        <v>-0.63391442155309041</v>
      </c>
      <c r="J260" s="30"/>
      <c r="K260" s="35"/>
      <c r="L260" s="37"/>
      <c r="M260" s="58"/>
      <c r="N260" s="35"/>
      <c r="O260" s="85"/>
      <c r="P260" s="86"/>
      <c r="Q260" s="78"/>
      <c r="R260" s="28"/>
    </row>
    <row r="261" spans="1:18">
      <c r="A261" s="6">
        <v>45279</v>
      </c>
      <c r="B261" t="s">
        <v>18</v>
      </c>
      <c r="C261" s="9">
        <v>35</v>
      </c>
      <c r="D261">
        <v>34.46</v>
      </c>
      <c r="E261" s="29">
        <v>40</v>
      </c>
      <c r="F261" s="50">
        <v>36</v>
      </c>
      <c r="G261" s="21">
        <f t="shared" si="122"/>
        <v>-2.5974025974025987</v>
      </c>
      <c r="H261" s="6">
        <v>45828</v>
      </c>
      <c r="I261" s="29">
        <v>36.25</v>
      </c>
      <c r="J261" s="30">
        <f>I261/D261 -1</f>
        <v>5.1944283226929677E-2</v>
      </c>
      <c r="K261" s="35">
        <f>(C261*I261) - (C261*D261)</f>
        <v>62.649999999999864</v>
      </c>
      <c r="L261" s="21">
        <f>H261-A261</f>
        <v>549</v>
      </c>
      <c r="M261" s="9">
        <f>IF(J261&gt;0,1,0)</f>
        <v>1</v>
      </c>
      <c r="N261">
        <f>IF(K261&gt;0, K261, 0)</f>
        <v>62.649999999999864</v>
      </c>
      <c r="O261" s="17">
        <f>IF(K261&lt;0, K261, 0)</f>
        <v>0</v>
      </c>
    </row>
    <row r="262" spans="1:18">
      <c r="A262" s="6">
        <v>45244</v>
      </c>
      <c r="B262" t="s">
        <v>677</v>
      </c>
      <c r="C262" s="9">
        <v>5</v>
      </c>
      <c r="D262">
        <v>77.569999999999993</v>
      </c>
      <c r="E262" s="29">
        <v>70</v>
      </c>
      <c r="F262" s="50">
        <v>45</v>
      </c>
      <c r="G262" s="21">
        <f t="shared" si="122"/>
        <v>0.76757752533005852</v>
      </c>
      <c r="H262" s="6">
        <v>45873</v>
      </c>
      <c r="I262" s="16">
        <v>32.4</v>
      </c>
      <c r="J262" s="25">
        <f>I262/D262 -1</f>
        <v>-0.58231274977439729</v>
      </c>
      <c r="K262" s="36">
        <f>(C262*I262) - (C262*D262)</f>
        <v>-225.84999999999997</v>
      </c>
      <c r="L262" s="24">
        <f>H262-A262</f>
        <v>629</v>
      </c>
      <c r="M262" s="52">
        <f>IF(J262&gt;0,1,0)</f>
        <v>0</v>
      </c>
      <c r="N262" s="24">
        <f>IF(K262&gt;0, K262, 0)</f>
        <v>0</v>
      </c>
      <c r="O262" s="17">
        <f>IF(K262&lt;0, K262, 0)</f>
        <v>-225.84999999999997</v>
      </c>
    </row>
    <row r="263" spans="1:18">
      <c r="A263" s="6">
        <v>45244</v>
      </c>
      <c r="B263" t="s">
        <v>677</v>
      </c>
      <c r="C263" s="9">
        <v>1</v>
      </c>
      <c r="D263">
        <v>178.83</v>
      </c>
      <c r="E263" s="29">
        <v>70</v>
      </c>
      <c r="F263" s="50">
        <v>45</v>
      </c>
      <c r="G263" s="21">
        <f t="shared" si="122"/>
        <v>0.18680415452439661</v>
      </c>
      <c r="H263" s="6">
        <v>45785</v>
      </c>
      <c r="I263" s="16">
        <v>64</v>
      </c>
      <c r="J263" s="25">
        <f>I263/D263 -1</f>
        <v>-0.64211821282782533</v>
      </c>
      <c r="K263" s="36">
        <f>(C263*I263) - (C263*D263)</f>
        <v>-114.83000000000001</v>
      </c>
      <c r="L263" s="24">
        <f>H263-A263</f>
        <v>541</v>
      </c>
      <c r="M263" s="52">
        <f>IF(J263&gt;0,1,0)</f>
        <v>0</v>
      </c>
      <c r="N263" s="24">
        <f>IF(K263&gt;0, K263, 0)</f>
        <v>0</v>
      </c>
      <c r="O263" s="17">
        <f>IF(K263&lt;0, K263, 0)</f>
        <v>-114.83000000000001</v>
      </c>
      <c r="R263" s="28"/>
    </row>
    <row r="264" spans="1:18">
      <c r="A264" s="6">
        <v>45216</v>
      </c>
      <c r="B264" t="s">
        <v>364</v>
      </c>
      <c r="C264" s="9">
        <v>1370</v>
      </c>
      <c r="D264">
        <v>3.79</v>
      </c>
      <c r="E264" s="29">
        <v>5</v>
      </c>
      <c r="F264" s="50">
        <v>1.5</v>
      </c>
      <c r="G264" s="21">
        <f t="shared" si="122"/>
        <v>1.5283842794759825</v>
      </c>
      <c r="H264" s="6"/>
      <c r="I264" s="16"/>
      <c r="J264" s="25"/>
      <c r="K264" s="36"/>
      <c r="L264" s="24"/>
      <c r="M264" s="52"/>
      <c r="N264" s="24"/>
      <c r="O264" s="17"/>
      <c r="R264" s="28"/>
    </row>
    <row r="265" spans="1:18">
      <c r="A265" s="6">
        <v>45162</v>
      </c>
      <c r="B265" s="22" t="s">
        <v>533</v>
      </c>
      <c r="C265" s="57">
        <v>79</v>
      </c>
      <c r="D265">
        <v>93.57</v>
      </c>
      <c r="E265" s="29">
        <v>100</v>
      </c>
      <c r="F265" s="50">
        <v>85</v>
      </c>
      <c r="G265" s="21">
        <f xml:space="preserve"> (E265 - F265)/(D265-F265)</f>
        <v>1.7502917152858823</v>
      </c>
      <c r="H265" s="6"/>
      <c r="I265" s="16"/>
      <c r="J265" s="25"/>
      <c r="K265" s="36"/>
      <c r="L265" s="24"/>
      <c r="M265" s="52"/>
      <c r="N265" s="24"/>
      <c r="O265" s="17"/>
      <c r="R265" s="28"/>
    </row>
    <row r="266" spans="1:18">
      <c r="A266" s="6">
        <v>45484</v>
      </c>
      <c r="B266" s="22" t="s">
        <v>533</v>
      </c>
      <c r="C266" s="57">
        <v>35</v>
      </c>
      <c r="D266">
        <v>29.5</v>
      </c>
      <c r="E266" s="29">
        <v>100</v>
      </c>
      <c r="F266" s="50">
        <v>85</v>
      </c>
      <c r="G266" s="21">
        <f t="shared" si="122"/>
        <v>-0.27027027027027029</v>
      </c>
      <c r="H266" s="6">
        <v>46017</v>
      </c>
      <c r="I266" s="29">
        <v>30.75</v>
      </c>
      <c r="J266" s="30">
        <f>I266/D266 -1</f>
        <v>4.2372881355932313E-2</v>
      </c>
      <c r="K266" s="35">
        <f>(C266*I266) - (C266*D266)</f>
        <v>43.75</v>
      </c>
      <c r="L266" s="21">
        <f>H266-A266</f>
        <v>533</v>
      </c>
      <c r="M266" s="9">
        <f>IF(J266&gt;0,1,0)</f>
        <v>1</v>
      </c>
      <c r="N266">
        <f>IF(K266&gt;0, K266, 0)</f>
        <v>43.75</v>
      </c>
      <c r="O266" s="17">
        <f>IF(K266&lt;0, K266, 0)</f>
        <v>0</v>
      </c>
      <c r="R266" s="28"/>
    </row>
    <row r="267" spans="1:18">
      <c r="A267" s="6">
        <v>45162</v>
      </c>
      <c r="B267" s="22" t="s">
        <v>533</v>
      </c>
      <c r="C267" s="57">
        <v>5</v>
      </c>
      <c r="D267">
        <v>66.23</v>
      </c>
      <c r="E267" s="29">
        <v>100</v>
      </c>
      <c r="F267" s="50">
        <v>85</v>
      </c>
      <c r="G267" s="21">
        <f t="shared" si="122"/>
        <v>-0.79914757591901986</v>
      </c>
      <c r="H267" s="6">
        <v>45847</v>
      </c>
      <c r="I267" s="16">
        <v>27.5</v>
      </c>
      <c r="J267" s="25">
        <f>I267/D267 -1</f>
        <v>-0.58478031103729422</v>
      </c>
      <c r="K267" s="36">
        <f>(C267*I267) - (C267*D267)</f>
        <v>-193.65000000000003</v>
      </c>
      <c r="L267" s="24">
        <f>H267-A267</f>
        <v>685</v>
      </c>
      <c r="M267" s="52">
        <f>IF(J267&gt;0,1,0)</f>
        <v>0</v>
      </c>
      <c r="N267" s="24">
        <f>IF(K267&gt;0, K267, 0)</f>
        <v>0</v>
      </c>
      <c r="O267" s="17">
        <f>IF(K267&lt;0, K267, 0)</f>
        <v>-193.65000000000003</v>
      </c>
      <c r="R267" s="28"/>
    </row>
    <row r="268" spans="1:18">
      <c r="A268" s="6">
        <v>45159</v>
      </c>
      <c r="B268" s="22" t="s">
        <v>311</v>
      </c>
      <c r="C268" s="57">
        <v>81</v>
      </c>
      <c r="D268">
        <v>9.09</v>
      </c>
      <c r="E268" s="29">
        <v>3</v>
      </c>
      <c r="F268" s="50">
        <v>0.8</v>
      </c>
      <c r="G268" s="21">
        <f t="shared" si="122"/>
        <v>0.2653799758745477</v>
      </c>
      <c r="H268" s="6">
        <v>45932</v>
      </c>
      <c r="I268" s="16">
        <v>7.9</v>
      </c>
      <c r="J268" s="25">
        <f>I268/D268 -1</f>
        <v>-0.13091309130913087</v>
      </c>
      <c r="K268" s="36">
        <f>(C268*I268) - (C268*D268)</f>
        <v>-96.389999999999986</v>
      </c>
      <c r="L268" s="24">
        <f>H268-A268</f>
        <v>773</v>
      </c>
      <c r="M268" s="52">
        <f>IF(J268&gt;0,1,0)</f>
        <v>0</v>
      </c>
      <c r="N268" s="24">
        <f>IF(K268&gt;0, K268, 0)</f>
        <v>0</v>
      </c>
      <c r="O268" s="17">
        <f>IF(K268&lt;0, K268, 0)</f>
        <v>-96.389999999999986</v>
      </c>
    </row>
    <row r="269" spans="1:18">
      <c r="A269" s="6">
        <v>45159</v>
      </c>
      <c r="B269" s="22" t="s">
        <v>311</v>
      </c>
      <c r="C269" s="57">
        <v>20</v>
      </c>
      <c r="D269">
        <v>9.09</v>
      </c>
      <c r="E269" s="29">
        <v>3</v>
      </c>
      <c r="F269" s="50">
        <v>0.8</v>
      </c>
      <c r="G269" s="21">
        <f t="shared" si="122"/>
        <v>0.2653799758745477</v>
      </c>
      <c r="H269" s="6">
        <v>45770</v>
      </c>
      <c r="I269" s="16">
        <v>4.03</v>
      </c>
      <c r="J269" s="25">
        <f>I269/D269 -1</f>
        <v>-0.55665566556655666</v>
      </c>
      <c r="K269" s="36">
        <f>(C269*I269) - (C269*D269)</f>
        <v>-101.2</v>
      </c>
      <c r="L269" s="24">
        <f>H269-A269</f>
        <v>611</v>
      </c>
      <c r="M269" s="52">
        <f>IF(J269&gt;0,1,0)</f>
        <v>0</v>
      </c>
      <c r="N269" s="24">
        <f>IF(K269&gt;0, K269, 0)</f>
        <v>0</v>
      </c>
      <c r="O269" s="17">
        <f>IF(K269&lt;0, K269, 0)</f>
        <v>-101.2</v>
      </c>
    </row>
    <row r="270" spans="1:18">
      <c r="A270" s="6">
        <v>44965</v>
      </c>
      <c r="B270" s="1" t="s">
        <v>447</v>
      </c>
      <c r="C270" s="9">
        <v>145</v>
      </c>
      <c r="D270">
        <v>228.51</v>
      </c>
      <c r="E270" s="29">
        <v>250</v>
      </c>
      <c r="F270" s="50">
        <v>200</v>
      </c>
      <c r="G270" s="21">
        <f t="shared" si="122"/>
        <v>1.7537706068046306</v>
      </c>
      <c r="H270" s="6"/>
      <c r="I270" s="16"/>
      <c r="J270" s="25"/>
      <c r="K270" s="36"/>
      <c r="L270" s="24"/>
      <c r="M270" s="52"/>
      <c r="N270" s="24"/>
      <c r="O270" s="17"/>
    </row>
    <row r="271" spans="1:18">
      <c r="A271" s="6">
        <v>45467</v>
      </c>
      <c r="B271" s="1" t="s">
        <v>447</v>
      </c>
      <c r="C271" s="9">
        <v>3</v>
      </c>
      <c r="D271">
        <v>108.5</v>
      </c>
      <c r="E271" s="29">
        <v>250</v>
      </c>
      <c r="F271" s="50">
        <v>200</v>
      </c>
      <c r="G271" s="21">
        <f t="shared" si="122"/>
        <v>-0.54644808743169404</v>
      </c>
      <c r="H271" s="6">
        <v>45866</v>
      </c>
      <c r="I271" s="16">
        <v>35</v>
      </c>
      <c r="J271" s="25">
        <f>I271/D271 -1</f>
        <v>-0.67741935483870974</v>
      </c>
      <c r="K271" s="36">
        <f>(C271*I271) - (C271*D271)</f>
        <v>-220.5</v>
      </c>
      <c r="L271" s="24">
        <f>H271-A271</f>
        <v>399</v>
      </c>
      <c r="M271" s="52">
        <f>IF(J271&gt;0,1,0)</f>
        <v>0</v>
      </c>
      <c r="N271" s="24">
        <f>IF(K271&gt;0, K271, 0)</f>
        <v>0</v>
      </c>
      <c r="O271" s="17">
        <f>IF(K271&lt;0, K271, 0)</f>
        <v>-220.5</v>
      </c>
    </row>
    <row r="272" spans="1:18">
      <c r="A272" s="6">
        <v>44965</v>
      </c>
      <c r="B272" s="1" t="s">
        <v>447</v>
      </c>
      <c r="C272" s="9">
        <v>1</v>
      </c>
      <c r="D272">
        <v>235.01</v>
      </c>
      <c r="E272" s="29">
        <v>250</v>
      </c>
      <c r="F272" s="50">
        <v>200</v>
      </c>
      <c r="G272" s="21">
        <f t="shared" si="122"/>
        <v>1.4281633818908888</v>
      </c>
      <c r="H272" s="6">
        <v>45853</v>
      </c>
      <c r="I272" s="16">
        <v>42</v>
      </c>
      <c r="J272" s="25">
        <f>I272/D272 -1</f>
        <v>-0.82128420067231178</v>
      </c>
      <c r="K272" s="36">
        <f>(C272*I272) - (C272*D272)</f>
        <v>-193.01</v>
      </c>
      <c r="L272" s="24">
        <f>H272-A272</f>
        <v>888</v>
      </c>
      <c r="M272" s="52">
        <f>IF(J272&gt;0,1,0)</f>
        <v>0</v>
      </c>
      <c r="N272" s="24">
        <f>IF(K272&gt;0, K272, 0)</f>
        <v>0</v>
      </c>
      <c r="O272" s="17">
        <f>IF(K272&lt;0, K272, 0)</f>
        <v>-193.01</v>
      </c>
      <c r="R272">
        <v>0</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E6ABC-EDCA-4914-8436-8C72EC928752}">
  <dimension ref="A1:T416"/>
  <sheetViews>
    <sheetView topLeftCell="A66" zoomScale="85" zoomScaleNormal="85" workbookViewId="0">
      <selection activeCell="B92" sqref="B92"/>
    </sheetView>
  </sheetViews>
  <sheetFormatPr defaultRowHeight="15"/>
  <cols>
    <col min="1" max="1" width="10.7109375" bestFit="1" customWidth="1"/>
    <col min="2" max="2" width="9.7109375" bestFit="1" customWidth="1"/>
    <col min="6" max="6" width="10.140625" bestFit="1" customWidth="1"/>
    <col min="7" max="7" width="9.28515625" style="20" customWidth="1"/>
    <col min="8" max="8" width="11.7109375" customWidth="1"/>
    <col min="10" max="10" width="9.140625" style="7"/>
    <col min="11" max="11" width="10.85546875" style="21" bestFit="1" customWidth="1"/>
    <col min="12" max="12" width="9" style="21" customWidth="1"/>
    <col min="13" max="13" width="4.42578125" style="9" bestFit="1" customWidth="1"/>
    <col min="14" max="14" width="10.28515625" customWidth="1"/>
    <col min="15" max="15" width="13.42578125" bestFit="1" customWidth="1"/>
    <col min="16" max="16" width="5" bestFit="1" customWidth="1"/>
    <col min="17" max="17" width="8" bestFit="1" customWidth="1"/>
  </cols>
  <sheetData>
    <row r="1" spans="1:19">
      <c r="A1" s="6"/>
      <c r="B1" s="16">
        <v>-6181</v>
      </c>
      <c r="J1" s="7" t="s">
        <v>318</v>
      </c>
      <c r="K1" s="21" t="s">
        <v>320</v>
      </c>
      <c r="L1" s="21" t="s">
        <v>321</v>
      </c>
      <c r="M1" s="9" t="s">
        <v>363</v>
      </c>
      <c r="N1" t="s">
        <v>367</v>
      </c>
      <c r="O1" t="s">
        <v>319</v>
      </c>
      <c r="R1" s="16"/>
    </row>
    <row r="2" spans="1:19">
      <c r="D2" t="s">
        <v>7</v>
      </c>
      <c r="E2" t="s">
        <v>78</v>
      </c>
      <c r="F2" t="s">
        <v>77</v>
      </c>
      <c r="G2" s="20" t="s">
        <v>79</v>
      </c>
      <c r="I2" t="s">
        <v>9</v>
      </c>
      <c r="J2" s="30">
        <f>AVERAGE(J3:J416)</f>
        <v>3.8464622154107786E-2</v>
      </c>
      <c r="K2" s="35">
        <f>AVERAGE(K3:K416)</f>
        <v>12.324811320754705</v>
      </c>
      <c r="L2" s="37">
        <f>AVERAGE(L3:L416)</f>
        <v>60.741239892183287</v>
      </c>
      <c r="M2" s="58">
        <f>SUM(M3:M416)/416</f>
        <v>0.67548076923076927</v>
      </c>
      <c r="N2" s="35">
        <f>SUM(K3:K416) - P2</f>
        <v>234.44499999999516</v>
      </c>
      <c r="O2" s="85">
        <f>AVERAGE(N3:N416)/(AVERAGE(O3:O416) * -1)</f>
        <v>1.2382836011123646</v>
      </c>
      <c r="P2" s="86">
        <f>SUM(S3:S416)</f>
        <v>4338.0600000000004</v>
      </c>
      <c r="Q2" s="78">
        <f>N2 * 0.1</f>
        <v>23.444499999999518</v>
      </c>
      <c r="R2">
        <f>(Q2/8)*100</f>
        <v>293.05624999999395</v>
      </c>
    </row>
    <row r="3" spans="1:19">
      <c r="J3" s="30"/>
      <c r="K3" s="35"/>
      <c r="L3" s="37"/>
      <c r="M3" s="58"/>
      <c r="N3" s="38"/>
      <c r="O3" s="85"/>
      <c r="P3" s="86"/>
      <c r="Q3" s="78"/>
    </row>
    <row r="4" spans="1:19">
      <c r="A4" s="6">
        <v>45652</v>
      </c>
      <c r="B4" t="s">
        <v>847</v>
      </c>
      <c r="C4" s="9">
        <v>11</v>
      </c>
      <c r="D4">
        <v>56.51</v>
      </c>
      <c r="E4" s="29">
        <v>65</v>
      </c>
      <c r="F4" s="50">
        <v>55</v>
      </c>
      <c r="G4" s="21">
        <f t="shared" ref="G4:G34" si="0" xml:space="preserve"> (E4 - F4)/(D4-F4)</f>
        <v>6.6225165562913997</v>
      </c>
      <c r="J4" s="30"/>
      <c r="K4" s="35"/>
      <c r="L4" s="37"/>
      <c r="M4" s="58"/>
      <c r="N4" s="38"/>
      <c r="O4" s="85"/>
      <c r="P4" s="86"/>
      <c r="Q4" s="78"/>
      <c r="S4" s="16">
        <v>437.19</v>
      </c>
    </row>
    <row r="5" spans="1:19">
      <c r="A5" s="6">
        <v>45642</v>
      </c>
      <c r="B5" t="s">
        <v>227</v>
      </c>
      <c r="C5" s="9">
        <v>7</v>
      </c>
      <c r="D5">
        <v>466</v>
      </c>
      <c r="E5" s="29">
        <v>550</v>
      </c>
      <c r="F5" s="50">
        <v>450</v>
      </c>
      <c r="G5" s="21">
        <f t="shared" si="0"/>
        <v>6.25</v>
      </c>
      <c r="J5" s="30"/>
      <c r="K5" s="35"/>
      <c r="L5" s="37"/>
      <c r="M5" s="58"/>
      <c r="N5" s="38"/>
      <c r="O5" s="85"/>
      <c r="P5" s="86"/>
      <c r="Q5" s="78"/>
      <c r="R5" s="28">
        <v>371.53</v>
      </c>
      <c r="S5" s="28">
        <v>-213.39</v>
      </c>
    </row>
    <row r="6" spans="1:19">
      <c r="A6" s="6">
        <v>45638</v>
      </c>
      <c r="B6" t="s">
        <v>231</v>
      </c>
      <c r="C6" s="9">
        <v>8</v>
      </c>
      <c r="D6">
        <v>89.4</v>
      </c>
      <c r="E6" s="29">
        <v>100</v>
      </c>
      <c r="F6" s="50">
        <v>85</v>
      </c>
      <c r="G6" s="21">
        <f t="shared" si="0"/>
        <v>3.4090909090909047</v>
      </c>
      <c r="J6" s="30"/>
      <c r="K6" s="35"/>
      <c r="L6" s="37"/>
      <c r="M6" s="58"/>
      <c r="N6" s="38"/>
      <c r="O6" s="85"/>
      <c r="P6" s="86"/>
      <c r="Q6" s="78"/>
      <c r="R6" s="28">
        <v>1605.31</v>
      </c>
      <c r="S6" s="28">
        <v>-86.71</v>
      </c>
    </row>
    <row r="7" spans="1:19">
      <c r="A7" s="6">
        <v>45637</v>
      </c>
      <c r="B7" t="s">
        <v>566</v>
      </c>
      <c r="C7" s="9">
        <v>8</v>
      </c>
      <c r="D7">
        <v>131.4</v>
      </c>
      <c r="E7" s="29">
        <v>160</v>
      </c>
      <c r="F7" s="50">
        <v>130</v>
      </c>
      <c r="G7" s="21">
        <f t="shared" si="0"/>
        <v>21.428571428571342</v>
      </c>
      <c r="J7" s="30"/>
      <c r="K7" s="35"/>
      <c r="L7" s="37"/>
      <c r="M7" s="58"/>
      <c r="N7" s="38"/>
      <c r="O7" s="85"/>
      <c r="P7" s="86"/>
      <c r="Q7" s="78"/>
    </row>
    <row r="8" spans="1:19">
      <c r="A8" s="6">
        <v>45637</v>
      </c>
      <c r="B8" t="s">
        <v>211</v>
      </c>
      <c r="C8" s="9">
        <v>5</v>
      </c>
      <c r="D8">
        <v>627.6</v>
      </c>
      <c r="E8" s="29">
        <v>800</v>
      </c>
      <c r="F8" s="50">
        <v>580</v>
      </c>
      <c r="G8" s="21">
        <f t="shared" si="0"/>
        <v>4.6218487394957961</v>
      </c>
      <c r="H8" s="6">
        <v>45645</v>
      </c>
      <c r="I8" s="16">
        <v>589.15</v>
      </c>
      <c r="J8" s="25">
        <f>I8/D8 -1</f>
        <v>-6.1265137029955508E-2</v>
      </c>
      <c r="K8" s="36">
        <f>(C8*I8) - (C8*D8)</f>
        <v>-192.25</v>
      </c>
      <c r="L8" s="24">
        <f>H8-A8</f>
        <v>8</v>
      </c>
      <c r="M8" s="52">
        <f>IF(J8&gt;0,1,0)</f>
        <v>0</v>
      </c>
      <c r="N8" s="24">
        <f>IF(K8&gt;0, K8, 0)</f>
        <v>0</v>
      </c>
      <c r="O8" s="17">
        <f>IF(K8&lt;0, K8, 0)</f>
        <v>-192.25</v>
      </c>
      <c r="P8" s="86"/>
      <c r="Q8" s="78"/>
      <c r="R8" s="28">
        <v>1754.41</v>
      </c>
    </row>
    <row r="9" spans="1:19">
      <c r="A9" s="6">
        <v>45636</v>
      </c>
      <c r="B9" s="22" t="s">
        <v>858</v>
      </c>
      <c r="C9" s="57">
        <v>200</v>
      </c>
      <c r="D9">
        <v>1.75</v>
      </c>
      <c r="E9" s="29">
        <v>3</v>
      </c>
      <c r="F9" s="50">
        <v>0.85</v>
      </c>
      <c r="G9" s="21">
        <f t="shared" si="0"/>
        <v>2.3888888888888888</v>
      </c>
      <c r="H9" s="6">
        <v>45642</v>
      </c>
      <c r="I9" s="29">
        <v>1.8</v>
      </c>
      <c r="J9" s="30">
        <f>I9/D9 -1</f>
        <v>2.8571428571428692E-2</v>
      </c>
      <c r="K9" s="35">
        <f>(C9*I9) - (C9*D9)</f>
        <v>10</v>
      </c>
      <c r="L9" s="21">
        <f>H9-A9</f>
        <v>6</v>
      </c>
      <c r="M9" s="9">
        <f>IF(J9&gt;0,1,0)</f>
        <v>1</v>
      </c>
      <c r="N9">
        <f>IF(K9&gt;0, K9, 0)</f>
        <v>10</v>
      </c>
      <c r="O9">
        <v>0</v>
      </c>
      <c r="P9" s="86"/>
      <c r="Q9" s="78"/>
      <c r="R9" s="28">
        <v>1576.56</v>
      </c>
    </row>
    <row r="10" spans="1:19">
      <c r="A10" s="6">
        <v>45635</v>
      </c>
      <c r="B10" t="s">
        <v>823</v>
      </c>
      <c r="C10" s="9">
        <v>12</v>
      </c>
      <c r="D10">
        <v>111.69</v>
      </c>
      <c r="E10" s="29">
        <v>160</v>
      </c>
      <c r="F10" s="50">
        <v>95</v>
      </c>
      <c r="G10" s="21">
        <f t="shared" si="0"/>
        <v>3.894547633313362</v>
      </c>
      <c r="J10" s="30"/>
      <c r="K10" s="35"/>
      <c r="L10" s="37"/>
      <c r="M10" s="58"/>
      <c r="N10" s="38"/>
      <c r="O10" s="85"/>
      <c r="P10" s="86"/>
      <c r="Q10" s="78"/>
    </row>
    <row r="11" spans="1:19">
      <c r="A11" s="6">
        <v>45635</v>
      </c>
      <c r="B11" t="s">
        <v>427</v>
      </c>
      <c r="C11" s="9">
        <v>8</v>
      </c>
      <c r="D11">
        <v>415.4</v>
      </c>
      <c r="E11" s="29">
        <v>450</v>
      </c>
      <c r="F11" s="75">
        <v>400</v>
      </c>
      <c r="G11" s="21">
        <f t="shared" si="0"/>
        <v>3.2467532467532516</v>
      </c>
      <c r="J11" s="30"/>
      <c r="K11" s="35"/>
      <c r="L11" s="37"/>
      <c r="M11" s="58"/>
      <c r="N11" s="38"/>
      <c r="O11" s="85"/>
      <c r="P11" s="86"/>
      <c r="Q11" s="78"/>
    </row>
    <row r="12" spans="1:19">
      <c r="A12" s="6">
        <v>45635</v>
      </c>
      <c r="B12" t="s">
        <v>15</v>
      </c>
      <c r="C12" s="9">
        <v>30</v>
      </c>
      <c r="D12">
        <v>104.5</v>
      </c>
      <c r="E12" s="29">
        <v>115</v>
      </c>
      <c r="F12" s="50">
        <v>100</v>
      </c>
      <c r="G12" s="21">
        <f t="shared" si="0"/>
        <v>3.3333333333333335</v>
      </c>
      <c r="J12" s="30"/>
      <c r="K12" s="35"/>
      <c r="L12" s="37"/>
      <c r="M12" s="58"/>
      <c r="N12" s="38"/>
      <c r="O12" s="85"/>
      <c r="P12" s="86"/>
      <c r="Q12" s="78"/>
    </row>
    <row r="13" spans="1:19">
      <c r="A13" s="6">
        <v>45635</v>
      </c>
      <c r="B13" s="61" t="s">
        <v>332</v>
      </c>
      <c r="C13" s="9">
        <v>39</v>
      </c>
      <c r="D13">
        <v>82.7</v>
      </c>
      <c r="E13" s="29">
        <v>90</v>
      </c>
      <c r="F13" s="50">
        <v>80</v>
      </c>
      <c r="G13" s="21">
        <f t="shared" si="0"/>
        <v>3.7037037037036997</v>
      </c>
      <c r="J13" s="30"/>
      <c r="K13" s="35"/>
      <c r="L13" s="37"/>
      <c r="M13" s="58"/>
      <c r="N13" s="38"/>
      <c r="O13" s="85"/>
      <c r="P13" s="86"/>
      <c r="Q13" s="78"/>
    </row>
    <row r="14" spans="1:19">
      <c r="A14" s="6">
        <v>45635</v>
      </c>
      <c r="B14" t="s">
        <v>594</v>
      </c>
      <c r="C14" s="9">
        <v>15</v>
      </c>
      <c r="D14">
        <v>177.2</v>
      </c>
      <c r="E14" s="29">
        <v>200</v>
      </c>
      <c r="F14" s="50">
        <v>174</v>
      </c>
      <c r="G14" s="21">
        <f t="shared" si="0"/>
        <v>8.1250000000000284</v>
      </c>
      <c r="J14" s="30"/>
      <c r="K14" s="35"/>
      <c r="L14" s="37"/>
      <c r="M14" s="58"/>
      <c r="N14" s="38"/>
      <c r="O14" s="85"/>
      <c r="P14" s="86"/>
      <c r="Q14" s="78"/>
      <c r="R14" s="28">
        <v>1374.56</v>
      </c>
    </row>
    <row r="15" spans="1:19">
      <c r="A15" s="6">
        <v>45632</v>
      </c>
      <c r="B15" t="s">
        <v>823</v>
      </c>
      <c r="C15" s="9">
        <v>12</v>
      </c>
      <c r="D15">
        <v>100</v>
      </c>
      <c r="E15" s="29">
        <v>160</v>
      </c>
      <c r="F15" s="50">
        <v>95</v>
      </c>
      <c r="G15" s="21">
        <f t="shared" si="0"/>
        <v>13</v>
      </c>
      <c r="H15" s="6">
        <v>45635</v>
      </c>
      <c r="I15" s="29">
        <v>111.7</v>
      </c>
      <c r="J15" s="30">
        <f>I15/D15 -1</f>
        <v>0.11699999999999999</v>
      </c>
      <c r="K15" s="35">
        <f>(C15*I15) - (C15*D15)</f>
        <v>140.40000000000009</v>
      </c>
      <c r="L15" s="21">
        <f>H15-A15</f>
        <v>3</v>
      </c>
      <c r="M15" s="9">
        <f>IF(J15&gt;0,1,0)</f>
        <v>1</v>
      </c>
      <c r="N15">
        <f>IF(K15&gt;0, K15, 0)</f>
        <v>140.40000000000009</v>
      </c>
      <c r="O15">
        <v>0</v>
      </c>
      <c r="P15" s="86"/>
      <c r="Q15" s="78"/>
    </row>
    <row r="16" spans="1:19">
      <c r="A16" s="6">
        <v>45631</v>
      </c>
      <c r="B16" s="61" t="s">
        <v>243</v>
      </c>
      <c r="C16" s="9">
        <v>16</v>
      </c>
      <c r="D16">
        <v>181</v>
      </c>
      <c r="E16" s="29">
        <v>200</v>
      </c>
      <c r="F16" s="50">
        <v>180</v>
      </c>
      <c r="G16" s="21">
        <f t="shared" si="0"/>
        <v>20</v>
      </c>
      <c r="J16" s="30"/>
      <c r="K16" s="35"/>
      <c r="L16" s="37"/>
      <c r="M16" s="58"/>
      <c r="N16" s="38"/>
      <c r="O16" s="85"/>
      <c r="P16" s="86"/>
      <c r="Q16" s="78"/>
    </row>
    <row r="17" spans="1:20">
      <c r="A17" s="6">
        <v>45631</v>
      </c>
      <c r="B17" s="61" t="s">
        <v>852</v>
      </c>
      <c r="C17" s="9">
        <v>21</v>
      </c>
      <c r="D17">
        <v>140.5</v>
      </c>
      <c r="E17" s="29">
        <v>150</v>
      </c>
      <c r="F17" s="50">
        <v>140</v>
      </c>
      <c r="G17" s="21">
        <f t="shared" si="0"/>
        <v>20</v>
      </c>
      <c r="J17" s="30"/>
      <c r="K17" s="35"/>
      <c r="L17" s="37"/>
      <c r="M17" s="58"/>
      <c r="N17" s="38"/>
      <c r="O17" s="85"/>
      <c r="P17" s="86"/>
      <c r="Q17" s="78"/>
      <c r="R17" s="16">
        <v>-368.3</v>
      </c>
    </row>
    <row r="18" spans="1:20">
      <c r="A18" s="6">
        <v>45630</v>
      </c>
      <c r="B18" t="s">
        <v>850</v>
      </c>
      <c r="C18" s="9">
        <v>37</v>
      </c>
      <c r="D18">
        <v>29.1</v>
      </c>
      <c r="E18" s="29">
        <v>35</v>
      </c>
      <c r="F18" s="50">
        <v>29</v>
      </c>
      <c r="G18" s="21">
        <f t="shared" si="0"/>
        <v>59.999999999999147</v>
      </c>
      <c r="H18" s="6">
        <v>45637</v>
      </c>
      <c r="I18" s="29">
        <v>30.25</v>
      </c>
      <c r="J18" s="30">
        <f>I18/D18 -1</f>
        <v>3.9518900343642471E-2</v>
      </c>
      <c r="K18" s="35">
        <f>(C18*I18) - (C18*D18)</f>
        <v>42.549999999999955</v>
      </c>
      <c r="L18" s="21">
        <f>H18-A18</f>
        <v>7</v>
      </c>
      <c r="M18" s="9">
        <f>IF(J18&gt;0,1,0)</f>
        <v>1</v>
      </c>
      <c r="N18">
        <f>IF(K18&gt;0, K18, 0)</f>
        <v>42.549999999999955</v>
      </c>
      <c r="O18">
        <v>0</v>
      </c>
      <c r="P18" s="86"/>
      <c r="Q18" s="78"/>
    </row>
    <row r="19" spans="1:20">
      <c r="A19" s="6">
        <v>45630</v>
      </c>
      <c r="B19" t="s">
        <v>211</v>
      </c>
      <c r="C19" s="9">
        <v>3</v>
      </c>
      <c r="D19">
        <v>583</v>
      </c>
      <c r="E19" s="29">
        <v>800</v>
      </c>
      <c r="F19" s="50">
        <v>550</v>
      </c>
      <c r="G19" s="21">
        <f t="shared" si="0"/>
        <v>7.5757575757575761</v>
      </c>
      <c r="H19" s="6">
        <v>45637</v>
      </c>
      <c r="I19" s="29">
        <v>628.1</v>
      </c>
      <c r="J19" s="30">
        <f>I19/D19 -1</f>
        <v>7.735849056603783E-2</v>
      </c>
      <c r="K19" s="35">
        <f>(C19*I19) - (C19*D19)</f>
        <v>135.30000000000018</v>
      </c>
      <c r="L19" s="21">
        <f>H19-A19</f>
        <v>7</v>
      </c>
      <c r="M19" s="9">
        <f>IF(J19&gt;0,1,0)</f>
        <v>1</v>
      </c>
      <c r="N19">
        <f>IF(K19&gt;0, K19, 0)</f>
        <v>135.30000000000018</v>
      </c>
      <c r="O19">
        <v>0</v>
      </c>
      <c r="P19" s="86"/>
      <c r="Q19" s="78"/>
      <c r="R19" s="16">
        <v>-389.3</v>
      </c>
    </row>
    <row r="20" spans="1:20">
      <c r="A20" s="6">
        <v>45629</v>
      </c>
      <c r="B20" t="s">
        <v>496</v>
      </c>
      <c r="C20" s="9">
        <v>30</v>
      </c>
      <c r="D20">
        <v>115.4</v>
      </c>
      <c r="E20" s="29">
        <v>140</v>
      </c>
      <c r="F20" s="50">
        <v>104</v>
      </c>
      <c r="G20" s="21">
        <f t="shared" si="0"/>
        <v>3.1578947368421035</v>
      </c>
      <c r="H20" s="6">
        <v>45630</v>
      </c>
      <c r="I20" s="29">
        <v>117</v>
      </c>
      <c r="J20" s="30">
        <f>I20/D20 -1</f>
        <v>1.3864818024263315E-2</v>
      </c>
      <c r="K20" s="35">
        <f>(C20*I20) - (C20*D20)</f>
        <v>48</v>
      </c>
      <c r="L20" s="21">
        <f>H20-A20</f>
        <v>1</v>
      </c>
      <c r="M20" s="9">
        <f>IF(J20&gt;0,1,0)</f>
        <v>1</v>
      </c>
      <c r="N20">
        <f>IF(K20&gt;0, K20, 0)</f>
        <v>48</v>
      </c>
      <c r="O20">
        <v>0</v>
      </c>
      <c r="P20" s="86"/>
      <c r="Q20" s="78"/>
      <c r="R20" s="16">
        <v>-471.7</v>
      </c>
    </row>
    <row r="21" spans="1:20">
      <c r="A21" s="6">
        <v>45622</v>
      </c>
      <c r="B21" t="s">
        <v>436</v>
      </c>
      <c r="C21" s="9">
        <v>35</v>
      </c>
      <c r="D21">
        <v>33.9</v>
      </c>
      <c r="E21" s="29">
        <v>38</v>
      </c>
      <c r="F21" s="50">
        <v>32</v>
      </c>
      <c r="G21" s="21">
        <f t="shared" si="0"/>
        <v>3.1578947368421075</v>
      </c>
      <c r="H21" s="6">
        <v>45631</v>
      </c>
      <c r="I21" s="29">
        <v>34.5</v>
      </c>
      <c r="J21" s="30">
        <f>I21/D21 -1</f>
        <v>1.7699115044247815E-2</v>
      </c>
      <c r="K21" s="35">
        <f>(C21*I21) - (C21*D21)</f>
        <v>21</v>
      </c>
      <c r="L21" s="21">
        <f>H21-A21</f>
        <v>9</v>
      </c>
      <c r="M21" s="9">
        <f>IF(J21&gt;0,1,0)</f>
        <v>1</v>
      </c>
      <c r="N21">
        <f>IF(K21&gt;0, K21, 0)</f>
        <v>21</v>
      </c>
      <c r="O21">
        <v>0</v>
      </c>
      <c r="P21" s="86"/>
      <c r="Q21" s="78"/>
      <c r="S21" s="16">
        <v>408.07</v>
      </c>
      <c r="T21">
        <v>11</v>
      </c>
    </row>
    <row r="22" spans="1:20">
      <c r="A22" s="6">
        <v>45622</v>
      </c>
      <c r="B22" s="22" t="s">
        <v>370</v>
      </c>
      <c r="C22" s="57">
        <v>200</v>
      </c>
      <c r="D22">
        <v>0.92</v>
      </c>
      <c r="E22" s="29">
        <v>2</v>
      </c>
      <c r="F22" s="50">
        <v>0.46</v>
      </c>
      <c r="G22" s="21">
        <f t="shared" si="0"/>
        <v>3.3478260869565215</v>
      </c>
      <c r="J22" s="30"/>
      <c r="K22" s="35"/>
      <c r="L22" s="37"/>
      <c r="M22" s="58"/>
      <c r="N22" s="38"/>
      <c r="O22" s="85"/>
      <c r="P22" s="86"/>
      <c r="Q22" s="78"/>
      <c r="R22" s="16">
        <v>-373.63</v>
      </c>
      <c r="S22" s="28">
        <v>-69.64</v>
      </c>
    </row>
    <row r="23" spans="1:20">
      <c r="A23" s="6">
        <v>45621</v>
      </c>
      <c r="B23" t="s">
        <v>835</v>
      </c>
      <c r="C23" s="9">
        <v>20</v>
      </c>
      <c r="D23">
        <v>42.6</v>
      </c>
      <c r="E23" s="29">
        <v>50</v>
      </c>
      <c r="F23" s="50">
        <v>40</v>
      </c>
      <c r="G23" s="21">
        <f t="shared" si="0"/>
        <v>3.846153846153844</v>
      </c>
      <c r="J23" s="30"/>
      <c r="K23" s="35"/>
      <c r="L23" s="37"/>
      <c r="M23" s="58"/>
      <c r="N23" s="38"/>
      <c r="O23" s="85"/>
      <c r="P23" s="86"/>
      <c r="Q23" s="78"/>
      <c r="S23" s="28">
        <v>-60.05</v>
      </c>
    </row>
    <row r="24" spans="1:20">
      <c r="A24" s="6">
        <v>45621</v>
      </c>
      <c r="B24" t="s">
        <v>589</v>
      </c>
      <c r="C24" s="9">
        <v>5</v>
      </c>
      <c r="D24">
        <v>637</v>
      </c>
      <c r="E24" s="29">
        <v>700</v>
      </c>
      <c r="F24" s="50">
        <v>600</v>
      </c>
      <c r="G24" s="21">
        <f t="shared" si="0"/>
        <v>2.7027027027027026</v>
      </c>
      <c r="H24" s="6">
        <v>45635</v>
      </c>
      <c r="I24" s="29">
        <v>650</v>
      </c>
      <c r="J24" s="30">
        <f t="shared" ref="J24:J29" si="1">I24/D24 -1</f>
        <v>2.0408163265306145E-2</v>
      </c>
      <c r="K24" s="35">
        <f t="shared" ref="K24:K29" si="2">(C24*I24) - (C24*D24)</f>
        <v>65</v>
      </c>
      <c r="L24" s="21">
        <f t="shared" ref="L24:L29" si="3">H24-A24</f>
        <v>14</v>
      </c>
      <c r="M24" s="9">
        <f t="shared" ref="M24:M29" si="4">IF(J24&gt;0,1,0)</f>
        <v>1</v>
      </c>
      <c r="N24">
        <f t="shared" ref="N24:N29" si="5">IF(K24&gt;0, K24, 0)</f>
        <v>65</v>
      </c>
      <c r="O24">
        <v>0</v>
      </c>
      <c r="P24" s="86"/>
      <c r="Q24" s="78"/>
    </row>
    <row r="25" spans="1:20">
      <c r="A25" s="6">
        <v>45621</v>
      </c>
      <c r="B25" t="s">
        <v>710</v>
      </c>
      <c r="C25" s="9">
        <v>5</v>
      </c>
      <c r="D25">
        <v>682</v>
      </c>
      <c r="E25" s="29">
        <v>900</v>
      </c>
      <c r="F25" s="50">
        <v>645</v>
      </c>
      <c r="G25" s="21">
        <f t="shared" si="0"/>
        <v>6.8918918918918921</v>
      </c>
      <c r="H25" s="6">
        <v>45629</v>
      </c>
      <c r="I25" s="29">
        <v>720</v>
      </c>
      <c r="J25" s="30">
        <f t="shared" si="1"/>
        <v>5.5718475073313734E-2</v>
      </c>
      <c r="K25" s="35">
        <f t="shared" si="2"/>
        <v>190</v>
      </c>
      <c r="L25" s="21">
        <f t="shared" si="3"/>
        <v>8</v>
      </c>
      <c r="M25" s="9">
        <f t="shared" si="4"/>
        <v>1</v>
      </c>
      <c r="N25">
        <f t="shared" si="5"/>
        <v>190</v>
      </c>
      <c r="O25">
        <v>0</v>
      </c>
      <c r="P25" s="86"/>
      <c r="Q25" s="78"/>
      <c r="R25" s="16">
        <v>-454.58</v>
      </c>
    </row>
    <row r="26" spans="1:20">
      <c r="A26" s="6">
        <v>45616</v>
      </c>
      <c r="B26" s="61" t="s">
        <v>852</v>
      </c>
      <c r="C26" s="9">
        <v>20</v>
      </c>
      <c r="D26">
        <v>139.03</v>
      </c>
      <c r="E26" s="29">
        <v>150</v>
      </c>
      <c r="F26" s="50">
        <v>136</v>
      </c>
      <c r="G26" s="21">
        <f t="shared" si="0"/>
        <v>4.6204620462046186</v>
      </c>
      <c r="H26" s="6">
        <v>45622</v>
      </c>
      <c r="I26" s="29">
        <v>140.55000000000001</v>
      </c>
      <c r="J26" s="30">
        <f t="shared" si="1"/>
        <v>1.0932892181543696E-2</v>
      </c>
      <c r="K26" s="35">
        <f t="shared" si="2"/>
        <v>30.400000000000091</v>
      </c>
      <c r="L26" s="21">
        <f t="shared" si="3"/>
        <v>6</v>
      </c>
      <c r="M26" s="9">
        <f t="shared" si="4"/>
        <v>1</v>
      </c>
      <c r="N26">
        <f t="shared" si="5"/>
        <v>30.400000000000091</v>
      </c>
      <c r="O26">
        <v>0</v>
      </c>
      <c r="P26" s="86"/>
      <c r="Q26" s="78"/>
      <c r="R26" s="16">
        <v>-691.78</v>
      </c>
    </row>
    <row r="27" spans="1:20">
      <c r="A27" s="6">
        <v>45615</v>
      </c>
      <c r="B27" t="s">
        <v>287</v>
      </c>
      <c r="C27" s="9">
        <v>11</v>
      </c>
      <c r="D27">
        <v>77.3</v>
      </c>
      <c r="E27" s="29">
        <v>90</v>
      </c>
      <c r="F27" s="50">
        <v>73</v>
      </c>
      <c r="G27" s="21">
        <f t="shared" si="0"/>
        <v>3.9534883720930258</v>
      </c>
      <c r="H27" s="6">
        <v>45621</v>
      </c>
      <c r="I27" s="29">
        <v>78.5</v>
      </c>
      <c r="J27" s="30">
        <f t="shared" si="1"/>
        <v>1.5523932729624823E-2</v>
      </c>
      <c r="K27" s="35">
        <f t="shared" si="2"/>
        <v>13.200000000000045</v>
      </c>
      <c r="L27" s="21">
        <f t="shared" si="3"/>
        <v>6</v>
      </c>
      <c r="M27" s="9">
        <f t="shared" si="4"/>
        <v>1</v>
      </c>
      <c r="N27">
        <f t="shared" si="5"/>
        <v>13.200000000000045</v>
      </c>
      <c r="O27">
        <v>0</v>
      </c>
      <c r="P27" s="86"/>
      <c r="Q27" s="78"/>
      <c r="R27" s="16">
        <v>-692.58</v>
      </c>
    </row>
    <row r="28" spans="1:20">
      <c r="A28" s="6">
        <v>45611</v>
      </c>
      <c r="B28" t="s">
        <v>835</v>
      </c>
      <c r="C28" s="9">
        <v>25</v>
      </c>
      <c r="D28">
        <v>41.3</v>
      </c>
      <c r="E28" s="29">
        <v>50</v>
      </c>
      <c r="F28" s="50">
        <v>41</v>
      </c>
      <c r="G28" s="21">
        <f t="shared" si="0"/>
        <v>30.000000000000284</v>
      </c>
      <c r="H28" s="6">
        <v>45615</v>
      </c>
      <c r="I28" s="29">
        <v>42.8</v>
      </c>
      <c r="J28" s="30">
        <f t="shared" si="1"/>
        <v>3.6319612590798966E-2</v>
      </c>
      <c r="K28" s="35">
        <f t="shared" si="2"/>
        <v>37.5</v>
      </c>
      <c r="L28" s="21">
        <f t="shared" si="3"/>
        <v>4</v>
      </c>
      <c r="M28" s="9">
        <f t="shared" si="4"/>
        <v>1</v>
      </c>
      <c r="N28">
        <f t="shared" si="5"/>
        <v>37.5</v>
      </c>
      <c r="O28">
        <v>0</v>
      </c>
      <c r="P28" s="86"/>
      <c r="Q28" s="78"/>
    </row>
    <row r="29" spans="1:20">
      <c r="A29" s="6">
        <v>45611</v>
      </c>
      <c r="B29" t="s">
        <v>332</v>
      </c>
      <c r="C29" s="9">
        <v>14</v>
      </c>
      <c r="D29">
        <v>83.39</v>
      </c>
      <c r="E29" s="29">
        <v>90</v>
      </c>
      <c r="F29" s="50">
        <v>80</v>
      </c>
      <c r="G29" s="21">
        <f t="shared" si="0"/>
        <v>2.9498525073746307</v>
      </c>
      <c r="H29" s="6">
        <v>45622</v>
      </c>
      <c r="I29" s="29">
        <v>87</v>
      </c>
      <c r="J29" s="30">
        <f t="shared" si="1"/>
        <v>4.3290562417556133E-2</v>
      </c>
      <c r="K29" s="35">
        <f t="shared" si="2"/>
        <v>50.539999999999964</v>
      </c>
      <c r="L29" s="21">
        <f t="shared" si="3"/>
        <v>11</v>
      </c>
      <c r="M29" s="9">
        <f t="shared" si="4"/>
        <v>1</v>
      </c>
      <c r="N29">
        <f t="shared" si="5"/>
        <v>50.539999999999964</v>
      </c>
      <c r="O29">
        <v>0</v>
      </c>
      <c r="P29" s="86"/>
      <c r="Q29" s="78"/>
      <c r="R29" s="16">
        <v>-730.08</v>
      </c>
    </row>
    <row r="30" spans="1:20">
      <c r="A30" s="6">
        <v>45607</v>
      </c>
      <c r="B30" t="s">
        <v>629</v>
      </c>
      <c r="C30" s="9">
        <v>330</v>
      </c>
      <c r="D30">
        <v>3.09</v>
      </c>
      <c r="E30" s="29">
        <v>4</v>
      </c>
      <c r="F30" s="50">
        <v>3</v>
      </c>
      <c r="G30" s="21">
        <f t="shared" si="0"/>
        <v>11.111111111111128</v>
      </c>
      <c r="J30" s="30"/>
      <c r="K30" s="35"/>
      <c r="L30" s="37"/>
      <c r="M30" s="58"/>
      <c r="N30" s="38"/>
      <c r="O30" s="85"/>
      <c r="P30" s="86"/>
      <c r="Q30" s="78"/>
    </row>
    <row r="31" spans="1:20">
      <c r="A31" s="6">
        <v>45604</v>
      </c>
      <c r="B31" t="s">
        <v>507</v>
      </c>
      <c r="C31" s="9">
        <v>21</v>
      </c>
      <c r="D31">
        <v>32.01</v>
      </c>
      <c r="E31" s="29">
        <v>37</v>
      </c>
      <c r="F31" s="50">
        <v>30</v>
      </c>
      <c r="G31" s="21">
        <f t="shared" si="0"/>
        <v>3.4825870646766202</v>
      </c>
      <c r="J31" s="30"/>
      <c r="K31" s="35"/>
      <c r="L31" s="37"/>
      <c r="M31" s="58"/>
      <c r="N31" s="38"/>
      <c r="O31" s="85"/>
      <c r="P31" s="86"/>
      <c r="Q31" s="78"/>
      <c r="R31" s="16">
        <v>-1006.78</v>
      </c>
    </row>
    <row r="32" spans="1:20">
      <c r="A32" s="6">
        <v>45603</v>
      </c>
      <c r="B32" s="61" t="s">
        <v>131</v>
      </c>
      <c r="C32" s="9">
        <v>16</v>
      </c>
      <c r="D32">
        <v>214</v>
      </c>
      <c r="E32" s="29">
        <v>240</v>
      </c>
      <c r="F32" s="50">
        <v>205</v>
      </c>
      <c r="G32" s="21">
        <f t="shared" si="0"/>
        <v>3.8888888888888888</v>
      </c>
      <c r="H32" s="6">
        <v>45616</v>
      </c>
      <c r="I32" s="29">
        <v>214.05</v>
      </c>
      <c r="J32" s="30">
        <f>I32/D32 -1</f>
        <v>2.336448598130314E-4</v>
      </c>
      <c r="K32" s="35">
        <f>(C32*I32) - (C32*D32)</f>
        <v>0.8000000000001819</v>
      </c>
      <c r="L32" s="21">
        <f>H32-A32</f>
        <v>13</v>
      </c>
      <c r="M32" s="9">
        <f>IF(J32&gt;0,1,0)</f>
        <v>1</v>
      </c>
      <c r="N32">
        <f>IF(K32&gt;0, K32, 0)</f>
        <v>0.8000000000001819</v>
      </c>
      <c r="O32">
        <v>0</v>
      </c>
      <c r="P32" s="86"/>
      <c r="Q32" s="78"/>
    </row>
    <row r="33" spans="1:19">
      <c r="A33" s="6">
        <v>45603</v>
      </c>
      <c r="B33" t="s">
        <v>496</v>
      </c>
      <c r="C33" s="9">
        <v>30</v>
      </c>
      <c r="D33">
        <v>111.5</v>
      </c>
      <c r="E33" s="29">
        <v>140</v>
      </c>
      <c r="F33" s="50">
        <v>104</v>
      </c>
      <c r="G33" s="21">
        <f t="shared" si="0"/>
        <v>4.8</v>
      </c>
      <c r="H33" s="6">
        <v>45629</v>
      </c>
      <c r="I33" s="29">
        <v>115.5</v>
      </c>
      <c r="J33" s="30">
        <f>I33/D33 -1</f>
        <v>3.5874439461883512E-2</v>
      </c>
      <c r="K33" s="35">
        <f>(C33*I33) - (C33*D33)</f>
        <v>120</v>
      </c>
      <c r="L33" s="21">
        <f>H33-A33</f>
        <v>26</v>
      </c>
      <c r="M33" s="9">
        <f>IF(J33&gt;0,1,0)</f>
        <v>1</v>
      </c>
      <c r="N33">
        <f>IF(K33&gt;0, K33, 0)</f>
        <v>120</v>
      </c>
      <c r="O33">
        <v>0</v>
      </c>
      <c r="P33" s="86"/>
      <c r="Q33" s="78"/>
    </row>
    <row r="34" spans="1:19">
      <c r="A34" s="6">
        <v>45603</v>
      </c>
      <c r="B34" s="61" t="s">
        <v>852</v>
      </c>
      <c r="C34" s="9">
        <v>25</v>
      </c>
      <c r="D34">
        <v>141</v>
      </c>
      <c r="E34" s="29">
        <v>150</v>
      </c>
      <c r="F34" s="50">
        <v>140</v>
      </c>
      <c r="G34" s="21">
        <f t="shared" si="0"/>
        <v>10</v>
      </c>
      <c r="H34" s="6">
        <v>45604</v>
      </c>
      <c r="I34" s="29">
        <v>143.5</v>
      </c>
      <c r="J34" s="30">
        <f>I34/D34 -1</f>
        <v>1.7730496453900679E-2</v>
      </c>
      <c r="K34" s="35">
        <f>(C34*I34) - (C34*D34)</f>
        <v>62.5</v>
      </c>
      <c r="L34" s="21">
        <f>H34-A34</f>
        <v>1</v>
      </c>
      <c r="M34" s="9">
        <f>IF(J34&gt;0,1,0)</f>
        <v>1</v>
      </c>
      <c r="N34">
        <f>IF(K34&gt;0, K34, 0)</f>
        <v>62.5</v>
      </c>
      <c r="O34">
        <v>0</v>
      </c>
      <c r="P34" s="86"/>
      <c r="Q34" s="78"/>
      <c r="R34" s="16">
        <v>-1122.8599999999999</v>
      </c>
    </row>
    <row r="35" spans="1:19">
      <c r="A35" s="6">
        <v>45600</v>
      </c>
      <c r="B35" s="22" t="s">
        <v>438</v>
      </c>
      <c r="C35" s="57">
        <v>400</v>
      </c>
      <c r="D35">
        <v>0.72</v>
      </c>
      <c r="E35" s="29">
        <v>1</v>
      </c>
      <c r="F35" s="50">
        <v>0.27</v>
      </c>
      <c r="G35" s="21">
        <f t="shared" ref="G35:G60" si="6" xml:space="preserve"> (E35 - F35)/(D35-F35)</f>
        <v>1.6222222222222222</v>
      </c>
      <c r="J35" s="30"/>
      <c r="K35" s="35"/>
      <c r="L35" s="37"/>
      <c r="M35" s="58"/>
      <c r="N35" s="38"/>
      <c r="O35" s="85"/>
      <c r="P35" s="86"/>
      <c r="Q35" s="78"/>
    </row>
    <row r="36" spans="1:19">
      <c r="A36" s="6">
        <v>45594</v>
      </c>
      <c r="B36" t="s">
        <v>823</v>
      </c>
      <c r="C36" s="9">
        <v>5</v>
      </c>
      <c r="D36">
        <v>124.73</v>
      </c>
      <c r="E36" s="29">
        <v>160</v>
      </c>
      <c r="F36" s="50">
        <v>120</v>
      </c>
      <c r="G36" s="21">
        <f t="shared" si="6"/>
        <v>8.4566596194503099</v>
      </c>
      <c r="H36" s="6">
        <v>45602</v>
      </c>
      <c r="I36" s="29">
        <v>127</v>
      </c>
      <c r="J36" s="30">
        <f>I36/D36 -1</f>
        <v>1.8199310510703004E-2</v>
      </c>
      <c r="K36" s="35">
        <f>(C36*I36) - (C36*D36)</f>
        <v>11.350000000000023</v>
      </c>
      <c r="L36" s="21">
        <f>H36-A36</f>
        <v>8</v>
      </c>
      <c r="M36" s="9">
        <f>IF(J36&gt;0,1,0)</f>
        <v>1</v>
      </c>
      <c r="N36">
        <f>IF(K36&gt;0, K36, 0)</f>
        <v>11.350000000000023</v>
      </c>
      <c r="O36">
        <v>0</v>
      </c>
      <c r="P36" s="86"/>
      <c r="Q36" s="78"/>
      <c r="R36" s="16">
        <v>-1400.71</v>
      </c>
      <c r="S36" s="16">
        <v>455.91</v>
      </c>
    </row>
    <row r="37" spans="1:19">
      <c r="A37" s="6">
        <v>45593</v>
      </c>
      <c r="B37" t="s">
        <v>622</v>
      </c>
      <c r="C37" s="9">
        <v>10</v>
      </c>
      <c r="D37">
        <v>204.45</v>
      </c>
      <c r="E37" s="29">
        <v>250</v>
      </c>
      <c r="F37" s="50">
        <v>172</v>
      </c>
      <c r="G37" s="21">
        <f t="shared" si="6"/>
        <v>2.403697996918337</v>
      </c>
      <c r="H37" s="6">
        <v>45597</v>
      </c>
      <c r="I37" s="29">
        <v>205</v>
      </c>
      <c r="J37" s="30">
        <f>I37/D37 -1</f>
        <v>2.6901442895574945E-3</v>
      </c>
      <c r="K37" s="35">
        <f>(C37*I37) - (C37*D37)</f>
        <v>5.5</v>
      </c>
      <c r="L37" s="21">
        <f>H37-A37</f>
        <v>4</v>
      </c>
      <c r="M37" s="9">
        <f>IF(J37&gt;0,1,0)</f>
        <v>1</v>
      </c>
      <c r="N37">
        <f>IF(K37&gt;0, K37, 0)</f>
        <v>5.5</v>
      </c>
      <c r="O37">
        <v>0</v>
      </c>
      <c r="P37" s="86"/>
      <c r="Q37" s="78"/>
      <c r="R37" s="16">
        <v>-907.24</v>
      </c>
      <c r="S37" s="28">
        <v>-89.58</v>
      </c>
    </row>
    <row r="38" spans="1:19">
      <c r="A38" s="6">
        <v>45593</v>
      </c>
      <c r="B38" t="s">
        <v>616</v>
      </c>
      <c r="C38" s="9">
        <v>41</v>
      </c>
      <c r="D38">
        <v>73.95</v>
      </c>
      <c r="E38" s="29">
        <v>85</v>
      </c>
      <c r="F38" s="50">
        <v>73</v>
      </c>
      <c r="G38" s="21">
        <f t="shared" si="6"/>
        <v>12.631578947368384</v>
      </c>
      <c r="H38" s="6">
        <v>45596</v>
      </c>
      <c r="I38" s="16">
        <v>72.900000000000006</v>
      </c>
      <c r="J38" s="25">
        <f>I38/D38 -1</f>
        <v>-1.4198782961460377E-2</v>
      </c>
      <c r="K38" s="36">
        <f>(C38*I38) - (C38*D38)</f>
        <v>-43.050000000000182</v>
      </c>
      <c r="L38" s="24">
        <f>H38-A38</f>
        <v>3</v>
      </c>
      <c r="M38" s="52">
        <f>IF(J38&gt;0,1,0)</f>
        <v>0</v>
      </c>
      <c r="N38" s="24">
        <f>IF(K38&gt;0, K38, 0)</f>
        <v>0</v>
      </c>
      <c r="O38" s="17">
        <f>IF(K38&lt;0, K38, 0)</f>
        <v>-43.050000000000182</v>
      </c>
      <c r="P38" s="86"/>
      <c r="Q38" s="78"/>
      <c r="R38" s="16">
        <v>-1006.24</v>
      </c>
    </row>
    <row r="39" spans="1:19">
      <c r="A39" s="6">
        <v>45590</v>
      </c>
      <c r="B39" t="s">
        <v>823</v>
      </c>
      <c r="C39" s="9">
        <v>6</v>
      </c>
      <c r="D39">
        <v>122</v>
      </c>
      <c r="E39" s="29">
        <v>160</v>
      </c>
      <c r="F39" s="50">
        <v>120</v>
      </c>
      <c r="G39" s="21">
        <f t="shared" si="6"/>
        <v>20</v>
      </c>
      <c r="H39" s="6">
        <v>45593</v>
      </c>
      <c r="I39" s="29">
        <v>125</v>
      </c>
      <c r="J39" s="30">
        <f t="shared" ref="J39:J45" si="7">I39/D39 -1</f>
        <v>2.4590163934426146E-2</v>
      </c>
      <c r="K39" s="35">
        <f t="shared" ref="K39:K45" si="8">(C39*I39) - (C39*D39)</f>
        <v>18</v>
      </c>
      <c r="L39" s="21">
        <f t="shared" ref="L39:L45" si="9">H39-A39</f>
        <v>3</v>
      </c>
      <c r="M39" s="9">
        <f t="shared" ref="M39:M45" si="10">IF(J39&gt;0,1,0)</f>
        <v>1</v>
      </c>
      <c r="N39">
        <f t="shared" ref="N39:N45" si="11">IF(K39&gt;0, K39, 0)</f>
        <v>18</v>
      </c>
      <c r="O39">
        <v>0</v>
      </c>
      <c r="P39" s="86"/>
      <c r="Q39" s="78"/>
    </row>
    <row r="40" spans="1:19">
      <c r="A40" s="6">
        <v>45589</v>
      </c>
      <c r="B40" t="s">
        <v>426</v>
      </c>
      <c r="C40" s="9">
        <v>9</v>
      </c>
      <c r="D40">
        <v>424</v>
      </c>
      <c r="E40" s="29">
        <v>460</v>
      </c>
      <c r="F40" s="50">
        <v>420</v>
      </c>
      <c r="G40" s="21">
        <f t="shared" si="6"/>
        <v>10</v>
      </c>
      <c r="H40" s="6">
        <v>45595</v>
      </c>
      <c r="I40" s="29">
        <v>435</v>
      </c>
      <c r="J40" s="30">
        <f t="shared" si="7"/>
        <v>2.5943396226415061E-2</v>
      </c>
      <c r="K40" s="35">
        <f t="shared" si="8"/>
        <v>99</v>
      </c>
      <c r="L40" s="21">
        <f t="shared" si="9"/>
        <v>6</v>
      </c>
      <c r="M40" s="9">
        <f t="shared" si="10"/>
        <v>1</v>
      </c>
      <c r="N40">
        <f t="shared" si="11"/>
        <v>99</v>
      </c>
      <c r="O40">
        <v>0</v>
      </c>
      <c r="P40" s="86"/>
      <c r="Q40" s="78"/>
    </row>
    <row r="41" spans="1:19">
      <c r="A41" s="6">
        <v>45589</v>
      </c>
      <c r="B41" t="s">
        <v>622</v>
      </c>
      <c r="C41" s="9">
        <v>10</v>
      </c>
      <c r="D41">
        <v>194</v>
      </c>
      <c r="E41" s="29">
        <v>250</v>
      </c>
      <c r="F41" s="50">
        <v>172</v>
      </c>
      <c r="G41" s="21">
        <f t="shared" si="6"/>
        <v>3.5454545454545454</v>
      </c>
      <c r="H41" s="6">
        <v>45593</v>
      </c>
      <c r="I41" s="29">
        <v>204.5</v>
      </c>
      <c r="J41" s="30">
        <f t="shared" si="7"/>
        <v>5.4123711340206215E-2</v>
      </c>
      <c r="K41" s="35">
        <f t="shared" si="8"/>
        <v>105</v>
      </c>
      <c r="L41" s="21">
        <f t="shared" si="9"/>
        <v>4</v>
      </c>
      <c r="M41" s="9">
        <f t="shared" si="10"/>
        <v>1</v>
      </c>
      <c r="N41">
        <f t="shared" si="11"/>
        <v>105</v>
      </c>
      <c r="O41">
        <v>0</v>
      </c>
      <c r="P41" s="86"/>
      <c r="Q41" s="78"/>
      <c r="R41" s="16">
        <v>-1249.3399999999999</v>
      </c>
    </row>
    <row r="42" spans="1:19">
      <c r="A42" s="6">
        <v>45586</v>
      </c>
      <c r="B42" t="s">
        <v>426</v>
      </c>
      <c r="C42" s="9">
        <v>8</v>
      </c>
      <c r="D42">
        <v>416.44</v>
      </c>
      <c r="E42" s="29">
        <v>500</v>
      </c>
      <c r="F42" s="50">
        <v>410</v>
      </c>
      <c r="G42" s="21">
        <f t="shared" si="6"/>
        <v>13.975155279503111</v>
      </c>
      <c r="H42" s="6">
        <v>45588</v>
      </c>
      <c r="I42" s="29">
        <v>424.6</v>
      </c>
      <c r="J42" s="30">
        <f t="shared" si="7"/>
        <v>1.9594659494765132E-2</v>
      </c>
      <c r="K42" s="35">
        <f t="shared" si="8"/>
        <v>65.2800000000002</v>
      </c>
      <c r="L42" s="21">
        <f t="shared" si="9"/>
        <v>2</v>
      </c>
      <c r="M42" s="9">
        <f t="shared" si="10"/>
        <v>1</v>
      </c>
      <c r="N42">
        <f t="shared" si="11"/>
        <v>65.2800000000002</v>
      </c>
      <c r="O42">
        <v>0</v>
      </c>
      <c r="P42" s="86"/>
      <c r="Q42" s="78"/>
    </row>
    <row r="43" spans="1:19">
      <c r="A43" s="6">
        <v>45586</v>
      </c>
      <c r="B43" t="s">
        <v>53</v>
      </c>
      <c r="C43" s="9">
        <v>41</v>
      </c>
      <c r="D43">
        <v>79.8</v>
      </c>
      <c r="E43" s="29">
        <v>90</v>
      </c>
      <c r="F43" s="50">
        <v>75</v>
      </c>
      <c r="G43" s="21">
        <f t="shared" si="6"/>
        <v>3.1250000000000018</v>
      </c>
      <c r="H43" s="6">
        <v>45602</v>
      </c>
      <c r="I43" s="29">
        <v>86.3</v>
      </c>
      <c r="J43" s="30">
        <f t="shared" si="7"/>
        <v>8.1453634085213E-2</v>
      </c>
      <c r="K43" s="35">
        <f t="shared" si="8"/>
        <v>266.5</v>
      </c>
      <c r="L43" s="21">
        <f t="shared" si="9"/>
        <v>16</v>
      </c>
      <c r="M43" s="9">
        <f t="shared" si="10"/>
        <v>1</v>
      </c>
      <c r="N43">
        <f t="shared" si="11"/>
        <v>266.5</v>
      </c>
      <c r="O43">
        <v>0</v>
      </c>
      <c r="P43" s="86"/>
      <c r="Q43" s="78"/>
      <c r="R43" s="16">
        <v>-1620.33</v>
      </c>
    </row>
    <row r="44" spans="1:19">
      <c r="A44" s="6">
        <v>45580</v>
      </c>
      <c r="B44" t="s">
        <v>87</v>
      </c>
      <c r="C44" s="9">
        <v>12</v>
      </c>
      <c r="D44">
        <v>223</v>
      </c>
      <c r="E44" s="29">
        <v>260</v>
      </c>
      <c r="F44" s="50">
        <v>210</v>
      </c>
      <c r="G44" s="21">
        <f t="shared" si="6"/>
        <v>3.8461538461538463</v>
      </c>
      <c r="H44" s="6">
        <v>45589</v>
      </c>
      <c r="I44" s="29">
        <v>251</v>
      </c>
      <c r="J44" s="30">
        <f t="shared" si="7"/>
        <v>0.12556053811659185</v>
      </c>
      <c r="K44" s="35">
        <f t="shared" si="8"/>
        <v>336</v>
      </c>
      <c r="L44" s="21">
        <f t="shared" si="9"/>
        <v>9</v>
      </c>
      <c r="M44" s="9">
        <f t="shared" si="10"/>
        <v>1</v>
      </c>
      <c r="N44">
        <f t="shared" si="11"/>
        <v>336</v>
      </c>
      <c r="O44">
        <v>0</v>
      </c>
      <c r="P44" s="86"/>
      <c r="Q44" s="78"/>
      <c r="R44" s="68">
        <v>-1685.61</v>
      </c>
    </row>
    <row r="45" spans="1:19">
      <c r="A45" s="6">
        <v>45573</v>
      </c>
      <c r="B45" t="s">
        <v>543</v>
      </c>
      <c r="C45" s="9">
        <v>16</v>
      </c>
      <c r="D45">
        <v>46</v>
      </c>
      <c r="E45" s="29">
        <v>50</v>
      </c>
      <c r="F45" s="50">
        <v>45</v>
      </c>
      <c r="G45" s="21">
        <f t="shared" si="6"/>
        <v>5</v>
      </c>
      <c r="H45" s="6">
        <v>45593</v>
      </c>
      <c r="I45" s="29">
        <v>52.69</v>
      </c>
      <c r="J45" s="30">
        <f t="shared" si="7"/>
        <v>0.14543478260869569</v>
      </c>
      <c r="K45" s="35">
        <f t="shared" si="8"/>
        <v>107.03999999999996</v>
      </c>
      <c r="L45" s="21">
        <f t="shared" si="9"/>
        <v>20</v>
      </c>
      <c r="M45" s="9">
        <f t="shared" si="10"/>
        <v>1</v>
      </c>
      <c r="N45">
        <f t="shared" si="11"/>
        <v>107.03999999999996</v>
      </c>
      <c r="O45">
        <v>0</v>
      </c>
      <c r="P45" s="86"/>
      <c r="Q45" s="78"/>
      <c r="R45" s="16">
        <v>-600.14</v>
      </c>
    </row>
    <row r="46" spans="1:19">
      <c r="A46" s="6">
        <v>45573</v>
      </c>
      <c r="B46" t="s">
        <v>620</v>
      </c>
      <c r="C46" s="9">
        <v>12</v>
      </c>
      <c r="D46">
        <v>233</v>
      </c>
      <c r="E46" s="29">
        <v>275</v>
      </c>
      <c r="F46" s="50">
        <v>225</v>
      </c>
      <c r="G46" s="21">
        <f t="shared" si="6"/>
        <v>6.25</v>
      </c>
      <c r="J46" s="30"/>
      <c r="K46" s="35"/>
      <c r="L46" s="37"/>
      <c r="M46" s="58"/>
      <c r="N46" s="38"/>
      <c r="O46" s="85"/>
      <c r="P46" s="86"/>
      <c r="Q46" s="78"/>
    </row>
    <row r="47" spans="1:19" ht="16.5" customHeight="1">
      <c r="A47" s="6">
        <v>45572</v>
      </c>
      <c r="B47" t="s">
        <v>40</v>
      </c>
      <c r="C47" s="9">
        <v>25</v>
      </c>
      <c r="D47">
        <v>139.25</v>
      </c>
      <c r="E47" s="29">
        <v>150</v>
      </c>
      <c r="F47" s="50">
        <v>130</v>
      </c>
      <c r="G47" s="21">
        <f t="shared" si="6"/>
        <v>2.1621621621621623</v>
      </c>
      <c r="J47" s="30"/>
      <c r="K47" s="35"/>
      <c r="L47" s="37"/>
      <c r="M47" s="58"/>
      <c r="N47" s="35"/>
      <c r="O47" s="85"/>
      <c r="P47" s="86"/>
      <c r="Q47" s="78"/>
    </row>
    <row r="48" spans="1:19" ht="16.5" customHeight="1">
      <c r="A48" s="6">
        <v>45569</v>
      </c>
      <c r="B48" t="s">
        <v>310</v>
      </c>
      <c r="C48" s="9">
        <v>700</v>
      </c>
      <c r="D48">
        <v>1.08</v>
      </c>
      <c r="E48" s="29">
        <v>1.5</v>
      </c>
      <c r="F48" s="50">
        <v>1</v>
      </c>
      <c r="G48" s="21">
        <f t="shared" si="6"/>
        <v>6.2499999999999947</v>
      </c>
      <c r="H48" s="6">
        <v>45589</v>
      </c>
      <c r="I48" s="29">
        <v>1.1299999999999999</v>
      </c>
      <c r="J48" s="30">
        <f t="shared" ref="J48:J57" si="12">I48/D48 -1</f>
        <v>4.6296296296296058E-2</v>
      </c>
      <c r="K48" s="35">
        <f t="shared" ref="K48:K57" si="13">(C48*I48) - (C48*D48)</f>
        <v>34.999999999999886</v>
      </c>
      <c r="L48" s="21">
        <f t="shared" ref="L48:L57" si="14">H48-A48</f>
        <v>20</v>
      </c>
      <c r="M48" s="9">
        <f t="shared" ref="M48:M57" si="15">IF(J48&gt;0,1,0)</f>
        <v>1</v>
      </c>
      <c r="N48">
        <f t="shared" ref="N48:N57" si="16">IF(K48&gt;0, K48, 0)</f>
        <v>34.999999999999886</v>
      </c>
      <c r="O48">
        <v>0</v>
      </c>
      <c r="P48" s="86"/>
      <c r="Q48" s="78"/>
      <c r="R48" s="16">
        <v>-756.94</v>
      </c>
    </row>
    <row r="49" spans="1:19" ht="16.5" customHeight="1">
      <c r="A49" s="6">
        <v>45562</v>
      </c>
      <c r="B49" t="s">
        <v>741</v>
      </c>
      <c r="C49" s="9">
        <v>43</v>
      </c>
      <c r="D49">
        <v>24.8</v>
      </c>
      <c r="E49" s="29">
        <v>28</v>
      </c>
      <c r="F49" s="50">
        <v>24</v>
      </c>
      <c r="G49" s="21">
        <f t="shared" si="6"/>
        <v>4.9999999999999956</v>
      </c>
      <c r="H49" s="6">
        <v>45630</v>
      </c>
      <c r="I49" s="29">
        <v>25.6</v>
      </c>
      <c r="J49" s="30">
        <f>I49/D49 -1</f>
        <v>3.2258064516129004E-2</v>
      </c>
      <c r="K49" s="35">
        <f>(C49*I49) - (C49*D49)</f>
        <v>34.399999999999864</v>
      </c>
      <c r="L49" s="21">
        <f>H49-A49</f>
        <v>68</v>
      </c>
      <c r="M49" s="9">
        <f>IF(J49&gt;0,1,0)</f>
        <v>1</v>
      </c>
      <c r="N49">
        <f>IF(K49&gt;0, K49, 0)</f>
        <v>34.399999999999864</v>
      </c>
      <c r="O49">
        <v>0</v>
      </c>
      <c r="P49" s="86"/>
      <c r="Q49" s="78"/>
      <c r="R49" s="16"/>
    </row>
    <row r="50" spans="1:19" ht="16.5" customHeight="1">
      <c r="A50" s="6">
        <v>45561</v>
      </c>
      <c r="B50" t="s">
        <v>543</v>
      </c>
      <c r="C50" s="9">
        <v>16</v>
      </c>
      <c r="D50">
        <v>45.84</v>
      </c>
      <c r="E50" s="29">
        <v>50</v>
      </c>
      <c r="F50" s="50">
        <v>45</v>
      </c>
      <c r="G50" s="21">
        <f t="shared" si="6"/>
        <v>5.9523809523809286</v>
      </c>
      <c r="H50" s="6">
        <v>45572</v>
      </c>
      <c r="I50" s="29">
        <v>46</v>
      </c>
      <c r="J50" s="30">
        <f t="shared" si="12"/>
        <v>3.4904013961605251E-3</v>
      </c>
      <c r="K50" s="35">
        <f t="shared" si="13"/>
        <v>2.5599999999999454</v>
      </c>
      <c r="L50" s="21">
        <f t="shared" si="14"/>
        <v>11</v>
      </c>
      <c r="M50" s="9">
        <f t="shared" si="15"/>
        <v>1</v>
      </c>
      <c r="N50">
        <f t="shared" si="16"/>
        <v>2.5599999999999454</v>
      </c>
      <c r="O50">
        <v>0</v>
      </c>
      <c r="P50" s="86"/>
      <c r="Q50" s="78"/>
      <c r="R50" s="16">
        <v>-759.5</v>
      </c>
      <c r="S50" s="16">
        <v>450.01</v>
      </c>
    </row>
    <row r="51" spans="1:19" ht="16.5" customHeight="1">
      <c r="A51" s="6">
        <v>45561</v>
      </c>
      <c r="B51" s="61" t="s">
        <v>353</v>
      </c>
      <c r="C51" s="9">
        <v>46</v>
      </c>
      <c r="D51">
        <v>16.100000000000001</v>
      </c>
      <c r="E51" s="29">
        <v>16.5</v>
      </c>
      <c r="F51" s="50">
        <v>15.6</v>
      </c>
      <c r="G51" s="21">
        <f t="shared" si="6"/>
        <v>1.7999999999999943</v>
      </c>
      <c r="H51" s="6">
        <v>45568</v>
      </c>
      <c r="I51" s="29">
        <v>16.2</v>
      </c>
      <c r="J51" s="30">
        <f t="shared" si="12"/>
        <v>6.2111801242235032E-3</v>
      </c>
      <c r="K51" s="35">
        <f t="shared" si="13"/>
        <v>4.5999999999999091</v>
      </c>
      <c r="L51" s="21">
        <f t="shared" si="14"/>
        <v>7</v>
      </c>
      <c r="M51" s="9">
        <f t="shared" si="15"/>
        <v>1</v>
      </c>
      <c r="N51">
        <f t="shared" si="16"/>
        <v>4.5999999999999091</v>
      </c>
      <c r="O51">
        <v>0</v>
      </c>
      <c r="P51" s="86"/>
      <c r="Q51" s="78"/>
      <c r="R51" s="16">
        <v>-838.28</v>
      </c>
      <c r="S51" s="28">
        <v>-103.56</v>
      </c>
    </row>
    <row r="52" spans="1:19" ht="16.5" customHeight="1">
      <c r="A52" s="6">
        <v>45561</v>
      </c>
      <c r="B52" t="s">
        <v>473</v>
      </c>
      <c r="C52" s="9">
        <v>14</v>
      </c>
      <c r="D52">
        <v>210.3</v>
      </c>
      <c r="E52" s="29">
        <v>240</v>
      </c>
      <c r="F52" s="50">
        <v>205</v>
      </c>
      <c r="G52" s="21">
        <f t="shared" si="6"/>
        <v>6.603773584905646</v>
      </c>
      <c r="H52" s="6">
        <v>45579</v>
      </c>
      <c r="I52" s="29">
        <v>221.5</v>
      </c>
      <c r="J52" s="30">
        <f t="shared" si="12"/>
        <v>5.3257251545411277E-2</v>
      </c>
      <c r="K52" s="35">
        <f t="shared" si="13"/>
        <v>156.79999999999973</v>
      </c>
      <c r="L52" s="21">
        <f t="shared" si="14"/>
        <v>18</v>
      </c>
      <c r="M52" s="9">
        <f t="shared" si="15"/>
        <v>1</v>
      </c>
      <c r="N52">
        <f t="shared" si="16"/>
        <v>156.79999999999973</v>
      </c>
      <c r="O52">
        <v>0</v>
      </c>
      <c r="P52" s="86"/>
      <c r="Q52" s="78"/>
      <c r="R52" s="16">
        <v>-842.88</v>
      </c>
    </row>
    <row r="53" spans="1:19" ht="16.5" customHeight="1">
      <c r="A53" s="6">
        <v>45561</v>
      </c>
      <c r="B53" t="s">
        <v>94</v>
      </c>
      <c r="C53" s="9">
        <v>14</v>
      </c>
      <c r="D53">
        <v>226.4</v>
      </c>
      <c r="E53" s="29">
        <v>240</v>
      </c>
      <c r="F53" s="50">
        <v>220</v>
      </c>
      <c r="G53" s="21">
        <f t="shared" si="6"/>
        <v>3.1249999999999973</v>
      </c>
      <c r="H53" s="6">
        <v>45565</v>
      </c>
      <c r="I53" s="29">
        <v>233</v>
      </c>
      <c r="J53" s="30">
        <f t="shared" si="12"/>
        <v>2.9151943462897512E-2</v>
      </c>
      <c r="K53" s="35">
        <f t="shared" si="13"/>
        <v>92.400000000000091</v>
      </c>
      <c r="L53" s="21">
        <f t="shared" si="14"/>
        <v>4</v>
      </c>
      <c r="M53" s="9">
        <f t="shared" si="15"/>
        <v>1</v>
      </c>
      <c r="N53">
        <f t="shared" si="16"/>
        <v>92.400000000000091</v>
      </c>
      <c r="O53">
        <v>0</v>
      </c>
      <c r="P53" s="86"/>
      <c r="Q53" s="78"/>
    </row>
    <row r="54" spans="1:19" ht="16.5" customHeight="1">
      <c r="A54" s="6">
        <v>45561</v>
      </c>
      <c r="B54" t="s">
        <v>232</v>
      </c>
      <c r="C54" s="9">
        <v>7</v>
      </c>
      <c r="D54">
        <v>268</v>
      </c>
      <c r="E54" s="29">
        <v>300</v>
      </c>
      <c r="F54" s="50">
        <v>250</v>
      </c>
      <c r="G54" s="21">
        <f t="shared" si="6"/>
        <v>2.7777777777777777</v>
      </c>
      <c r="H54" s="6">
        <v>45580</v>
      </c>
      <c r="I54" s="16">
        <v>265.92</v>
      </c>
      <c r="J54" s="25">
        <f t="shared" si="12"/>
        <v>-7.7611940298506488E-3</v>
      </c>
      <c r="K54" s="36">
        <f t="shared" si="13"/>
        <v>-14.559999999999945</v>
      </c>
      <c r="L54" s="24">
        <f t="shared" si="14"/>
        <v>19</v>
      </c>
      <c r="M54" s="52">
        <f t="shared" si="15"/>
        <v>0</v>
      </c>
      <c r="N54" s="24">
        <f t="shared" si="16"/>
        <v>0</v>
      </c>
      <c r="O54" s="17">
        <f>IF(K54&lt;0, K54, 0)</f>
        <v>-14.559999999999945</v>
      </c>
      <c r="P54" s="86"/>
      <c r="Q54" s="78"/>
      <c r="R54" s="16">
        <v>-524.47</v>
      </c>
    </row>
    <row r="55" spans="1:19" ht="16.5" customHeight="1">
      <c r="A55" s="6">
        <v>45560</v>
      </c>
      <c r="B55" t="s">
        <v>590</v>
      </c>
      <c r="C55" s="9">
        <v>14</v>
      </c>
      <c r="D55">
        <v>229.2</v>
      </c>
      <c r="E55" s="29">
        <v>240</v>
      </c>
      <c r="F55" s="50">
        <v>214</v>
      </c>
      <c r="G55" s="21">
        <f t="shared" si="6"/>
        <v>1.710526315789475</v>
      </c>
      <c r="H55" s="6">
        <v>45565</v>
      </c>
      <c r="I55" s="29">
        <v>232</v>
      </c>
      <c r="J55" s="30">
        <f t="shared" si="12"/>
        <v>1.221640488656206E-2</v>
      </c>
      <c r="K55" s="35">
        <f t="shared" si="13"/>
        <v>39.200000000000273</v>
      </c>
      <c r="L55" s="21">
        <f t="shared" si="14"/>
        <v>5</v>
      </c>
      <c r="M55" s="9">
        <f t="shared" si="15"/>
        <v>1</v>
      </c>
      <c r="N55">
        <f t="shared" si="16"/>
        <v>39.200000000000273</v>
      </c>
      <c r="O55">
        <v>0</v>
      </c>
      <c r="P55" s="86"/>
      <c r="Q55" s="78"/>
    </row>
    <row r="56" spans="1:19" ht="16.5" customHeight="1">
      <c r="A56" s="6">
        <v>45559</v>
      </c>
      <c r="B56" t="s">
        <v>232</v>
      </c>
      <c r="C56" s="9">
        <v>14</v>
      </c>
      <c r="D56">
        <v>266.5</v>
      </c>
      <c r="E56" s="29">
        <v>300</v>
      </c>
      <c r="F56" s="50">
        <v>250</v>
      </c>
      <c r="G56" s="21">
        <f t="shared" si="6"/>
        <v>3.0303030303030303</v>
      </c>
      <c r="H56" s="6">
        <v>45561</v>
      </c>
      <c r="I56" s="29">
        <v>268.2</v>
      </c>
      <c r="J56" s="30">
        <f t="shared" si="12"/>
        <v>6.3789868667916139E-3</v>
      </c>
      <c r="K56" s="35">
        <f t="shared" si="13"/>
        <v>23.799999999999727</v>
      </c>
      <c r="L56" s="21">
        <f t="shared" si="14"/>
        <v>2</v>
      </c>
      <c r="M56" s="9">
        <f t="shared" si="15"/>
        <v>1</v>
      </c>
      <c r="N56">
        <f t="shared" si="16"/>
        <v>23.799999999999727</v>
      </c>
      <c r="O56">
        <v>0</v>
      </c>
      <c r="P56" s="86"/>
      <c r="Q56" s="78"/>
      <c r="R56" s="16">
        <v>-668.52</v>
      </c>
    </row>
    <row r="57" spans="1:19" ht="16.5" customHeight="1">
      <c r="A57" s="6">
        <v>45558</v>
      </c>
      <c r="B57" t="s">
        <v>741</v>
      </c>
      <c r="C57" s="9">
        <v>29</v>
      </c>
      <c r="D57">
        <v>23.75</v>
      </c>
      <c r="E57" s="29">
        <v>30</v>
      </c>
      <c r="F57" s="50">
        <v>23</v>
      </c>
      <c r="G57" s="21">
        <f t="shared" si="6"/>
        <v>9.3333333333333339</v>
      </c>
      <c r="H57" s="6">
        <v>45561</v>
      </c>
      <c r="I57" s="29">
        <v>24.4</v>
      </c>
      <c r="J57" s="30">
        <f t="shared" si="12"/>
        <v>2.7368421052631486E-2</v>
      </c>
      <c r="K57" s="35">
        <f t="shared" si="13"/>
        <v>18.849999999999909</v>
      </c>
      <c r="L57" s="21">
        <f t="shared" si="14"/>
        <v>3</v>
      </c>
      <c r="M57" s="9">
        <f t="shared" si="15"/>
        <v>1</v>
      </c>
      <c r="N57">
        <f t="shared" si="16"/>
        <v>18.849999999999909</v>
      </c>
      <c r="O57">
        <v>0</v>
      </c>
      <c r="P57" s="86"/>
      <c r="Q57" s="78"/>
      <c r="R57" s="16">
        <v>-985.06</v>
      </c>
    </row>
    <row r="58" spans="1:19" ht="16.5" customHeight="1">
      <c r="A58" s="6">
        <v>45558</v>
      </c>
      <c r="B58" t="s">
        <v>227</v>
      </c>
      <c r="C58" s="9">
        <v>6</v>
      </c>
      <c r="D58">
        <v>527</v>
      </c>
      <c r="E58" s="29">
        <v>600</v>
      </c>
      <c r="F58" s="50">
        <v>506</v>
      </c>
      <c r="G58" s="21">
        <f t="shared" si="6"/>
        <v>4.4761904761904763</v>
      </c>
      <c r="H58" s="6">
        <v>45636</v>
      </c>
      <c r="I58" s="29">
        <v>547.25</v>
      </c>
      <c r="J58" s="30">
        <f t="shared" ref="J58:J63" si="17">I58/D58 -1</f>
        <v>3.8425047438330084E-2</v>
      </c>
      <c r="K58" s="35">
        <f t="shared" ref="K58:K63" si="18">(C58*I58) - (C58*D58)</f>
        <v>121.5</v>
      </c>
      <c r="L58" s="21">
        <f t="shared" ref="L58:L63" si="19">H58-A58</f>
        <v>78</v>
      </c>
      <c r="M58" s="9">
        <f t="shared" ref="M58:M63" si="20">IF(J58&gt;0,1,0)</f>
        <v>1</v>
      </c>
      <c r="N58">
        <f t="shared" ref="N58:N63" si="21">IF(K58&gt;0, K58, 0)</f>
        <v>121.5</v>
      </c>
      <c r="O58">
        <v>0</v>
      </c>
      <c r="P58" s="86"/>
      <c r="Q58" s="78"/>
    </row>
    <row r="59" spans="1:19" ht="16.5" customHeight="1">
      <c r="A59" s="6">
        <v>45558</v>
      </c>
      <c r="B59" t="s">
        <v>590</v>
      </c>
      <c r="C59" s="9">
        <v>14</v>
      </c>
      <c r="D59">
        <v>221</v>
      </c>
      <c r="E59" s="29">
        <v>240</v>
      </c>
      <c r="F59" s="50">
        <v>214</v>
      </c>
      <c r="G59" s="21">
        <f t="shared" si="6"/>
        <v>3.7142857142857144</v>
      </c>
      <c r="H59" s="6">
        <v>45560</v>
      </c>
      <c r="I59" s="29">
        <v>229.35</v>
      </c>
      <c r="J59" s="30">
        <f t="shared" si="17"/>
        <v>3.7782805429864119E-2</v>
      </c>
      <c r="K59" s="35">
        <f t="shared" si="18"/>
        <v>116.90000000000009</v>
      </c>
      <c r="L59" s="21">
        <f t="shared" si="19"/>
        <v>2</v>
      </c>
      <c r="M59" s="9">
        <f t="shared" si="20"/>
        <v>1</v>
      </c>
      <c r="N59">
        <f t="shared" si="21"/>
        <v>116.90000000000009</v>
      </c>
      <c r="O59">
        <v>0</v>
      </c>
      <c r="P59" s="86"/>
      <c r="Q59" s="78"/>
    </row>
    <row r="60" spans="1:19" ht="16.5" customHeight="1">
      <c r="A60" s="6">
        <v>45558</v>
      </c>
      <c r="B60" t="s">
        <v>232</v>
      </c>
      <c r="C60" s="9">
        <v>14</v>
      </c>
      <c r="D60">
        <v>260</v>
      </c>
      <c r="E60" s="29">
        <v>300</v>
      </c>
      <c r="F60" s="50">
        <v>250</v>
      </c>
      <c r="G60" s="21">
        <f t="shared" si="6"/>
        <v>5</v>
      </c>
      <c r="H60" s="6">
        <v>45559</v>
      </c>
      <c r="I60" s="29">
        <v>266.75</v>
      </c>
      <c r="J60" s="30">
        <f t="shared" si="17"/>
        <v>2.5961538461538369E-2</v>
      </c>
      <c r="K60" s="35">
        <f t="shared" si="18"/>
        <v>94.5</v>
      </c>
      <c r="L60" s="21">
        <f t="shared" si="19"/>
        <v>1</v>
      </c>
      <c r="M60" s="9">
        <f t="shared" si="20"/>
        <v>1</v>
      </c>
      <c r="N60">
        <f t="shared" si="21"/>
        <v>94.5</v>
      </c>
      <c r="O60">
        <v>0</v>
      </c>
      <c r="P60" s="86"/>
      <c r="Q60" s="78"/>
      <c r="R60" s="16">
        <v>-1079.56</v>
      </c>
    </row>
    <row r="61" spans="1:19" ht="16.5" customHeight="1">
      <c r="A61" s="6">
        <v>45554</v>
      </c>
      <c r="B61" t="s">
        <v>231</v>
      </c>
      <c r="C61" s="9">
        <v>41</v>
      </c>
      <c r="D61">
        <v>77.349999999999994</v>
      </c>
      <c r="E61" s="29">
        <v>80</v>
      </c>
      <c r="F61" s="50">
        <v>75</v>
      </c>
      <c r="G61" s="21">
        <f t="shared" ref="G61:G67" si="22" xml:space="preserve"> (E61 - F61)/(D61-F61)</f>
        <v>2.1276595744680904</v>
      </c>
      <c r="H61" s="6">
        <v>45560</v>
      </c>
      <c r="I61" s="29">
        <v>77.599999999999994</v>
      </c>
      <c r="J61" s="30">
        <f t="shared" si="17"/>
        <v>3.2320620555914559E-3</v>
      </c>
      <c r="K61" s="35">
        <f t="shared" si="18"/>
        <v>10.25</v>
      </c>
      <c r="L61" s="21">
        <f t="shared" si="19"/>
        <v>6</v>
      </c>
      <c r="M61" s="9">
        <f t="shared" si="20"/>
        <v>1</v>
      </c>
      <c r="N61">
        <f t="shared" si="21"/>
        <v>10.25</v>
      </c>
      <c r="O61">
        <v>0</v>
      </c>
      <c r="P61" s="86"/>
      <c r="Q61" s="78"/>
      <c r="R61" s="16">
        <v>-1182.06</v>
      </c>
    </row>
    <row r="62" spans="1:19" ht="15.75" customHeight="1">
      <c r="A62" s="6">
        <v>45554</v>
      </c>
      <c r="B62" t="s">
        <v>512</v>
      </c>
      <c r="C62" s="9">
        <v>19</v>
      </c>
      <c r="D62">
        <v>155.5</v>
      </c>
      <c r="E62" s="29">
        <v>200</v>
      </c>
      <c r="F62" s="50">
        <v>150</v>
      </c>
      <c r="G62" s="21">
        <f t="shared" si="22"/>
        <v>9.0909090909090917</v>
      </c>
      <c r="H62" s="6">
        <v>45583</v>
      </c>
      <c r="I62" s="29">
        <v>155.51</v>
      </c>
      <c r="J62" s="30">
        <f t="shared" si="17"/>
        <v>6.4308681672065049E-5</v>
      </c>
      <c r="K62" s="35">
        <f t="shared" si="18"/>
        <v>0.18999999999959982</v>
      </c>
      <c r="L62" s="21">
        <f t="shared" si="19"/>
        <v>29</v>
      </c>
      <c r="M62" s="9">
        <f t="shared" si="20"/>
        <v>1</v>
      </c>
      <c r="N62">
        <f t="shared" si="21"/>
        <v>0.18999999999959982</v>
      </c>
      <c r="O62">
        <v>0</v>
      </c>
      <c r="P62" s="86"/>
      <c r="Q62" s="78"/>
      <c r="R62" s="28">
        <v>168.24</v>
      </c>
    </row>
    <row r="63" spans="1:19" ht="15.75" customHeight="1">
      <c r="A63" s="6">
        <v>45553</v>
      </c>
      <c r="B63" t="s">
        <v>629</v>
      </c>
      <c r="C63" s="9">
        <v>390</v>
      </c>
      <c r="D63">
        <v>2.85</v>
      </c>
      <c r="E63" s="29">
        <v>4</v>
      </c>
      <c r="F63" s="50">
        <v>2.6</v>
      </c>
      <c r="G63" s="21">
        <f t="shared" si="22"/>
        <v>5.6</v>
      </c>
      <c r="H63" s="6">
        <v>45561</v>
      </c>
      <c r="I63" s="29">
        <v>3.11</v>
      </c>
      <c r="J63" s="30">
        <f t="shared" si="17"/>
        <v>9.1228070175438436E-2</v>
      </c>
      <c r="K63" s="35">
        <f t="shared" si="18"/>
        <v>101.39999999999986</v>
      </c>
      <c r="L63" s="21">
        <f t="shared" si="19"/>
        <v>8</v>
      </c>
      <c r="M63" s="9">
        <f t="shared" si="20"/>
        <v>1</v>
      </c>
      <c r="N63">
        <f t="shared" si="21"/>
        <v>101.39999999999986</v>
      </c>
      <c r="O63">
        <v>0</v>
      </c>
      <c r="P63" s="86"/>
      <c r="Q63" s="78"/>
    </row>
    <row r="64" spans="1:19" ht="15.75" customHeight="1">
      <c r="A64" s="6">
        <v>45553</v>
      </c>
      <c r="B64" t="s">
        <v>227</v>
      </c>
      <c r="C64" s="9">
        <v>5</v>
      </c>
      <c r="D64">
        <v>508.5</v>
      </c>
      <c r="E64" s="29">
        <v>600</v>
      </c>
      <c r="F64" s="50">
        <v>500</v>
      </c>
      <c r="G64" s="21">
        <f t="shared" si="22"/>
        <v>11.764705882352942</v>
      </c>
      <c r="H64" s="6">
        <v>45555</v>
      </c>
      <c r="I64" s="29">
        <v>522</v>
      </c>
      <c r="J64" s="30">
        <f t="shared" ref="J64:J70" si="23">I64/D64 -1</f>
        <v>2.6548672566371723E-2</v>
      </c>
      <c r="K64" s="35">
        <f t="shared" ref="K64:K70" si="24">(C64*I64) - (C64*D64)</f>
        <v>67.5</v>
      </c>
      <c r="L64" s="21">
        <f t="shared" ref="L64:L70" si="25">H64-A64</f>
        <v>2</v>
      </c>
      <c r="M64" s="9">
        <f t="shared" ref="M64:M70" si="26">IF(J64&gt;0,1,0)</f>
        <v>1</v>
      </c>
      <c r="N64">
        <f t="shared" ref="N64:N70" si="27">IF(K64&gt;0, K64, 0)</f>
        <v>67.5</v>
      </c>
      <c r="O64">
        <v>0</v>
      </c>
      <c r="P64" s="86"/>
      <c r="Q64" s="78"/>
    </row>
    <row r="65" spans="1:19" ht="15.75" customHeight="1">
      <c r="A65" s="6">
        <v>45551</v>
      </c>
      <c r="B65" t="s">
        <v>40</v>
      </c>
      <c r="C65" s="9">
        <v>25</v>
      </c>
      <c r="D65">
        <v>126.4</v>
      </c>
      <c r="E65" s="29">
        <v>160</v>
      </c>
      <c r="F65" s="50">
        <v>124</v>
      </c>
      <c r="G65" s="21">
        <f t="shared" si="22"/>
        <v>14.999999999999964</v>
      </c>
      <c r="H65" s="6">
        <v>45558</v>
      </c>
      <c r="I65" s="29">
        <v>130.5</v>
      </c>
      <c r="J65" s="30">
        <f t="shared" si="23"/>
        <v>3.2436708860759556E-2</v>
      </c>
      <c r="K65" s="35">
        <f t="shared" si="24"/>
        <v>102.5</v>
      </c>
      <c r="L65" s="21">
        <f t="shared" si="25"/>
        <v>7</v>
      </c>
      <c r="M65" s="9">
        <f t="shared" si="26"/>
        <v>1</v>
      </c>
      <c r="N65">
        <f t="shared" si="27"/>
        <v>102.5</v>
      </c>
      <c r="O65">
        <v>0</v>
      </c>
      <c r="P65" s="86"/>
      <c r="Q65" s="78"/>
    </row>
    <row r="66" spans="1:19" ht="15.75" customHeight="1">
      <c r="A66" s="6">
        <v>45551</v>
      </c>
      <c r="B66" t="s">
        <v>231</v>
      </c>
      <c r="C66" s="9">
        <v>41</v>
      </c>
      <c r="D66">
        <v>71</v>
      </c>
      <c r="E66" s="29">
        <v>75</v>
      </c>
      <c r="F66" s="50">
        <v>67</v>
      </c>
      <c r="G66" s="21">
        <f t="shared" si="22"/>
        <v>2</v>
      </c>
      <c r="H66" s="6">
        <v>45554</v>
      </c>
      <c r="I66" s="29">
        <v>77.400000000000006</v>
      </c>
      <c r="J66" s="30">
        <f t="shared" si="23"/>
        <v>9.0140845070422637E-2</v>
      </c>
      <c r="K66" s="35">
        <f t="shared" si="24"/>
        <v>262.40000000000009</v>
      </c>
      <c r="L66" s="21">
        <f t="shared" si="25"/>
        <v>3</v>
      </c>
      <c r="M66" s="9">
        <f t="shared" si="26"/>
        <v>1</v>
      </c>
      <c r="N66">
        <f t="shared" si="27"/>
        <v>262.40000000000009</v>
      </c>
      <c r="O66">
        <v>0</v>
      </c>
      <c r="P66" s="86"/>
      <c r="Q66" s="78"/>
    </row>
    <row r="67" spans="1:19" ht="15.75" customHeight="1">
      <c r="A67" s="6">
        <v>45547</v>
      </c>
      <c r="B67" t="s">
        <v>834</v>
      </c>
      <c r="C67" s="9">
        <v>5</v>
      </c>
      <c r="D67">
        <v>128.1</v>
      </c>
      <c r="E67" s="29">
        <v>160</v>
      </c>
      <c r="F67" s="50">
        <v>120</v>
      </c>
      <c r="G67" s="21">
        <f t="shared" si="22"/>
        <v>4.9382716049382749</v>
      </c>
      <c r="H67" s="6">
        <v>45555</v>
      </c>
      <c r="I67" s="29">
        <v>139.5</v>
      </c>
      <c r="J67" s="30">
        <f t="shared" si="23"/>
        <v>8.8992974238875977E-2</v>
      </c>
      <c r="K67" s="35">
        <f t="shared" si="24"/>
        <v>57</v>
      </c>
      <c r="L67" s="21">
        <f t="shared" si="25"/>
        <v>8</v>
      </c>
      <c r="M67" s="9">
        <f t="shared" si="26"/>
        <v>1</v>
      </c>
      <c r="N67">
        <f t="shared" si="27"/>
        <v>57</v>
      </c>
      <c r="O67">
        <v>0</v>
      </c>
      <c r="P67" s="86"/>
      <c r="Q67" s="78"/>
      <c r="R67" s="16">
        <v>-94.16</v>
      </c>
    </row>
    <row r="68" spans="1:19" ht="15.75" customHeight="1">
      <c r="A68" s="6">
        <v>45546</v>
      </c>
      <c r="B68" t="s">
        <v>710</v>
      </c>
      <c r="C68" s="9">
        <v>4</v>
      </c>
      <c r="D68">
        <v>777</v>
      </c>
      <c r="E68" s="29">
        <v>1000</v>
      </c>
      <c r="F68" s="50">
        <v>735</v>
      </c>
      <c r="G68" s="21">
        <f t="shared" ref="G68:G100" si="28" xml:space="preserve"> (E68 - F68)/(D68-F68)</f>
        <v>6.3095238095238093</v>
      </c>
      <c r="H68" s="6">
        <v>45548</v>
      </c>
      <c r="I68" s="29">
        <v>817</v>
      </c>
      <c r="J68" s="30">
        <f t="shared" si="23"/>
        <v>5.1480051480051525E-2</v>
      </c>
      <c r="K68" s="35">
        <f t="shared" si="24"/>
        <v>160</v>
      </c>
      <c r="L68" s="21">
        <f t="shared" si="25"/>
        <v>2</v>
      </c>
      <c r="M68" s="9">
        <f t="shared" si="26"/>
        <v>1</v>
      </c>
      <c r="N68">
        <f t="shared" si="27"/>
        <v>160</v>
      </c>
      <c r="O68">
        <v>0</v>
      </c>
      <c r="P68" s="86"/>
      <c r="Q68" s="78"/>
      <c r="R68" s="16">
        <v>-213.11</v>
      </c>
    </row>
    <row r="69" spans="1:19" ht="15.75" customHeight="1">
      <c r="A69" s="6">
        <v>45546</v>
      </c>
      <c r="B69" t="s">
        <v>473</v>
      </c>
      <c r="C69" s="9">
        <v>12</v>
      </c>
      <c r="D69">
        <v>207</v>
      </c>
      <c r="E69" s="29">
        <v>230</v>
      </c>
      <c r="F69" s="50">
        <v>200</v>
      </c>
      <c r="G69" s="21">
        <f t="shared" si="28"/>
        <v>4.2857142857142856</v>
      </c>
      <c r="H69" s="6">
        <v>45555</v>
      </c>
      <c r="I69" s="29">
        <v>211.1</v>
      </c>
      <c r="J69" s="30">
        <f t="shared" si="23"/>
        <v>1.9806763285024065E-2</v>
      </c>
      <c r="K69" s="35">
        <f t="shared" si="24"/>
        <v>49.199999999999818</v>
      </c>
      <c r="L69" s="21">
        <f t="shared" si="25"/>
        <v>9</v>
      </c>
      <c r="M69" s="9">
        <f t="shared" si="26"/>
        <v>1</v>
      </c>
      <c r="N69">
        <f t="shared" si="27"/>
        <v>49.199999999999818</v>
      </c>
      <c r="O69">
        <v>0</v>
      </c>
      <c r="P69" s="86"/>
      <c r="Q69" s="78"/>
      <c r="R69" s="16">
        <v>-373.11</v>
      </c>
    </row>
    <row r="70" spans="1:19" ht="15.75" customHeight="1">
      <c r="A70" s="6">
        <v>45545</v>
      </c>
      <c r="B70" t="s">
        <v>610</v>
      </c>
      <c r="C70" s="9">
        <v>61</v>
      </c>
      <c r="D70">
        <v>16.25</v>
      </c>
      <c r="E70" s="29">
        <v>20</v>
      </c>
      <c r="F70" s="50">
        <v>16</v>
      </c>
      <c r="G70" s="21">
        <f t="shared" si="28"/>
        <v>16</v>
      </c>
      <c r="H70" s="6">
        <v>45552</v>
      </c>
      <c r="I70" s="29">
        <v>18.2</v>
      </c>
      <c r="J70" s="30">
        <f t="shared" si="23"/>
        <v>0.11999999999999988</v>
      </c>
      <c r="K70" s="35">
        <f t="shared" si="24"/>
        <v>118.95000000000005</v>
      </c>
      <c r="L70" s="21">
        <f t="shared" si="25"/>
        <v>7</v>
      </c>
      <c r="M70" s="9">
        <f t="shared" si="26"/>
        <v>1</v>
      </c>
      <c r="N70">
        <f t="shared" si="27"/>
        <v>118.95000000000005</v>
      </c>
      <c r="O70">
        <v>0</v>
      </c>
      <c r="P70" s="86"/>
      <c r="Q70" s="78"/>
    </row>
    <row r="71" spans="1:19" ht="15.75" customHeight="1">
      <c r="A71" s="6">
        <v>45540</v>
      </c>
      <c r="B71" s="119" t="s">
        <v>47</v>
      </c>
      <c r="C71" s="76">
        <v>600</v>
      </c>
      <c r="D71">
        <v>2.0699999999999998</v>
      </c>
      <c r="E71" s="29">
        <v>2.5</v>
      </c>
      <c r="F71" s="50">
        <v>0.6</v>
      </c>
      <c r="G71" s="21">
        <f t="shared" si="28"/>
        <v>1.2925170068027212</v>
      </c>
      <c r="J71" s="30"/>
      <c r="K71" s="35"/>
      <c r="L71" s="37"/>
      <c r="M71" s="58"/>
      <c r="N71" s="35"/>
      <c r="O71" s="85"/>
      <c r="P71" s="86"/>
      <c r="Q71" s="78"/>
      <c r="R71" s="16">
        <v>-432.46</v>
      </c>
    </row>
    <row r="72" spans="1:19" ht="15.75" customHeight="1">
      <c r="A72" s="6">
        <v>45532</v>
      </c>
      <c r="B72" t="s">
        <v>629</v>
      </c>
      <c r="C72" s="9">
        <v>378</v>
      </c>
      <c r="D72">
        <v>2.6</v>
      </c>
      <c r="E72" s="29">
        <v>4</v>
      </c>
      <c r="F72" s="50">
        <v>2.4500000000000002</v>
      </c>
      <c r="G72" s="21">
        <f t="shared" si="28"/>
        <v>10.333333333333337</v>
      </c>
      <c r="H72" s="6">
        <v>45544</v>
      </c>
      <c r="I72" s="29">
        <v>3.07</v>
      </c>
      <c r="J72" s="30">
        <f>I72/D72 -1</f>
        <v>0.18076923076923057</v>
      </c>
      <c r="K72" s="35">
        <f>(C72*I72) - (C72*D72)</f>
        <v>177.65999999999997</v>
      </c>
      <c r="L72" s="21">
        <f>H72-A72</f>
        <v>12</v>
      </c>
      <c r="M72" s="9">
        <f>IF(J72&gt;0,1,0)</f>
        <v>1</v>
      </c>
      <c r="N72">
        <f>IF(K72&gt;0, K72, 0)</f>
        <v>177.65999999999997</v>
      </c>
      <c r="O72">
        <v>0</v>
      </c>
      <c r="P72" s="86"/>
      <c r="Q72" s="78"/>
      <c r="R72" s="16">
        <v>-584.91999999999996</v>
      </c>
    </row>
    <row r="73" spans="1:19" ht="15.75" customHeight="1">
      <c r="A73" s="6">
        <v>45531</v>
      </c>
      <c r="B73" t="s">
        <v>639</v>
      </c>
      <c r="C73" s="9">
        <v>70</v>
      </c>
      <c r="D73">
        <v>55</v>
      </c>
      <c r="E73" s="29">
        <v>100</v>
      </c>
      <c r="F73" s="50">
        <v>50.5</v>
      </c>
      <c r="G73" s="21">
        <f t="shared" si="28"/>
        <v>11</v>
      </c>
      <c r="J73" s="30"/>
      <c r="K73" s="35"/>
      <c r="L73" s="37"/>
      <c r="M73" s="58"/>
      <c r="N73" s="35"/>
      <c r="O73" s="85"/>
      <c r="P73" s="86"/>
      <c r="Q73" s="78"/>
      <c r="R73" s="16">
        <v>-665.52</v>
      </c>
      <c r="S73" s="16">
        <v>471.61</v>
      </c>
    </row>
    <row r="74" spans="1:19" ht="15.75" customHeight="1">
      <c r="A74" s="6">
        <v>45530</v>
      </c>
      <c r="B74" s="61" t="s">
        <v>353</v>
      </c>
      <c r="C74" s="9">
        <v>200</v>
      </c>
      <c r="D74">
        <v>16.149999999999999</v>
      </c>
      <c r="E74" s="29">
        <v>17</v>
      </c>
      <c r="F74" s="50">
        <v>16</v>
      </c>
      <c r="G74" s="21">
        <f t="shared" si="28"/>
        <v>6.66666666666673</v>
      </c>
      <c r="H74" s="6">
        <v>45555</v>
      </c>
      <c r="I74" s="29">
        <v>16.2</v>
      </c>
      <c r="J74" s="30">
        <f>I74/D74 -1</f>
        <v>3.0959752321981782E-3</v>
      </c>
      <c r="K74" s="35">
        <f>(C74*I74) - (C74*D74)</f>
        <v>10.000000000000455</v>
      </c>
      <c r="L74" s="21">
        <f>H74-A74</f>
        <v>25</v>
      </c>
      <c r="M74" s="9">
        <f>IF(J74&gt;0,1,0)</f>
        <v>1</v>
      </c>
      <c r="N74">
        <f>IF(K74&gt;0, K74, 0)</f>
        <v>10.000000000000455</v>
      </c>
      <c r="O74">
        <v>0</v>
      </c>
      <c r="P74" s="86"/>
      <c r="Q74" s="78"/>
      <c r="R74" s="16"/>
      <c r="S74" s="28">
        <v>-69.05</v>
      </c>
    </row>
    <row r="75" spans="1:19" ht="15.75" customHeight="1">
      <c r="A75" s="6">
        <v>45530</v>
      </c>
      <c r="B75" s="61" t="s">
        <v>353</v>
      </c>
      <c r="C75" s="9">
        <v>50</v>
      </c>
      <c r="D75">
        <v>16.149999999999999</v>
      </c>
      <c r="E75" s="29">
        <v>17</v>
      </c>
      <c r="F75" s="50">
        <v>16</v>
      </c>
      <c r="G75" s="21">
        <f t="shared" si="28"/>
        <v>6.66666666666673</v>
      </c>
      <c r="H75" s="6">
        <v>45541</v>
      </c>
      <c r="I75" s="16">
        <v>15.85</v>
      </c>
      <c r="J75" s="25">
        <f>I75/D75 -1</f>
        <v>-1.8575851393188736E-2</v>
      </c>
      <c r="K75" s="36">
        <f>(C75*I75) - (C75*D75)</f>
        <v>-14.999999999999886</v>
      </c>
      <c r="L75" s="24">
        <f>H75-A75</f>
        <v>11</v>
      </c>
      <c r="M75" s="52">
        <f>IF(J75&gt;0,1,0)</f>
        <v>0</v>
      </c>
      <c r="N75" s="24">
        <f>IF(K75&gt;0, K75, 0)</f>
        <v>0</v>
      </c>
      <c r="O75" s="17">
        <f>IF(K75&lt;0, K75, 0)</f>
        <v>-14.999999999999886</v>
      </c>
      <c r="P75" s="86"/>
      <c r="Q75" s="78"/>
      <c r="R75" s="16">
        <v>-296.11</v>
      </c>
    </row>
    <row r="76" spans="1:19" ht="15.75" customHeight="1">
      <c r="A76" s="6">
        <v>45530</v>
      </c>
      <c r="B76" s="61" t="s">
        <v>814</v>
      </c>
      <c r="C76" s="9">
        <v>89</v>
      </c>
      <c r="D76">
        <v>43.6</v>
      </c>
      <c r="E76" s="29">
        <v>50</v>
      </c>
      <c r="F76" s="50">
        <v>40</v>
      </c>
      <c r="G76" s="21">
        <f t="shared" si="28"/>
        <v>2.7777777777777768</v>
      </c>
      <c r="J76" s="30"/>
      <c r="K76" s="35"/>
      <c r="L76" s="37"/>
      <c r="M76" s="58"/>
      <c r="N76" s="35"/>
      <c r="O76" s="85"/>
      <c r="P76" s="86"/>
      <c r="Q76" s="78"/>
      <c r="R76" s="16">
        <v>-311.11</v>
      </c>
    </row>
    <row r="77" spans="1:19" ht="15.75" customHeight="1">
      <c r="A77" s="6">
        <v>45525</v>
      </c>
      <c r="B77" s="61" t="s">
        <v>24</v>
      </c>
      <c r="C77" s="9">
        <v>5</v>
      </c>
      <c r="D77">
        <v>194</v>
      </c>
      <c r="E77" s="29">
        <v>225</v>
      </c>
      <c r="F77" s="50">
        <v>175</v>
      </c>
      <c r="G77" s="21">
        <f t="shared" si="28"/>
        <v>2.6315789473684212</v>
      </c>
      <c r="H77" s="6">
        <v>45531</v>
      </c>
      <c r="I77" s="29">
        <v>197</v>
      </c>
      <c r="J77" s="30">
        <f>I77/D77 -1</f>
        <v>1.5463917525773141E-2</v>
      </c>
      <c r="K77" s="35">
        <f>(C77*I77) - (C77*D77)</f>
        <v>15</v>
      </c>
      <c r="L77" s="21">
        <f>H77-A77</f>
        <v>6</v>
      </c>
      <c r="M77" s="9">
        <f>IF(J77&gt;0,1,0)</f>
        <v>1</v>
      </c>
      <c r="N77">
        <f>IF(K77&gt;0, K77, 0)</f>
        <v>15</v>
      </c>
      <c r="O77">
        <v>0</v>
      </c>
      <c r="P77" s="86"/>
      <c r="Q77" s="78"/>
      <c r="R77" s="16">
        <v>-318.01</v>
      </c>
    </row>
    <row r="78" spans="1:19" ht="15.75" customHeight="1">
      <c r="A78" s="6">
        <v>45525</v>
      </c>
      <c r="B78" s="22" t="s">
        <v>438</v>
      </c>
      <c r="C78" s="57">
        <v>200</v>
      </c>
      <c r="D78">
        <v>0.35</v>
      </c>
      <c r="E78" s="29">
        <v>1.1499999999999999</v>
      </c>
      <c r="F78" s="50">
        <v>0.17</v>
      </c>
      <c r="G78" s="21">
        <f t="shared" si="28"/>
        <v>5.4444444444444446</v>
      </c>
      <c r="H78" s="6">
        <v>45545</v>
      </c>
      <c r="I78" s="29">
        <v>0.7</v>
      </c>
      <c r="J78" s="30">
        <f>I78/D78 -1</f>
        <v>1</v>
      </c>
      <c r="K78" s="35">
        <f>(C78*I78) - (C78*D78)</f>
        <v>70</v>
      </c>
      <c r="L78" s="21">
        <f>H78-A78</f>
        <v>20</v>
      </c>
      <c r="M78" s="9">
        <f>IF(J78&gt;0,1,0)</f>
        <v>1</v>
      </c>
      <c r="N78">
        <f>IF(K78&gt;0, K78, 0)</f>
        <v>70</v>
      </c>
      <c r="O78">
        <v>0</v>
      </c>
      <c r="P78" s="86"/>
      <c r="Q78" s="78"/>
      <c r="R78" s="16"/>
    </row>
    <row r="79" spans="1:19" ht="15.75" customHeight="1">
      <c r="A79" s="6">
        <v>45525</v>
      </c>
      <c r="B79" s="22" t="s">
        <v>438</v>
      </c>
      <c r="C79" s="57">
        <v>200</v>
      </c>
      <c r="D79">
        <v>0.35</v>
      </c>
      <c r="E79" s="29">
        <v>1.1499999999999999</v>
      </c>
      <c r="F79" s="50">
        <v>0.17</v>
      </c>
      <c r="G79" s="21">
        <f t="shared" si="28"/>
        <v>5.4444444444444446</v>
      </c>
      <c r="H79" s="6">
        <v>45539</v>
      </c>
      <c r="I79" s="29">
        <v>0.7</v>
      </c>
      <c r="J79" s="30">
        <f>I79/D79 -1</f>
        <v>1</v>
      </c>
      <c r="K79" s="35">
        <f>(C79*I79) - (C79*D79)</f>
        <v>70</v>
      </c>
      <c r="L79" s="21">
        <f>H79-A79</f>
        <v>14</v>
      </c>
      <c r="M79" s="9">
        <f>IF(J79&gt;0,1,0)</f>
        <v>1</v>
      </c>
      <c r="N79">
        <f>IF(K79&gt;0, K79, 0)</f>
        <v>70</v>
      </c>
      <c r="O79">
        <v>0</v>
      </c>
      <c r="P79" s="86"/>
      <c r="Q79" s="78"/>
      <c r="R79" s="16">
        <v>-955.45</v>
      </c>
    </row>
    <row r="80" spans="1:19" ht="15.75" customHeight="1">
      <c r="A80" s="6">
        <v>45524</v>
      </c>
      <c r="B80" t="s">
        <v>17</v>
      </c>
      <c r="C80" s="9">
        <v>16</v>
      </c>
      <c r="D80">
        <v>55.58</v>
      </c>
      <c r="E80" s="29">
        <v>65</v>
      </c>
      <c r="F80" s="50">
        <v>55</v>
      </c>
      <c r="G80" s="21">
        <f t="shared" si="28"/>
        <v>17.241379310344879</v>
      </c>
      <c r="J80" s="30"/>
      <c r="K80" s="35"/>
      <c r="L80" s="37"/>
      <c r="M80" s="58"/>
      <c r="N80" s="35"/>
      <c r="O80" s="85"/>
      <c r="P80" s="86"/>
      <c r="Q80" s="78"/>
      <c r="R80" s="16">
        <v>-990.55</v>
      </c>
    </row>
    <row r="81" spans="1:19" ht="15.75" customHeight="1">
      <c r="A81" s="6">
        <v>45524</v>
      </c>
      <c r="B81" t="s">
        <v>675</v>
      </c>
      <c r="C81" s="9">
        <v>45</v>
      </c>
      <c r="D81">
        <v>18.010000000000002</v>
      </c>
      <c r="E81" s="29">
        <v>24</v>
      </c>
      <c r="F81" s="50">
        <v>17</v>
      </c>
      <c r="G81" s="21">
        <f t="shared" si="28"/>
        <v>6.93069306930692</v>
      </c>
      <c r="H81" s="6">
        <v>45593</v>
      </c>
      <c r="I81" s="29">
        <v>18.3</v>
      </c>
      <c r="J81" s="30">
        <f>I81/D81 -1</f>
        <v>1.6102165463631302E-2</v>
      </c>
      <c r="K81" s="35">
        <f>(C81*I81) - (C81*D81)</f>
        <v>13.049999999999955</v>
      </c>
      <c r="L81" s="21">
        <f>H81-A81</f>
        <v>69</v>
      </c>
      <c r="M81" s="9">
        <f>IF(J81&gt;0,1,0)</f>
        <v>1</v>
      </c>
      <c r="N81">
        <f>IF(K81&gt;0, K81, 0)</f>
        <v>13.049999999999955</v>
      </c>
      <c r="O81">
        <v>0</v>
      </c>
      <c r="P81" s="86"/>
      <c r="Q81" s="78"/>
      <c r="R81" s="16">
        <v>-1053.25</v>
      </c>
    </row>
    <row r="82" spans="1:19" ht="15.75" customHeight="1">
      <c r="A82" s="6">
        <v>45523</v>
      </c>
      <c r="B82" t="s">
        <v>296</v>
      </c>
      <c r="C82" s="9">
        <v>365</v>
      </c>
      <c r="D82">
        <v>8.2200000000000006</v>
      </c>
      <c r="E82" s="29">
        <v>10</v>
      </c>
      <c r="F82" s="50">
        <v>7.5</v>
      </c>
      <c r="G82" s="21">
        <f t="shared" si="28"/>
        <v>3.4722222222222192</v>
      </c>
      <c r="H82" s="6">
        <v>45532</v>
      </c>
      <c r="I82" s="29">
        <v>8.5</v>
      </c>
      <c r="J82" s="30">
        <f t="shared" ref="J82:J87" si="29">I82/D82 -1</f>
        <v>3.4063260340632562E-2</v>
      </c>
      <c r="K82" s="35">
        <f t="shared" ref="K82:K87" si="30">(C82*I82) - (C82*D82)</f>
        <v>102.19999999999982</v>
      </c>
      <c r="L82" s="21">
        <f t="shared" ref="L82:L87" si="31">H82-A82</f>
        <v>9</v>
      </c>
      <c r="M82" s="9">
        <f t="shared" ref="M82:M87" si="32">IF(J82&gt;0,1,0)</f>
        <v>1</v>
      </c>
      <c r="N82">
        <f t="shared" ref="N82:N87" si="33">IF(K82&gt;0, K82, 0)</f>
        <v>102.19999999999982</v>
      </c>
      <c r="O82">
        <v>0</v>
      </c>
      <c r="P82" s="86"/>
      <c r="Q82" s="78"/>
      <c r="R82" s="16"/>
    </row>
    <row r="83" spans="1:19" ht="15.75" customHeight="1">
      <c r="A83" s="6">
        <v>45523</v>
      </c>
      <c r="B83" t="s">
        <v>296</v>
      </c>
      <c r="C83" s="9">
        <v>117</v>
      </c>
      <c r="D83">
        <v>7.95</v>
      </c>
      <c r="E83" s="29">
        <v>10</v>
      </c>
      <c r="F83" s="50">
        <v>7.5</v>
      </c>
      <c r="G83" s="21">
        <f t="shared" si="28"/>
        <v>5.5555555555555536</v>
      </c>
      <c r="H83" s="6">
        <v>45526</v>
      </c>
      <c r="I83" s="29">
        <v>8.25</v>
      </c>
      <c r="J83" s="30">
        <f t="shared" si="29"/>
        <v>3.7735849056603765E-2</v>
      </c>
      <c r="K83" s="35">
        <f t="shared" si="30"/>
        <v>35.100000000000023</v>
      </c>
      <c r="L83" s="21">
        <f t="shared" si="31"/>
        <v>3</v>
      </c>
      <c r="M83" s="9">
        <f t="shared" si="32"/>
        <v>1</v>
      </c>
      <c r="N83">
        <f t="shared" si="33"/>
        <v>35.100000000000023</v>
      </c>
      <c r="O83">
        <v>0</v>
      </c>
      <c r="P83" s="86"/>
      <c r="Q83" s="78"/>
      <c r="R83" s="16">
        <v>-1152.55</v>
      </c>
    </row>
    <row r="84" spans="1:19">
      <c r="A84" s="6">
        <v>45519</v>
      </c>
      <c r="B84" t="s">
        <v>629</v>
      </c>
      <c r="C84" s="9">
        <v>330</v>
      </c>
      <c r="D84">
        <v>2.35</v>
      </c>
      <c r="E84" s="29">
        <v>3</v>
      </c>
      <c r="F84" s="50">
        <v>2</v>
      </c>
      <c r="G84" s="21">
        <f t="shared" si="28"/>
        <v>2.8571428571428563</v>
      </c>
      <c r="H84" s="6">
        <v>45525</v>
      </c>
      <c r="I84" s="29">
        <v>2.54</v>
      </c>
      <c r="J84" s="30">
        <f t="shared" si="29"/>
        <v>8.085106382978724E-2</v>
      </c>
      <c r="K84" s="35">
        <f t="shared" si="30"/>
        <v>62.700000000000045</v>
      </c>
      <c r="L84" s="21">
        <f t="shared" si="31"/>
        <v>6</v>
      </c>
      <c r="M84" s="9">
        <f t="shared" si="32"/>
        <v>1</v>
      </c>
      <c r="N84">
        <f t="shared" si="33"/>
        <v>62.700000000000045</v>
      </c>
      <c r="O84">
        <v>0</v>
      </c>
      <c r="P84" s="86"/>
      <c r="Q84" s="78"/>
    </row>
    <row r="85" spans="1:19">
      <c r="A85" s="6">
        <v>45519</v>
      </c>
      <c r="B85" t="s">
        <v>590</v>
      </c>
      <c r="C85" s="9">
        <v>19</v>
      </c>
      <c r="D85">
        <v>219</v>
      </c>
      <c r="E85" s="29">
        <v>280</v>
      </c>
      <c r="F85" s="50">
        <v>205</v>
      </c>
      <c r="G85" s="21">
        <f t="shared" si="28"/>
        <v>5.3571428571428568</v>
      </c>
      <c r="H85" s="6">
        <v>45520</v>
      </c>
      <c r="I85" s="29">
        <v>220.15</v>
      </c>
      <c r="J85" s="30">
        <f t="shared" si="29"/>
        <v>5.2511415525113847E-3</v>
      </c>
      <c r="K85" s="35">
        <f t="shared" si="30"/>
        <v>21.850000000000364</v>
      </c>
      <c r="L85" s="21">
        <f t="shared" si="31"/>
        <v>1</v>
      </c>
      <c r="M85" s="9">
        <f t="shared" si="32"/>
        <v>1</v>
      </c>
      <c r="N85">
        <f t="shared" si="33"/>
        <v>21.850000000000364</v>
      </c>
      <c r="O85">
        <v>0</v>
      </c>
      <c r="P85" s="86"/>
      <c r="Q85" s="78"/>
      <c r="R85" s="16">
        <v>-1262.03</v>
      </c>
    </row>
    <row r="86" spans="1:19">
      <c r="A86" s="6">
        <v>45516</v>
      </c>
      <c r="B86" t="s">
        <v>130</v>
      </c>
      <c r="C86" s="9">
        <v>7</v>
      </c>
      <c r="D86">
        <v>158.36000000000001</v>
      </c>
      <c r="E86" s="29">
        <v>220</v>
      </c>
      <c r="F86" s="50">
        <v>151</v>
      </c>
      <c r="G86" s="21">
        <f t="shared" si="28"/>
        <v>9.3749999999999822</v>
      </c>
      <c r="H86" s="6">
        <v>45523</v>
      </c>
      <c r="I86" s="29">
        <v>174</v>
      </c>
      <c r="J86" s="30">
        <f t="shared" si="29"/>
        <v>9.8762313715584638E-2</v>
      </c>
      <c r="K86" s="35">
        <f t="shared" si="30"/>
        <v>109.48000000000002</v>
      </c>
      <c r="L86" s="21">
        <f t="shared" si="31"/>
        <v>7</v>
      </c>
      <c r="M86" s="9">
        <f t="shared" si="32"/>
        <v>1</v>
      </c>
      <c r="N86">
        <f t="shared" si="33"/>
        <v>109.48000000000002</v>
      </c>
      <c r="O86">
        <v>0</v>
      </c>
      <c r="P86" s="86"/>
      <c r="Q86" s="78"/>
      <c r="R86" s="16">
        <v>-1259.3800000000001</v>
      </c>
    </row>
    <row r="87" spans="1:19">
      <c r="A87" s="6">
        <v>45510</v>
      </c>
      <c r="B87" t="s">
        <v>39</v>
      </c>
      <c r="C87">
        <v>3</v>
      </c>
      <c r="D87">
        <v>41.94</v>
      </c>
      <c r="E87" s="29">
        <v>52.5</v>
      </c>
      <c r="F87" s="50">
        <v>47.5</v>
      </c>
      <c r="G87" s="21">
        <f t="shared" si="28"/>
        <v>-0.89928057553956797</v>
      </c>
      <c r="H87" s="6">
        <v>45510</v>
      </c>
      <c r="I87" s="29">
        <v>42.22</v>
      </c>
      <c r="J87" s="30">
        <f t="shared" si="29"/>
        <v>6.6762041010968165E-3</v>
      </c>
      <c r="K87" s="35">
        <f t="shared" si="30"/>
        <v>0.84000000000000341</v>
      </c>
      <c r="L87" s="21">
        <f t="shared" si="31"/>
        <v>0</v>
      </c>
      <c r="M87" s="9">
        <f t="shared" si="32"/>
        <v>1</v>
      </c>
      <c r="N87">
        <f t="shared" si="33"/>
        <v>0.84000000000000341</v>
      </c>
      <c r="O87">
        <v>0</v>
      </c>
      <c r="P87" s="86"/>
      <c r="Q87" s="78"/>
      <c r="R87" s="68">
        <v>-1313.98</v>
      </c>
    </row>
    <row r="88" spans="1:19">
      <c r="A88" s="6">
        <v>45505</v>
      </c>
      <c r="B88" t="s">
        <v>528</v>
      </c>
      <c r="C88" s="9">
        <v>27</v>
      </c>
      <c r="D88">
        <v>107.98</v>
      </c>
      <c r="E88" s="29">
        <v>150</v>
      </c>
      <c r="F88" s="50">
        <v>100</v>
      </c>
      <c r="G88" s="21">
        <f t="shared" si="28"/>
        <v>6.2656641604009993</v>
      </c>
      <c r="H88" s="6">
        <v>45506</v>
      </c>
      <c r="I88" s="16">
        <v>106.25</v>
      </c>
      <c r="J88" s="25">
        <f t="shared" ref="J88:J93" si="34">I88/D88 -1</f>
        <v>-1.602148546027049E-2</v>
      </c>
      <c r="K88" s="36">
        <f t="shared" ref="K88:K93" si="35">(C88*I88) - (C88*D88)</f>
        <v>-46.710000000000036</v>
      </c>
      <c r="L88" s="24">
        <f t="shared" ref="L88:L93" si="36">H88-A88</f>
        <v>1</v>
      </c>
      <c r="M88" s="52">
        <f t="shared" ref="M88:M93" si="37">IF(J88&gt;0,1,0)</f>
        <v>0</v>
      </c>
      <c r="N88" s="24">
        <f t="shared" ref="N88:N93" si="38">IF(K88&gt;0, K88, 0)</f>
        <v>0</v>
      </c>
      <c r="O88" s="17">
        <f>IF(K88&lt;0, K88, 0)</f>
        <v>-46.710000000000036</v>
      </c>
      <c r="P88" s="86"/>
      <c r="Q88" s="78"/>
      <c r="R88" s="16">
        <v>-1269.18</v>
      </c>
    </row>
    <row r="89" spans="1:19">
      <c r="A89" s="6">
        <v>45504</v>
      </c>
      <c r="B89" t="s">
        <v>75</v>
      </c>
      <c r="C89" s="9">
        <v>79</v>
      </c>
      <c r="D89">
        <v>7.84</v>
      </c>
      <c r="E89" s="29">
        <v>10</v>
      </c>
      <c r="F89" s="50">
        <v>7.35</v>
      </c>
      <c r="G89" s="21">
        <f t="shared" si="28"/>
        <v>5.4081632653061211</v>
      </c>
      <c r="H89" s="6">
        <v>45560</v>
      </c>
      <c r="I89" s="29">
        <v>8.9499999999999993</v>
      </c>
      <c r="J89" s="30">
        <f t="shared" si="34"/>
        <v>0.14158163265306123</v>
      </c>
      <c r="K89" s="35">
        <f t="shared" si="35"/>
        <v>87.689999999999941</v>
      </c>
      <c r="L89" s="21">
        <f t="shared" si="36"/>
        <v>56</v>
      </c>
      <c r="M89" s="9">
        <f t="shared" si="37"/>
        <v>1</v>
      </c>
      <c r="N89">
        <f t="shared" si="38"/>
        <v>87.689999999999941</v>
      </c>
      <c r="O89">
        <v>0</v>
      </c>
      <c r="P89" s="86"/>
      <c r="Q89" s="78"/>
      <c r="R89" s="16">
        <v>-1258.43</v>
      </c>
      <c r="S89" s="16">
        <v>491.14</v>
      </c>
    </row>
    <row r="90" spans="1:19">
      <c r="A90" s="6">
        <v>45503</v>
      </c>
      <c r="B90" t="s">
        <v>129</v>
      </c>
      <c r="C90" s="9">
        <v>5</v>
      </c>
      <c r="D90">
        <v>819</v>
      </c>
      <c r="E90" s="29">
        <v>900</v>
      </c>
      <c r="F90" s="50">
        <v>800</v>
      </c>
      <c r="G90" s="21">
        <f t="shared" si="28"/>
        <v>5.2631578947368425</v>
      </c>
      <c r="H90" s="6">
        <v>45506</v>
      </c>
      <c r="I90" s="29">
        <v>826.05</v>
      </c>
      <c r="J90" s="30">
        <f t="shared" si="34"/>
        <v>8.6080586080585775E-3</v>
      </c>
      <c r="K90" s="35">
        <f t="shared" si="35"/>
        <v>35.25</v>
      </c>
      <c r="L90" s="21">
        <f t="shared" si="36"/>
        <v>3</v>
      </c>
      <c r="M90" s="9">
        <f t="shared" si="37"/>
        <v>1</v>
      </c>
      <c r="N90">
        <f t="shared" si="38"/>
        <v>35.25</v>
      </c>
      <c r="O90">
        <v>0</v>
      </c>
      <c r="P90" s="86"/>
      <c r="Q90" s="78"/>
      <c r="R90" s="28">
        <v>2226.21</v>
      </c>
      <c r="S90" s="28">
        <v>-56.71</v>
      </c>
    </row>
    <row r="91" spans="1:19">
      <c r="A91" s="6">
        <v>45502</v>
      </c>
      <c r="B91" t="s">
        <v>17</v>
      </c>
      <c r="C91" s="9">
        <v>10</v>
      </c>
      <c r="D91">
        <v>60.01</v>
      </c>
      <c r="E91" s="29">
        <v>65</v>
      </c>
      <c r="F91" s="50">
        <v>60</v>
      </c>
      <c r="G91" s="21">
        <f t="shared" si="28"/>
        <v>500.00000000009948</v>
      </c>
      <c r="H91" s="6">
        <v>45503</v>
      </c>
      <c r="I91" s="29">
        <v>60.4</v>
      </c>
      <c r="J91" s="30">
        <f t="shared" si="34"/>
        <v>6.49891684719206E-3</v>
      </c>
      <c r="K91" s="35">
        <f t="shared" si="35"/>
        <v>3.8999999999999773</v>
      </c>
      <c r="L91" s="21">
        <f t="shared" si="36"/>
        <v>1</v>
      </c>
      <c r="M91" s="9">
        <f t="shared" si="37"/>
        <v>1</v>
      </c>
      <c r="N91">
        <f t="shared" si="38"/>
        <v>3.8999999999999773</v>
      </c>
      <c r="O91">
        <v>0</v>
      </c>
      <c r="P91" s="86"/>
      <c r="Q91" s="78"/>
      <c r="R91" s="28">
        <v>1998.21</v>
      </c>
    </row>
    <row r="92" spans="1:19">
      <c r="A92" s="6">
        <v>45502</v>
      </c>
      <c r="B92" t="s">
        <v>508</v>
      </c>
      <c r="C92" s="9">
        <v>8</v>
      </c>
      <c r="D92">
        <v>469</v>
      </c>
      <c r="E92" s="29">
        <v>550</v>
      </c>
      <c r="F92" s="50">
        <v>450</v>
      </c>
      <c r="G92" s="21">
        <f t="shared" si="28"/>
        <v>5.2631578947368425</v>
      </c>
      <c r="H92" s="6">
        <v>45505</v>
      </c>
      <c r="I92" s="29">
        <v>495</v>
      </c>
      <c r="J92" s="30">
        <f t="shared" si="34"/>
        <v>5.5437100213219681E-2</v>
      </c>
      <c r="K92" s="35">
        <f t="shared" si="35"/>
        <v>208</v>
      </c>
      <c r="L92" s="21">
        <f t="shared" si="36"/>
        <v>3</v>
      </c>
      <c r="M92" s="9">
        <f t="shared" si="37"/>
        <v>1</v>
      </c>
      <c r="N92">
        <f t="shared" si="38"/>
        <v>208</v>
      </c>
      <c r="O92">
        <v>0</v>
      </c>
      <c r="P92" s="86"/>
      <c r="Q92" s="78"/>
      <c r="R92" s="28">
        <v>1994.31</v>
      </c>
    </row>
    <row r="93" spans="1:19">
      <c r="A93" s="6">
        <v>45498</v>
      </c>
      <c r="B93" t="s">
        <v>87</v>
      </c>
      <c r="C93" s="9">
        <v>3</v>
      </c>
      <c r="D93">
        <v>223</v>
      </c>
      <c r="E93" s="29">
        <v>250</v>
      </c>
      <c r="F93" s="50">
        <v>205</v>
      </c>
      <c r="G93" s="21">
        <f t="shared" si="28"/>
        <v>2.5</v>
      </c>
      <c r="H93" s="6">
        <v>45560</v>
      </c>
      <c r="I93" s="29">
        <v>256.89999999999998</v>
      </c>
      <c r="J93" s="30">
        <f t="shared" si="34"/>
        <v>0.15201793721973078</v>
      </c>
      <c r="K93" s="35">
        <f t="shared" si="35"/>
        <v>101.69999999999993</v>
      </c>
      <c r="L93" s="21">
        <f t="shared" si="36"/>
        <v>62</v>
      </c>
      <c r="M93" s="9">
        <f t="shared" si="37"/>
        <v>1</v>
      </c>
      <c r="N93">
        <f t="shared" si="38"/>
        <v>101.69999999999993</v>
      </c>
      <c r="O93">
        <v>0</v>
      </c>
      <c r="P93" s="86"/>
      <c r="Q93" s="78"/>
      <c r="R93" s="28">
        <v>3164.31</v>
      </c>
    </row>
    <row r="94" spans="1:19">
      <c r="A94" s="6">
        <v>45498</v>
      </c>
      <c r="B94" t="s">
        <v>712</v>
      </c>
      <c r="C94" s="9">
        <v>7</v>
      </c>
      <c r="D94">
        <v>121.59</v>
      </c>
      <c r="E94" s="29">
        <v>140</v>
      </c>
      <c r="F94" s="50">
        <v>120</v>
      </c>
      <c r="G94" s="21">
        <f t="shared" si="28"/>
        <v>12.57861635220123</v>
      </c>
      <c r="J94" s="30"/>
      <c r="K94" s="35"/>
      <c r="L94" s="37"/>
      <c r="M94" s="58"/>
      <c r="N94" s="35"/>
      <c r="O94" s="85"/>
      <c r="P94" s="86"/>
      <c r="Q94" s="78"/>
    </row>
    <row r="95" spans="1:19">
      <c r="A95" s="6">
        <v>45496</v>
      </c>
      <c r="B95" t="s">
        <v>184</v>
      </c>
      <c r="C95" s="9">
        <v>41</v>
      </c>
      <c r="D95">
        <v>17.7</v>
      </c>
      <c r="E95" s="29">
        <v>21</v>
      </c>
      <c r="F95" s="50">
        <v>17</v>
      </c>
      <c r="G95" s="21">
        <f t="shared" si="28"/>
        <v>5.7142857142857197</v>
      </c>
      <c r="H95" s="6">
        <v>45546</v>
      </c>
      <c r="I95" s="29">
        <v>17.850000000000001</v>
      </c>
      <c r="J95" s="30">
        <f>I95/D95 -1</f>
        <v>8.4745762711866401E-3</v>
      </c>
      <c r="K95" s="35">
        <f>(C95*I95) - (C95*D95)</f>
        <v>6.1500000000000909</v>
      </c>
      <c r="L95" s="21">
        <f>H95-A95</f>
        <v>50</v>
      </c>
      <c r="M95" s="9">
        <f>IF(J95&gt;0,1,0)</f>
        <v>1</v>
      </c>
      <c r="N95">
        <f>IF(K95&gt;0, K95, 0)</f>
        <v>6.1500000000000909</v>
      </c>
      <c r="O95">
        <v>0</v>
      </c>
      <c r="P95" s="86"/>
      <c r="Q95" s="78"/>
    </row>
    <row r="96" spans="1:19">
      <c r="A96" s="6">
        <v>45496</v>
      </c>
      <c r="B96" s="61" t="s">
        <v>814</v>
      </c>
      <c r="C96" s="9">
        <v>75</v>
      </c>
      <c r="D96">
        <v>42.6</v>
      </c>
      <c r="E96" s="29">
        <v>45</v>
      </c>
      <c r="F96" s="50">
        <v>41</v>
      </c>
      <c r="G96" s="21">
        <f t="shared" si="28"/>
        <v>2.4999999999999978</v>
      </c>
      <c r="H96" s="6">
        <v>45499</v>
      </c>
      <c r="I96" s="29">
        <v>43.94</v>
      </c>
      <c r="J96" s="30">
        <f>I96/D96 -1</f>
        <v>3.1455399061032674E-2</v>
      </c>
      <c r="K96" s="35">
        <f>(C96*I96) - (C96*D96)</f>
        <v>100.5</v>
      </c>
      <c r="L96" s="21">
        <f>H96-A96</f>
        <v>3</v>
      </c>
      <c r="M96" s="9">
        <f>IF(J96&gt;0,1,0)</f>
        <v>1</v>
      </c>
      <c r="N96">
        <f>IF(K96&gt;0, K96, 0)</f>
        <v>100.5</v>
      </c>
      <c r="O96">
        <v>0</v>
      </c>
      <c r="P96" s="86"/>
      <c r="Q96" s="78"/>
      <c r="R96" s="28">
        <v>2764.17</v>
      </c>
    </row>
    <row r="97" spans="1:18">
      <c r="A97" s="6">
        <v>45496</v>
      </c>
      <c r="B97" t="s">
        <v>352</v>
      </c>
      <c r="C97" s="9">
        <v>122</v>
      </c>
      <c r="D97">
        <v>27.73</v>
      </c>
      <c r="E97" s="29">
        <v>32.5</v>
      </c>
      <c r="F97" s="50">
        <v>27</v>
      </c>
      <c r="G97" s="21">
        <f t="shared" si="28"/>
        <v>7.5342465753424612</v>
      </c>
      <c r="J97" s="30"/>
      <c r="K97" s="35"/>
      <c r="L97" s="37"/>
      <c r="M97" s="58"/>
      <c r="N97" s="35"/>
      <c r="O97" s="85"/>
      <c r="P97" s="86"/>
      <c r="Q97" s="78"/>
      <c r="R97" s="28">
        <v>2652.89</v>
      </c>
    </row>
    <row r="98" spans="1:18">
      <c r="A98" s="6">
        <v>45495</v>
      </c>
      <c r="B98" t="s">
        <v>17</v>
      </c>
      <c r="C98" s="9">
        <v>55</v>
      </c>
      <c r="D98">
        <v>61.21</v>
      </c>
      <c r="E98" s="29">
        <v>70</v>
      </c>
      <c r="F98" s="50">
        <v>60</v>
      </c>
      <c r="G98" s="21">
        <f t="shared" si="28"/>
        <v>8.2644628099173492</v>
      </c>
      <c r="H98" s="6">
        <v>45499</v>
      </c>
      <c r="I98" s="16">
        <v>60.45</v>
      </c>
      <c r="J98" s="25">
        <f t="shared" ref="J98:J103" si="39">I98/D98 -1</f>
        <v>-1.241627185100469E-2</v>
      </c>
      <c r="K98" s="36">
        <f t="shared" ref="K98:K103" si="40">(C98*I98) - (C98*D98)</f>
        <v>-41.800000000000182</v>
      </c>
      <c r="L98" s="24">
        <f t="shared" ref="L98:L103" si="41">H98-A98</f>
        <v>4</v>
      </c>
      <c r="M98" s="52">
        <f t="shared" ref="M98:M103" si="42">IF(J98&gt;0,1,0)</f>
        <v>0</v>
      </c>
      <c r="N98" s="24">
        <f t="shared" ref="N98:N103" si="43">IF(K98&gt;0, K98, 0)</f>
        <v>0</v>
      </c>
      <c r="O98" s="17">
        <f>IF(K98&lt;0, K98, 0)</f>
        <v>-41.800000000000182</v>
      </c>
      <c r="P98" s="86"/>
      <c r="Q98" s="78"/>
      <c r="R98" s="28">
        <v>4671.8900000000003</v>
      </c>
    </row>
    <row r="99" spans="1:18">
      <c r="A99" s="6">
        <v>45492</v>
      </c>
      <c r="B99" s="61" t="s">
        <v>696</v>
      </c>
      <c r="C99" s="9">
        <v>3</v>
      </c>
      <c r="D99">
        <v>312.16000000000003</v>
      </c>
      <c r="E99" s="29">
        <v>400</v>
      </c>
      <c r="F99" s="50">
        <v>290</v>
      </c>
      <c r="G99" s="21">
        <f t="shared" si="28"/>
        <v>4.9638989169675032</v>
      </c>
      <c r="H99" s="6">
        <v>45604</v>
      </c>
      <c r="I99" s="29">
        <v>330.02</v>
      </c>
      <c r="J99" s="30">
        <f t="shared" si="39"/>
        <v>5.7214249103023862E-2</v>
      </c>
      <c r="K99" s="35">
        <f t="shared" si="40"/>
        <v>53.579999999999927</v>
      </c>
      <c r="L99" s="21">
        <f t="shared" si="41"/>
        <v>112</v>
      </c>
      <c r="M99" s="9">
        <f t="shared" si="42"/>
        <v>1</v>
      </c>
      <c r="N99">
        <f t="shared" si="43"/>
        <v>53.579999999999927</v>
      </c>
      <c r="O99">
        <v>0</v>
      </c>
      <c r="P99" s="86"/>
      <c r="Q99" s="78"/>
    </row>
    <row r="100" spans="1:18">
      <c r="A100" s="6">
        <v>45492</v>
      </c>
      <c r="B100" s="61" t="s">
        <v>24</v>
      </c>
      <c r="C100" s="9">
        <v>5</v>
      </c>
      <c r="D100">
        <v>187.9</v>
      </c>
      <c r="E100" s="29">
        <v>225</v>
      </c>
      <c r="F100" s="50">
        <v>175</v>
      </c>
      <c r="G100" s="21">
        <f t="shared" si="28"/>
        <v>3.8759689922480605</v>
      </c>
      <c r="H100" s="6">
        <v>45513</v>
      </c>
      <c r="I100" s="29">
        <v>190</v>
      </c>
      <c r="J100" s="30">
        <f t="shared" si="39"/>
        <v>1.1176157530601305E-2</v>
      </c>
      <c r="K100" s="35">
        <f t="shared" si="40"/>
        <v>10.5</v>
      </c>
      <c r="L100" s="21">
        <f t="shared" si="41"/>
        <v>21</v>
      </c>
      <c r="M100" s="9">
        <f t="shared" si="42"/>
        <v>1</v>
      </c>
      <c r="N100">
        <f t="shared" si="43"/>
        <v>10.5</v>
      </c>
      <c r="O100">
        <v>0</v>
      </c>
      <c r="P100" s="86"/>
      <c r="Q100" s="78"/>
    </row>
    <row r="101" spans="1:18">
      <c r="A101" s="6">
        <v>45490</v>
      </c>
      <c r="B101" t="s">
        <v>521</v>
      </c>
      <c r="C101" s="9">
        <v>23</v>
      </c>
      <c r="D101">
        <v>181.5</v>
      </c>
      <c r="E101" s="29">
        <v>200</v>
      </c>
      <c r="F101" s="50">
        <v>175</v>
      </c>
      <c r="G101" s="21">
        <f t="shared" ref="G101:G110" si="44" xml:space="preserve"> (E101 - F101)/(D101-F101)</f>
        <v>3.8461538461538463</v>
      </c>
      <c r="H101" s="6">
        <v>45636</v>
      </c>
      <c r="I101" s="29">
        <v>185</v>
      </c>
      <c r="J101" s="30">
        <f t="shared" si="39"/>
        <v>1.9283746556473913E-2</v>
      </c>
      <c r="K101" s="35">
        <f t="shared" si="40"/>
        <v>80.5</v>
      </c>
      <c r="L101" s="21">
        <f t="shared" si="41"/>
        <v>146</v>
      </c>
      <c r="M101" s="9">
        <f t="shared" si="42"/>
        <v>1</v>
      </c>
      <c r="N101">
        <f t="shared" si="43"/>
        <v>80.5</v>
      </c>
      <c r="O101">
        <v>0</v>
      </c>
      <c r="P101" s="86"/>
      <c r="Q101" s="78"/>
    </row>
    <row r="102" spans="1:18">
      <c r="A102" s="6">
        <v>45490</v>
      </c>
      <c r="B102" t="s">
        <v>708</v>
      </c>
      <c r="C102" s="9">
        <v>17</v>
      </c>
      <c r="D102">
        <v>234</v>
      </c>
      <c r="E102" s="29">
        <v>260</v>
      </c>
      <c r="F102" s="50">
        <v>220</v>
      </c>
      <c r="G102" s="21">
        <f t="shared" si="44"/>
        <v>2.8571428571428572</v>
      </c>
      <c r="H102" s="6">
        <v>45527</v>
      </c>
      <c r="I102" s="29">
        <v>260</v>
      </c>
      <c r="J102" s="30">
        <f t="shared" si="39"/>
        <v>0.11111111111111116</v>
      </c>
      <c r="K102" s="35">
        <f t="shared" si="40"/>
        <v>442</v>
      </c>
      <c r="L102" s="21">
        <f t="shared" si="41"/>
        <v>37</v>
      </c>
      <c r="M102" s="9">
        <f t="shared" si="42"/>
        <v>1</v>
      </c>
      <c r="N102">
        <f t="shared" si="43"/>
        <v>442</v>
      </c>
      <c r="O102">
        <v>0</v>
      </c>
      <c r="P102" s="86"/>
      <c r="Q102" s="78"/>
    </row>
    <row r="103" spans="1:18">
      <c r="A103" s="6">
        <v>45490</v>
      </c>
      <c r="B103" t="s">
        <v>287</v>
      </c>
      <c r="C103" s="9">
        <v>34</v>
      </c>
      <c r="D103">
        <v>74.25</v>
      </c>
      <c r="E103" s="29">
        <v>90</v>
      </c>
      <c r="F103" s="50">
        <v>70</v>
      </c>
      <c r="G103" s="21">
        <f t="shared" si="44"/>
        <v>4.7058823529411766</v>
      </c>
      <c r="H103" s="6">
        <v>45583</v>
      </c>
      <c r="I103" s="29">
        <v>74.599999999999994</v>
      </c>
      <c r="J103" s="30">
        <f t="shared" si="39"/>
        <v>4.7138047138046701E-3</v>
      </c>
      <c r="K103" s="35">
        <f t="shared" si="40"/>
        <v>11.899999999999636</v>
      </c>
      <c r="L103" s="21">
        <f t="shared" si="41"/>
        <v>93</v>
      </c>
      <c r="M103" s="9">
        <f t="shared" si="42"/>
        <v>1</v>
      </c>
      <c r="N103">
        <f t="shared" si="43"/>
        <v>11.899999999999636</v>
      </c>
      <c r="O103">
        <v>0</v>
      </c>
      <c r="P103" s="86"/>
      <c r="Q103" s="78"/>
      <c r="R103" s="28">
        <v>4660.6899999999996</v>
      </c>
    </row>
    <row r="104" spans="1:18">
      <c r="A104" s="6">
        <v>45490</v>
      </c>
      <c r="B104" t="s">
        <v>39</v>
      </c>
      <c r="C104" s="9">
        <v>56</v>
      </c>
      <c r="D104">
        <v>48.86</v>
      </c>
      <c r="E104" s="29">
        <v>52.5</v>
      </c>
      <c r="F104" s="50">
        <v>47.5</v>
      </c>
      <c r="G104" s="21">
        <f t="shared" si="44"/>
        <v>3.6764705882352957</v>
      </c>
      <c r="J104" s="30"/>
      <c r="K104" s="35"/>
      <c r="L104" s="37"/>
      <c r="M104" s="58"/>
      <c r="N104" s="35"/>
      <c r="O104" s="85"/>
      <c r="P104" s="86"/>
      <c r="Q104" s="78"/>
      <c r="R104" s="28"/>
    </row>
    <row r="105" spans="1:18">
      <c r="A105" s="6">
        <v>45490</v>
      </c>
      <c r="B105" t="s">
        <v>39</v>
      </c>
      <c r="C105" s="9">
        <v>5</v>
      </c>
      <c r="D105">
        <v>41.94</v>
      </c>
      <c r="E105" s="29">
        <v>52.5</v>
      </c>
      <c r="F105" s="50">
        <v>47.5</v>
      </c>
      <c r="G105" s="21">
        <f xml:space="preserve"> (E105 - F105)/(D105-F105)</f>
        <v>-0.89928057553956797</v>
      </c>
      <c r="H105" s="6">
        <v>45513</v>
      </c>
      <c r="I105" s="29">
        <v>45.1</v>
      </c>
      <c r="J105" s="30">
        <f t="shared" ref="J105:J112" si="45">I105/D105 -1</f>
        <v>7.534573199809258E-2</v>
      </c>
      <c r="K105" s="35">
        <f t="shared" ref="K105:K112" si="46">(C105*I105) - (C105*D105)</f>
        <v>15.800000000000011</v>
      </c>
      <c r="L105" s="21">
        <f t="shared" ref="L105:L112" si="47">H105-A105</f>
        <v>23</v>
      </c>
      <c r="M105" s="9">
        <f t="shared" ref="M105:M112" si="48">IF(J105&gt;0,1,0)</f>
        <v>1</v>
      </c>
      <c r="N105">
        <f t="shared" ref="N105:N112" si="49">IF(K105&gt;0, K105, 0)</f>
        <v>15.800000000000011</v>
      </c>
      <c r="O105">
        <v>0</v>
      </c>
      <c r="P105" s="86"/>
      <c r="Q105" s="78"/>
      <c r="R105" s="28"/>
    </row>
    <row r="106" spans="1:18">
      <c r="A106" s="6">
        <v>45490</v>
      </c>
      <c r="B106" t="s">
        <v>39</v>
      </c>
      <c r="C106" s="9">
        <v>25</v>
      </c>
      <c r="D106">
        <v>48.87</v>
      </c>
      <c r="E106" s="29">
        <v>52.5</v>
      </c>
      <c r="F106" s="50">
        <v>47.5</v>
      </c>
      <c r="G106" s="21">
        <f t="shared" si="44"/>
        <v>3.649635036496357</v>
      </c>
      <c r="H106" s="6">
        <v>45509</v>
      </c>
      <c r="I106" s="16">
        <v>41.5</v>
      </c>
      <c r="J106" s="25">
        <f t="shared" si="45"/>
        <v>-0.15080826683036619</v>
      </c>
      <c r="K106" s="36">
        <f t="shared" si="46"/>
        <v>-184.25</v>
      </c>
      <c r="L106" s="24">
        <f t="shared" si="47"/>
        <v>19</v>
      </c>
      <c r="M106" s="52">
        <f t="shared" si="48"/>
        <v>0</v>
      </c>
      <c r="N106" s="24">
        <f t="shared" si="49"/>
        <v>0</v>
      </c>
      <c r="O106" s="17">
        <f>IF(K106&lt;0, K106, 0)</f>
        <v>-184.25</v>
      </c>
      <c r="P106" s="86"/>
      <c r="Q106" s="78"/>
      <c r="R106" s="28">
        <v>4713.46</v>
      </c>
    </row>
    <row r="107" spans="1:18">
      <c r="A107" s="6">
        <v>45489</v>
      </c>
      <c r="B107" t="s">
        <v>129</v>
      </c>
      <c r="C107" s="9">
        <v>4</v>
      </c>
      <c r="D107">
        <v>843.5</v>
      </c>
      <c r="E107" s="29">
        <v>900</v>
      </c>
      <c r="F107" s="50">
        <v>838</v>
      </c>
      <c r="G107" s="21">
        <f t="shared" si="44"/>
        <v>11.272727272727273</v>
      </c>
      <c r="H107" s="6">
        <v>45496</v>
      </c>
      <c r="I107" s="29">
        <v>852.5</v>
      </c>
      <c r="J107" s="30">
        <f t="shared" si="45"/>
        <v>1.0669828097213951E-2</v>
      </c>
      <c r="K107" s="35">
        <f t="shared" si="46"/>
        <v>36</v>
      </c>
      <c r="L107" s="21">
        <f t="shared" si="47"/>
        <v>7</v>
      </c>
      <c r="M107" s="9">
        <f t="shared" si="48"/>
        <v>1</v>
      </c>
      <c r="N107">
        <f t="shared" si="49"/>
        <v>36</v>
      </c>
      <c r="O107">
        <v>0</v>
      </c>
      <c r="P107" s="86"/>
      <c r="Q107" s="78"/>
    </row>
    <row r="108" spans="1:18">
      <c r="A108" s="6">
        <v>45489</v>
      </c>
      <c r="B108" t="s">
        <v>15</v>
      </c>
      <c r="C108" s="9">
        <v>10</v>
      </c>
      <c r="D108">
        <v>115.25</v>
      </c>
      <c r="E108" s="29">
        <v>125</v>
      </c>
      <c r="F108" s="50">
        <v>110</v>
      </c>
      <c r="G108" s="21">
        <f xml:space="preserve"> (E108 - F108)/(D108-F108)</f>
        <v>2.8571428571428572</v>
      </c>
      <c r="H108" s="6">
        <v>45513</v>
      </c>
      <c r="I108" s="16">
        <v>108.7</v>
      </c>
      <c r="J108" s="25">
        <f t="shared" si="45"/>
        <v>-5.6832971800433785E-2</v>
      </c>
      <c r="K108" s="36">
        <f t="shared" si="46"/>
        <v>-65.5</v>
      </c>
      <c r="L108" s="24">
        <f t="shared" si="47"/>
        <v>24</v>
      </c>
      <c r="M108" s="52">
        <f t="shared" si="48"/>
        <v>0</v>
      </c>
      <c r="N108" s="24">
        <f t="shared" si="49"/>
        <v>0</v>
      </c>
      <c r="O108" s="17">
        <f>IF(K108&lt;0, K108, 0)</f>
        <v>-65.5</v>
      </c>
      <c r="P108" s="86"/>
      <c r="Q108" s="78"/>
    </row>
    <row r="109" spans="1:18">
      <c r="A109" s="6">
        <v>45489</v>
      </c>
      <c r="B109" t="s">
        <v>15</v>
      </c>
      <c r="C109" s="9">
        <v>21</v>
      </c>
      <c r="D109">
        <v>108</v>
      </c>
      <c r="E109" s="29">
        <v>125</v>
      </c>
      <c r="F109" s="50">
        <v>110</v>
      </c>
      <c r="G109" s="21">
        <f xml:space="preserve"> (E109 - F109)/(D109-F109)</f>
        <v>-7.5</v>
      </c>
      <c r="H109" s="6">
        <v>45513</v>
      </c>
      <c r="I109" s="29">
        <v>108.4</v>
      </c>
      <c r="J109" s="30">
        <f t="shared" si="45"/>
        <v>3.7037037037037646E-3</v>
      </c>
      <c r="K109" s="35">
        <f t="shared" si="46"/>
        <v>8.4000000000000909</v>
      </c>
      <c r="L109" s="21">
        <f t="shared" si="47"/>
        <v>24</v>
      </c>
      <c r="M109" s="9">
        <f t="shared" si="48"/>
        <v>1</v>
      </c>
      <c r="N109">
        <f t="shared" si="49"/>
        <v>8.4000000000000909</v>
      </c>
      <c r="O109">
        <v>0</v>
      </c>
      <c r="P109" s="86"/>
      <c r="Q109" s="78"/>
    </row>
    <row r="110" spans="1:18">
      <c r="A110" s="6">
        <v>45489</v>
      </c>
      <c r="B110" t="s">
        <v>15</v>
      </c>
      <c r="C110" s="9">
        <v>22</v>
      </c>
      <c r="D110">
        <v>115.25</v>
      </c>
      <c r="E110" s="29">
        <v>125</v>
      </c>
      <c r="F110" s="50">
        <v>110</v>
      </c>
      <c r="G110" s="21">
        <f t="shared" si="44"/>
        <v>2.8571428571428572</v>
      </c>
      <c r="H110" s="6">
        <v>45611</v>
      </c>
      <c r="I110" s="16">
        <v>112.2</v>
      </c>
      <c r="J110" s="25">
        <f t="shared" si="45"/>
        <v>-2.6464208242950038E-2</v>
      </c>
      <c r="K110" s="36">
        <f t="shared" si="46"/>
        <v>-67.099999999999909</v>
      </c>
      <c r="L110" s="24">
        <f t="shared" si="47"/>
        <v>122</v>
      </c>
      <c r="M110" s="52">
        <f t="shared" si="48"/>
        <v>0</v>
      </c>
      <c r="N110" s="24">
        <f t="shared" si="49"/>
        <v>0</v>
      </c>
      <c r="O110" s="17">
        <f>IF(K110&lt;0, K110, 0)</f>
        <v>-67.099999999999909</v>
      </c>
      <c r="P110" s="86"/>
      <c r="Q110" s="78"/>
      <c r="R110" s="28">
        <v>4620.46</v>
      </c>
    </row>
    <row r="111" spans="1:18">
      <c r="A111" s="6">
        <v>45488</v>
      </c>
      <c r="B111" s="61" t="s">
        <v>790</v>
      </c>
      <c r="C111" s="9">
        <v>10</v>
      </c>
      <c r="D111">
        <v>71.44</v>
      </c>
      <c r="E111" s="29">
        <v>80</v>
      </c>
      <c r="F111" s="50">
        <v>70</v>
      </c>
      <c r="G111" s="21">
        <f t="shared" ref="G111:G120" si="50" xml:space="preserve"> (E111 - F111)/(D111-F111)</f>
        <v>6.9444444444444553</v>
      </c>
      <c r="H111" s="6">
        <v>45518</v>
      </c>
      <c r="I111" s="29">
        <v>76.900000000000006</v>
      </c>
      <c r="J111" s="30">
        <f t="shared" si="45"/>
        <v>7.6427771556551116E-2</v>
      </c>
      <c r="K111" s="35">
        <f t="shared" si="46"/>
        <v>54.600000000000023</v>
      </c>
      <c r="L111" s="21">
        <f t="shared" si="47"/>
        <v>30</v>
      </c>
      <c r="M111" s="9">
        <f t="shared" si="48"/>
        <v>1</v>
      </c>
      <c r="N111">
        <f t="shared" si="49"/>
        <v>54.600000000000023</v>
      </c>
      <c r="O111">
        <v>0</v>
      </c>
      <c r="P111" s="86"/>
      <c r="Q111" s="78"/>
    </row>
    <row r="112" spans="1:18">
      <c r="A112" s="6">
        <v>45488</v>
      </c>
      <c r="B112" t="s">
        <v>629</v>
      </c>
      <c r="C112" s="9">
        <v>428</v>
      </c>
      <c r="D112">
        <v>3.04</v>
      </c>
      <c r="E112" s="29">
        <v>4</v>
      </c>
      <c r="F112" s="50">
        <v>2.7</v>
      </c>
      <c r="G112" s="21">
        <f t="shared" si="50"/>
        <v>3.823529411764707</v>
      </c>
      <c r="H112" s="6">
        <v>45497</v>
      </c>
      <c r="I112" s="29">
        <v>3.3</v>
      </c>
      <c r="J112" s="30">
        <f t="shared" si="45"/>
        <v>8.5526315789473673E-2</v>
      </c>
      <c r="K112" s="35">
        <f t="shared" si="46"/>
        <v>111.27999999999975</v>
      </c>
      <c r="L112" s="21">
        <f t="shared" si="47"/>
        <v>9</v>
      </c>
      <c r="M112" s="9">
        <f t="shared" si="48"/>
        <v>1</v>
      </c>
      <c r="N112">
        <f t="shared" si="49"/>
        <v>111.27999999999975</v>
      </c>
      <c r="O112">
        <v>0</v>
      </c>
      <c r="P112" s="86"/>
      <c r="Q112" s="78"/>
    </row>
    <row r="113" spans="1:18">
      <c r="A113" s="6">
        <v>45488</v>
      </c>
      <c r="B113" t="s">
        <v>728</v>
      </c>
      <c r="C113" s="9">
        <v>134</v>
      </c>
      <c r="D113">
        <v>36.19</v>
      </c>
      <c r="E113" s="29">
        <v>40</v>
      </c>
      <c r="F113" s="50">
        <v>35</v>
      </c>
      <c r="G113" s="21">
        <f t="shared" si="50"/>
        <v>4.2016806722689157</v>
      </c>
      <c r="J113" s="30"/>
      <c r="K113" s="35"/>
      <c r="L113" s="37"/>
      <c r="M113" s="58"/>
      <c r="N113" s="35"/>
      <c r="O113" s="85"/>
      <c r="P113" s="86"/>
      <c r="Q113" s="78"/>
      <c r="R113" s="28">
        <v>3723.44</v>
      </c>
    </row>
    <row r="114" spans="1:18">
      <c r="A114" s="6">
        <v>45484</v>
      </c>
      <c r="B114" t="s">
        <v>75</v>
      </c>
      <c r="C114" s="9">
        <v>37</v>
      </c>
      <c r="D114">
        <v>7.9</v>
      </c>
      <c r="E114" s="29">
        <v>10</v>
      </c>
      <c r="F114" s="50">
        <v>7</v>
      </c>
      <c r="G114" s="21">
        <f t="shared" si="50"/>
        <v>3.3333333333333321</v>
      </c>
      <c r="H114" s="6">
        <v>45491</v>
      </c>
      <c r="I114" s="29">
        <v>8.69</v>
      </c>
      <c r="J114" s="30">
        <f>I114/D114 -1</f>
        <v>9.9999999999999867E-2</v>
      </c>
      <c r="K114" s="35">
        <f>(C114*I114) - (C114*D114)</f>
        <v>29.229999999999961</v>
      </c>
      <c r="L114" s="21">
        <f>H114-A114</f>
        <v>7</v>
      </c>
      <c r="M114" s="9">
        <f>IF(J114&gt;0,1,0)</f>
        <v>1</v>
      </c>
      <c r="N114">
        <f>IF(K114&gt;0, K114, 0)</f>
        <v>29.229999999999961</v>
      </c>
      <c r="O114">
        <v>0</v>
      </c>
      <c r="P114" s="86"/>
      <c r="Q114" s="78"/>
    </row>
    <row r="115" spans="1:18">
      <c r="A115" s="6">
        <v>45484</v>
      </c>
      <c r="B115" s="22" t="s">
        <v>438</v>
      </c>
      <c r="C115" s="57">
        <v>200</v>
      </c>
      <c r="D115">
        <v>0.72</v>
      </c>
      <c r="E115" s="29">
        <v>2.5</v>
      </c>
      <c r="F115" s="50">
        <v>0.35</v>
      </c>
      <c r="G115" s="21">
        <f t="shared" si="50"/>
        <v>5.8108108108108105</v>
      </c>
      <c r="H115" s="6">
        <v>45505</v>
      </c>
      <c r="I115" s="29">
        <v>0.77</v>
      </c>
      <c r="J115" s="30">
        <f>I115/D115 -1</f>
        <v>6.944444444444442E-2</v>
      </c>
      <c r="K115" s="35">
        <f>(C115*I115) - (C115*D115)</f>
        <v>10</v>
      </c>
      <c r="L115" s="21">
        <f>H115-A115</f>
        <v>21</v>
      </c>
      <c r="M115" s="9">
        <f>IF(J115&gt;0,1,0)</f>
        <v>1</v>
      </c>
      <c r="N115">
        <f>IF(K115&gt;0, K115, 0)</f>
        <v>10</v>
      </c>
      <c r="O115">
        <v>0</v>
      </c>
      <c r="P115" s="86"/>
      <c r="Q115" s="78"/>
    </row>
    <row r="116" spans="1:18">
      <c r="A116" s="6">
        <v>45483</v>
      </c>
      <c r="B116" t="s">
        <v>296</v>
      </c>
      <c r="C116" s="9">
        <v>102</v>
      </c>
      <c r="D116">
        <v>7.3</v>
      </c>
      <c r="E116" s="29">
        <v>9</v>
      </c>
      <c r="F116" s="50">
        <v>7</v>
      </c>
      <c r="G116" s="21">
        <f t="shared" si="50"/>
        <v>6.6666666666666705</v>
      </c>
      <c r="H116" s="6">
        <v>45485</v>
      </c>
      <c r="I116" s="29">
        <v>7.5</v>
      </c>
      <c r="J116" s="30">
        <f>I116/D116 -1</f>
        <v>2.7397260273972712E-2</v>
      </c>
      <c r="K116" s="35">
        <f>(C116*I116) - (C116*D116)</f>
        <v>20.399999999999977</v>
      </c>
      <c r="L116" s="21">
        <f>H116-A116</f>
        <v>2</v>
      </c>
      <c r="M116" s="9">
        <f>IF(J116&gt;0,1,0)</f>
        <v>1</v>
      </c>
      <c r="N116">
        <f>IF(K116&gt;0, K116, 0)</f>
        <v>20.399999999999977</v>
      </c>
      <c r="O116">
        <v>0</v>
      </c>
      <c r="P116" s="86"/>
      <c r="Q116" s="78"/>
    </row>
    <row r="117" spans="1:18">
      <c r="A117" s="6">
        <v>45483</v>
      </c>
      <c r="B117" s="61" t="s">
        <v>830</v>
      </c>
      <c r="C117" s="9">
        <v>12</v>
      </c>
      <c r="D117">
        <v>323.2</v>
      </c>
      <c r="E117" s="29">
        <v>350</v>
      </c>
      <c r="F117" s="50">
        <v>300</v>
      </c>
      <c r="G117" s="21">
        <f t="shared" si="50"/>
        <v>2.1551724137931045</v>
      </c>
      <c r="H117" s="6">
        <v>45488</v>
      </c>
      <c r="I117" s="29">
        <v>327</v>
      </c>
      <c r="J117" s="30">
        <f>I117/D117 -1</f>
        <v>1.1757425742574323E-2</v>
      </c>
      <c r="K117" s="35">
        <f>(C117*I117) - (C117*D117)</f>
        <v>45.600000000000364</v>
      </c>
      <c r="L117" s="21">
        <f>H117-A117</f>
        <v>5</v>
      </c>
      <c r="M117" s="9">
        <f>IF(J117&gt;0,1,0)</f>
        <v>1</v>
      </c>
      <c r="N117">
        <f>IF(K117&gt;0, K117, 0)</f>
        <v>45.600000000000364</v>
      </c>
      <c r="O117">
        <v>0</v>
      </c>
      <c r="P117" s="86"/>
      <c r="Q117" s="78"/>
    </row>
    <row r="118" spans="1:18">
      <c r="A118" s="6">
        <v>45483</v>
      </c>
      <c r="B118" t="s">
        <v>92</v>
      </c>
      <c r="C118" s="9">
        <v>40</v>
      </c>
      <c r="D118">
        <v>120.67</v>
      </c>
      <c r="E118" s="29">
        <v>160</v>
      </c>
      <c r="F118" s="50">
        <v>130</v>
      </c>
      <c r="G118" s="21">
        <f t="shared" si="50"/>
        <v>-3.2154340836012869</v>
      </c>
      <c r="J118" s="30"/>
      <c r="K118" s="35"/>
      <c r="L118" s="37"/>
      <c r="M118" s="58"/>
      <c r="N118" s="35"/>
      <c r="O118" s="85"/>
      <c r="P118" s="86"/>
      <c r="Q118" s="78"/>
    </row>
    <row r="119" spans="1:18">
      <c r="A119" s="6">
        <v>45483</v>
      </c>
      <c r="B119" t="s">
        <v>439</v>
      </c>
      <c r="C119" s="9">
        <v>23</v>
      </c>
      <c r="D119">
        <v>182.25</v>
      </c>
      <c r="E119" s="29">
        <v>200</v>
      </c>
      <c r="F119" s="75">
        <v>175</v>
      </c>
      <c r="G119" s="21">
        <f t="shared" si="50"/>
        <v>3.4482758620689653</v>
      </c>
      <c r="J119" s="30"/>
      <c r="K119" s="35"/>
      <c r="L119" s="37"/>
      <c r="M119" s="58"/>
      <c r="N119" s="35"/>
      <c r="O119" s="85"/>
      <c r="P119" s="86"/>
      <c r="Q119" s="78"/>
    </row>
    <row r="120" spans="1:18">
      <c r="A120" s="6">
        <v>45483</v>
      </c>
      <c r="B120" t="s">
        <v>439</v>
      </c>
      <c r="C120" s="9">
        <v>12</v>
      </c>
      <c r="D120">
        <v>139</v>
      </c>
      <c r="E120" s="29">
        <v>200</v>
      </c>
      <c r="F120" s="75">
        <v>175</v>
      </c>
      <c r="G120" s="21">
        <f t="shared" si="50"/>
        <v>-0.69444444444444442</v>
      </c>
      <c r="H120" s="6">
        <v>45520</v>
      </c>
      <c r="I120" s="29">
        <v>148.5</v>
      </c>
      <c r="J120" s="30">
        <f>I120/D120 -1</f>
        <v>6.8345323741007213E-2</v>
      </c>
      <c r="K120" s="35">
        <f>(C120*I120) - (C120*D120)</f>
        <v>114</v>
      </c>
      <c r="L120" s="21">
        <f>H120-A120</f>
        <v>37</v>
      </c>
      <c r="M120" s="9">
        <f>IF(J120&gt;0,1,0)</f>
        <v>1</v>
      </c>
      <c r="N120">
        <f>IF(K120&gt;0, K120, 0)</f>
        <v>114</v>
      </c>
      <c r="O120">
        <v>0</v>
      </c>
      <c r="P120" s="86"/>
      <c r="Q120" s="78"/>
      <c r="R120" s="28">
        <v>3306.28</v>
      </c>
    </row>
    <row r="121" spans="1:18">
      <c r="A121" s="6">
        <v>45482</v>
      </c>
      <c r="B121" t="s">
        <v>728</v>
      </c>
      <c r="C121" s="9">
        <v>34</v>
      </c>
      <c r="D121">
        <v>34.25</v>
      </c>
      <c r="E121" s="29">
        <v>42.5</v>
      </c>
      <c r="F121" s="50">
        <v>32.5</v>
      </c>
      <c r="G121" s="21">
        <f t="shared" ref="G121:G131" si="51" xml:space="preserve"> (E121 - F121)/(D121-F121)</f>
        <v>5.7142857142857144</v>
      </c>
      <c r="H121" s="6">
        <v>45485</v>
      </c>
      <c r="I121" s="29">
        <v>35.6</v>
      </c>
      <c r="J121" s="30">
        <f t="shared" ref="J121:J128" si="52">I121/D121 -1</f>
        <v>3.9416058394160736E-2</v>
      </c>
      <c r="K121" s="35">
        <f t="shared" ref="K121:K128" si="53">(C121*I121) - (C121*D121)</f>
        <v>45.900000000000091</v>
      </c>
      <c r="L121" s="21">
        <f t="shared" ref="L121:L128" si="54">H121-A121</f>
        <v>3</v>
      </c>
      <c r="M121" s="9">
        <f t="shared" ref="M121:M128" si="55">IF(J121&gt;0,1,0)</f>
        <v>1</v>
      </c>
      <c r="N121">
        <f t="shared" ref="N121:N128" si="56">IF(K121&gt;0, K121, 0)</f>
        <v>45.900000000000091</v>
      </c>
      <c r="O121">
        <v>0</v>
      </c>
      <c r="P121" s="86"/>
      <c r="Q121" s="78"/>
    </row>
    <row r="122" spans="1:18">
      <c r="A122" s="6">
        <v>45482</v>
      </c>
      <c r="B122" s="22" t="s">
        <v>250</v>
      </c>
      <c r="C122" s="57">
        <v>100</v>
      </c>
      <c r="D122">
        <v>0.97</v>
      </c>
      <c r="E122" s="29">
        <v>4</v>
      </c>
      <c r="F122" s="50">
        <v>0.5</v>
      </c>
      <c r="G122" s="21">
        <f xml:space="preserve"> (E122 - F122)/(D122-F122)</f>
        <v>7.4468085106382986</v>
      </c>
      <c r="H122" s="6">
        <v>45504</v>
      </c>
      <c r="I122" s="29">
        <v>3.25</v>
      </c>
      <c r="J122" s="30">
        <f t="shared" si="52"/>
        <v>2.3505154639175259</v>
      </c>
      <c r="K122" s="35">
        <f t="shared" si="53"/>
        <v>228</v>
      </c>
      <c r="L122" s="21">
        <f t="shared" si="54"/>
        <v>22</v>
      </c>
      <c r="M122" s="9">
        <f t="shared" si="55"/>
        <v>1</v>
      </c>
      <c r="N122">
        <f t="shared" si="56"/>
        <v>228</v>
      </c>
      <c r="O122">
        <v>0</v>
      </c>
      <c r="P122" s="86"/>
      <c r="Q122" s="78"/>
    </row>
    <row r="123" spans="1:18">
      <c r="A123" s="6">
        <v>45482</v>
      </c>
      <c r="B123" s="22" t="s">
        <v>250</v>
      </c>
      <c r="C123" s="57">
        <v>100</v>
      </c>
      <c r="D123">
        <v>0.97</v>
      </c>
      <c r="E123" s="29">
        <v>4</v>
      </c>
      <c r="F123" s="50">
        <v>0.5</v>
      </c>
      <c r="G123" s="21">
        <f t="shared" si="51"/>
        <v>7.4468085106382986</v>
      </c>
      <c r="H123" s="6">
        <v>45490</v>
      </c>
      <c r="I123" s="29">
        <v>1.9</v>
      </c>
      <c r="J123" s="30">
        <f t="shared" si="52"/>
        <v>0.95876288659793807</v>
      </c>
      <c r="K123" s="35">
        <f t="shared" si="53"/>
        <v>93</v>
      </c>
      <c r="L123" s="21">
        <f t="shared" si="54"/>
        <v>8</v>
      </c>
      <c r="M123" s="9">
        <f t="shared" si="55"/>
        <v>1</v>
      </c>
      <c r="N123">
        <f t="shared" si="56"/>
        <v>93</v>
      </c>
      <c r="O123">
        <v>0</v>
      </c>
      <c r="P123" s="86"/>
      <c r="Q123" s="78"/>
      <c r="R123" s="28">
        <v>2726.71</v>
      </c>
    </row>
    <row r="124" spans="1:18">
      <c r="A124" s="6">
        <v>45481</v>
      </c>
      <c r="B124" t="s">
        <v>629</v>
      </c>
      <c r="C124" s="9">
        <v>424</v>
      </c>
      <c r="D124">
        <v>2.7</v>
      </c>
      <c r="E124" s="29">
        <v>4</v>
      </c>
      <c r="F124" s="50">
        <v>2.5</v>
      </c>
      <c r="G124" s="21">
        <f t="shared" si="51"/>
        <v>7.4999999999999929</v>
      </c>
      <c r="H124" s="6">
        <v>45488</v>
      </c>
      <c r="I124" s="29">
        <v>3.04</v>
      </c>
      <c r="J124" s="30">
        <f t="shared" si="52"/>
        <v>0.12592592592592577</v>
      </c>
      <c r="K124" s="35">
        <f t="shared" si="53"/>
        <v>144.15999999999985</v>
      </c>
      <c r="L124" s="21">
        <f t="shared" si="54"/>
        <v>7</v>
      </c>
      <c r="M124" s="9">
        <f t="shared" si="55"/>
        <v>1</v>
      </c>
      <c r="N124">
        <f t="shared" si="56"/>
        <v>144.15999999999985</v>
      </c>
      <c r="O124">
        <v>0</v>
      </c>
      <c r="P124" s="86"/>
      <c r="Q124" s="78"/>
    </row>
    <row r="125" spans="1:18">
      <c r="A125" s="6">
        <v>45481</v>
      </c>
      <c r="B125" t="s">
        <v>15</v>
      </c>
      <c r="C125" s="9">
        <v>32</v>
      </c>
      <c r="D125">
        <v>111.81</v>
      </c>
      <c r="E125" s="29">
        <v>125</v>
      </c>
      <c r="F125" s="50">
        <v>110</v>
      </c>
      <c r="G125" s="21">
        <f t="shared" si="51"/>
        <v>8.287292817679548</v>
      </c>
      <c r="H125" s="6">
        <v>45489</v>
      </c>
      <c r="I125" s="29">
        <v>115.27</v>
      </c>
      <c r="J125" s="30">
        <f t="shared" si="52"/>
        <v>3.0945353725069236E-2</v>
      </c>
      <c r="K125" s="35">
        <f t="shared" si="53"/>
        <v>110.7199999999998</v>
      </c>
      <c r="L125" s="21">
        <f t="shared" si="54"/>
        <v>8</v>
      </c>
      <c r="M125" s="9">
        <f t="shared" si="55"/>
        <v>1</v>
      </c>
      <c r="N125">
        <f t="shared" si="56"/>
        <v>110.7199999999998</v>
      </c>
      <c r="O125">
        <v>0</v>
      </c>
      <c r="P125" s="86"/>
      <c r="Q125" s="78"/>
    </row>
    <row r="126" spans="1:18">
      <c r="A126" s="6">
        <v>45481</v>
      </c>
      <c r="B126" t="s">
        <v>830</v>
      </c>
      <c r="C126" s="9">
        <v>12</v>
      </c>
      <c r="D126">
        <v>311.85000000000002</v>
      </c>
      <c r="E126" s="29">
        <v>350</v>
      </c>
      <c r="F126" s="50">
        <v>300</v>
      </c>
      <c r="G126" s="21">
        <f t="shared" si="51"/>
        <v>4.2194092827004139</v>
      </c>
      <c r="H126" s="6">
        <v>45483</v>
      </c>
      <c r="I126" s="29">
        <v>323.2</v>
      </c>
      <c r="J126" s="30">
        <f t="shared" si="52"/>
        <v>3.6395703062369611E-2</v>
      </c>
      <c r="K126" s="35">
        <f t="shared" si="53"/>
        <v>136.19999999999936</v>
      </c>
      <c r="L126" s="21">
        <f t="shared" si="54"/>
        <v>2</v>
      </c>
      <c r="M126" s="9">
        <f t="shared" si="55"/>
        <v>1</v>
      </c>
      <c r="N126">
        <f t="shared" si="56"/>
        <v>136.19999999999936</v>
      </c>
      <c r="O126">
        <v>0</v>
      </c>
      <c r="P126" s="86"/>
      <c r="Q126" s="78"/>
    </row>
    <row r="127" spans="1:18">
      <c r="A127" s="6">
        <v>45481</v>
      </c>
      <c r="B127" t="s">
        <v>92</v>
      </c>
      <c r="C127" s="9">
        <v>27</v>
      </c>
      <c r="D127">
        <v>132</v>
      </c>
      <c r="E127" s="29">
        <v>160</v>
      </c>
      <c r="F127" s="50">
        <v>127</v>
      </c>
      <c r="G127" s="21">
        <f t="shared" si="51"/>
        <v>6.6</v>
      </c>
      <c r="H127" s="6">
        <v>45483</v>
      </c>
      <c r="I127" s="29">
        <v>135.99</v>
      </c>
      <c r="J127" s="30">
        <f t="shared" si="52"/>
        <v>3.0227272727272769E-2</v>
      </c>
      <c r="K127" s="35">
        <f t="shared" si="53"/>
        <v>107.73000000000047</v>
      </c>
      <c r="L127" s="21">
        <f t="shared" si="54"/>
        <v>2</v>
      </c>
      <c r="M127" s="9">
        <f t="shared" si="55"/>
        <v>1</v>
      </c>
      <c r="N127">
        <f t="shared" si="56"/>
        <v>107.73000000000047</v>
      </c>
      <c r="O127">
        <v>0</v>
      </c>
      <c r="P127" s="86"/>
      <c r="Q127" s="78"/>
    </row>
    <row r="128" spans="1:18">
      <c r="A128" s="6">
        <v>45481</v>
      </c>
      <c r="B128" t="s">
        <v>439</v>
      </c>
      <c r="C128" s="9">
        <v>23</v>
      </c>
      <c r="D128">
        <v>177.7</v>
      </c>
      <c r="E128" s="29">
        <v>200</v>
      </c>
      <c r="F128" s="75">
        <v>175</v>
      </c>
      <c r="G128" s="21">
        <f t="shared" si="51"/>
        <v>9.2592592592592986</v>
      </c>
      <c r="H128" s="6">
        <v>45483</v>
      </c>
      <c r="I128" s="29">
        <v>182.38</v>
      </c>
      <c r="J128" s="30">
        <f t="shared" si="52"/>
        <v>2.6336522228475046E-2</v>
      </c>
      <c r="K128" s="35">
        <f t="shared" si="53"/>
        <v>107.63999999999987</v>
      </c>
      <c r="L128" s="21">
        <f t="shared" si="54"/>
        <v>2</v>
      </c>
      <c r="M128" s="9">
        <f t="shared" si="55"/>
        <v>1</v>
      </c>
      <c r="N128">
        <f t="shared" si="56"/>
        <v>107.63999999999987</v>
      </c>
      <c r="O128">
        <v>0</v>
      </c>
      <c r="P128" s="86"/>
      <c r="Q128" s="78"/>
    </row>
    <row r="129" spans="1:20">
      <c r="A129" s="6">
        <v>45481</v>
      </c>
      <c r="B129" t="s">
        <v>733</v>
      </c>
      <c r="C129" s="9">
        <v>25</v>
      </c>
      <c r="D129">
        <v>146.19999999999999</v>
      </c>
      <c r="E129" s="29">
        <v>180</v>
      </c>
      <c r="F129" s="50">
        <v>140</v>
      </c>
      <c r="G129" s="21">
        <f t="shared" si="51"/>
        <v>6.4516129032258185</v>
      </c>
      <c r="J129" s="30"/>
      <c r="K129" s="35"/>
      <c r="L129" s="37"/>
      <c r="M129" s="58"/>
      <c r="N129" s="35"/>
      <c r="O129" s="85"/>
      <c r="P129" s="86"/>
      <c r="Q129" s="78"/>
    </row>
    <row r="130" spans="1:20">
      <c r="A130" s="6">
        <v>45481</v>
      </c>
      <c r="B130" t="s">
        <v>708</v>
      </c>
      <c r="C130" s="9">
        <v>16</v>
      </c>
      <c r="D130">
        <v>227.1</v>
      </c>
      <c r="E130" s="29">
        <v>260</v>
      </c>
      <c r="F130" s="50">
        <v>220</v>
      </c>
      <c r="G130" s="21">
        <f t="shared" si="51"/>
        <v>5.6338028169014134</v>
      </c>
      <c r="H130" s="6">
        <v>45489</v>
      </c>
      <c r="I130" s="29">
        <v>237</v>
      </c>
      <c r="J130" s="30">
        <f>I130/D130 -1</f>
        <v>4.3593130779392419E-2</v>
      </c>
      <c r="K130" s="35">
        <f>(C130*I130) - (C130*D130)</f>
        <v>158.40000000000009</v>
      </c>
      <c r="L130" s="21">
        <f>H130-A130</f>
        <v>8</v>
      </c>
      <c r="M130" s="9">
        <f>IF(J130&gt;0,1,0)</f>
        <v>1</v>
      </c>
      <c r="N130">
        <f>IF(K130&gt;0, K130, 0)</f>
        <v>158.40000000000009</v>
      </c>
      <c r="O130">
        <v>0</v>
      </c>
      <c r="P130" s="86"/>
      <c r="Q130" s="78"/>
      <c r="R130" s="28">
        <v>2665.21</v>
      </c>
    </row>
    <row r="131" spans="1:20">
      <c r="A131" s="6">
        <v>45478</v>
      </c>
      <c r="B131" t="s">
        <v>286</v>
      </c>
      <c r="C131" s="9">
        <v>30</v>
      </c>
      <c r="D131">
        <v>24.91</v>
      </c>
      <c r="E131" s="29">
        <v>35</v>
      </c>
      <c r="F131" s="50">
        <v>25</v>
      </c>
      <c r="G131" s="21">
        <f t="shared" si="51"/>
        <v>-111.11111111111128</v>
      </c>
      <c r="J131" s="30"/>
      <c r="K131" s="35"/>
      <c r="L131" s="37"/>
      <c r="M131" s="58"/>
      <c r="N131" s="35"/>
      <c r="O131" s="85"/>
      <c r="P131" s="86"/>
      <c r="Q131" s="78"/>
      <c r="R131" s="28">
        <v>2345.62</v>
      </c>
    </row>
    <row r="132" spans="1:20">
      <c r="A132" s="6">
        <v>45475</v>
      </c>
      <c r="B132" t="s">
        <v>87</v>
      </c>
      <c r="C132" s="9">
        <v>16</v>
      </c>
      <c r="D132">
        <v>228.6</v>
      </c>
      <c r="E132" s="29">
        <v>250</v>
      </c>
      <c r="F132" s="50">
        <v>225</v>
      </c>
      <c r="G132" s="21">
        <f t="shared" ref="G132:G137" si="57" xml:space="preserve"> (E132 - F132)/(D132-F132)</f>
        <v>6.9444444444444553</v>
      </c>
      <c r="H132" s="6">
        <v>45476</v>
      </c>
      <c r="I132" s="29">
        <v>243.4</v>
      </c>
      <c r="J132" s="30">
        <f>I132/D132 -1</f>
        <v>6.4741907261592457E-2</v>
      </c>
      <c r="K132" s="35">
        <f>(C132*I132) - (C132*D132)</f>
        <v>236.80000000000018</v>
      </c>
      <c r="L132" s="21">
        <f>H132-A132</f>
        <v>1</v>
      </c>
      <c r="M132" s="9">
        <f>IF(J132&gt;0,1,0)</f>
        <v>1</v>
      </c>
      <c r="N132">
        <f>IF(K132&gt;0, K132, 0)</f>
        <v>236.80000000000018</v>
      </c>
      <c r="O132">
        <v>0</v>
      </c>
      <c r="P132" s="86"/>
      <c r="Q132" s="78"/>
      <c r="R132" s="28">
        <v>2104.1799999999998</v>
      </c>
    </row>
    <row r="133" spans="1:20">
      <c r="A133" s="6">
        <v>45475</v>
      </c>
      <c r="B133" t="s">
        <v>39</v>
      </c>
      <c r="C133" s="9">
        <v>44</v>
      </c>
      <c r="D133">
        <v>47.85</v>
      </c>
      <c r="E133" s="29">
        <v>55</v>
      </c>
      <c r="F133" s="50">
        <v>46</v>
      </c>
      <c r="G133" s="21">
        <f t="shared" si="57"/>
        <v>4.8648648648648614</v>
      </c>
      <c r="H133" s="6">
        <v>45476</v>
      </c>
      <c r="I133" s="29">
        <v>48.17</v>
      </c>
      <c r="J133" s="30">
        <f>I133/D133 -1</f>
        <v>6.6875653082549835E-3</v>
      </c>
      <c r="K133" s="35">
        <f>(C133*I133) - (C133*D133)</f>
        <v>14.079999999999927</v>
      </c>
      <c r="L133" s="21">
        <f>H133-A133</f>
        <v>1</v>
      </c>
      <c r="M133" s="9">
        <f>IF(J133&gt;0,1,0)</f>
        <v>1</v>
      </c>
      <c r="N133">
        <f>IF(K133&gt;0, K133, 0)</f>
        <v>14.079999999999927</v>
      </c>
      <c r="O133">
        <v>0</v>
      </c>
      <c r="P133" s="86"/>
      <c r="Q133" s="78"/>
      <c r="R133" s="28">
        <v>1636.55</v>
      </c>
    </row>
    <row r="134" spans="1:20">
      <c r="A134" s="6">
        <v>45474</v>
      </c>
      <c r="B134" s="61" t="s">
        <v>830</v>
      </c>
      <c r="C134" s="9">
        <v>10</v>
      </c>
      <c r="D134">
        <v>305</v>
      </c>
      <c r="E134" s="29">
        <v>325</v>
      </c>
      <c r="F134" s="50">
        <v>300</v>
      </c>
      <c r="G134" s="21">
        <f t="shared" si="57"/>
        <v>5</v>
      </c>
      <c r="H134" s="6">
        <v>45476</v>
      </c>
      <c r="I134" s="29">
        <v>312.39999999999998</v>
      </c>
      <c r="J134" s="30">
        <f>I134/D134 -1</f>
        <v>2.4262295081967089E-2</v>
      </c>
      <c r="K134" s="35">
        <f>(C134*I134) - (C134*D134)</f>
        <v>74</v>
      </c>
      <c r="L134" s="21">
        <f>H134-A134</f>
        <v>2</v>
      </c>
      <c r="M134" s="9">
        <f>IF(J134&gt;0,1,0)</f>
        <v>1</v>
      </c>
      <c r="N134">
        <f>IF(K134&gt;0, K134, 0)</f>
        <v>74</v>
      </c>
      <c r="O134">
        <v>0</v>
      </c>
      <c r="P134" s="86"/>
      <c r="Q134" s="78"/>
    </row>
    <row r="135" spans="1:20">
      <c r="A135" s="6">
        <v>45474</v>
      </c>
      <c r="B135" t="s">
        <v>87</v>
      </c>
      <c r="C135" s="9">
        <v>16</v>
      </c>
      <c r="D135">
        <v>210</v>
      </c>
      <c r="E135" s="29">
        <v>225</v>
      </c>
      <c r="F135" s="50">
        <v>190</v>
      </c>
      <c r="G135" s="21">
        <f t="shared" si="57"/>
        <v>1.75</v>
      </c>
      <c r="H135" s="6">
        <v>45475</v>
      </c>
      <c r="I135" s="29">
        <v>228.7</v>
      </c>
      <c r="J135" s="30">
        <f>I135/D135 -1</f>
        <v>8.9047619047619042E-2</v>
      </c>
      <c r="K135" s="35">
        <f>(C135*I135) - (C135*D135)</f>
        <v>299.19999999999982</v>
      </c>
      <c r="L135" s="21">
        <f>H135-A135</f>
        <v>1</v>
      </c>
      <c r="M135" s="9">
        <f>IF(J135&gt;0,1,0)</f>
        <v>1</v>
      </c>
      <c r="N135">
        <f>IF(K135&gt;0, K135, 0)</f>
        <v>299.19999999999982</v>
      </c>
      <c r="O135">
        <v>0</v>
      </c>
      <c r="P135" s="86"/>
      <c r="Q135" s="78"/>
    </row>
    <row r="136" spans="1:20">
      <c r="A136" s="6">
        <v>45474</v>
      </c>
      <c r="B136" t="s">
        <v>92</v>
      </c>
      <c r="C136" s="9">
        <v>25</v>
      </c>
      <c r="D136">
        <v>130.30000000000001</v>
      </c>
      <c r="E136" s="29">
        <v>160</v>
      </c>
      <c r="F136" s="50">
        <v>120</v>
      </c>
      <c r="G136" s="21">
        <f t="shared" si="57"/>
        <v>3.8834951456310636</v>
      </c>
      <c r="H136" s="6">
        <v>45476</v>
      </c>
      <c r="I136" s="29">
        <v>136.01</v>
      </c>
      <c r="J136" s="30">
        <f>I136/D136 -1</f>
        <v>4.3821949347659039E-2</v>
      </c>
      <c r="K136" s="35">
        <f>(C136*I136) - (C136*D136)</f>
        <v>142.74999999999955</v>
      </c>
      <c r="L136" s="21">
        <f>H136-A136</f>
        <v>2</v>
      </c>
      <c r="M136" s="9">
        <f>IF(J136&gt;0,1,0)</f>
        <v>1</v>
      </c>
      <c r="N136">
        <f>IF(K136&gt;0, K136, 0)</f>
        <v>142.74999999999955</v>
      </c>
      <c r="O136">
        <v>0</v>
      </c>
      <c r="P136" s="86"/>
      <c r="Q136" s="78"/>
    </row>
    <row r="137" spans="1:20">
      <c r="A137" s="6">
        <v>45471</v>
      </c>
      <c r="B137" t="s">
        <v>611</v>
      </c>
      <c r="C137" s="9">
        <v>3</v>
      </c>
      <c r="D137">
        <v>152</v>
      </c>
      <c r="E137" s="29">
        <v>160</v>
      </c>
      <c r="F137" s="50">
        <v>150</v>
      </c>
      <c r="G137" s="21">
        <f t="shared" si="57"/>
        <v>5</v>
      </c>
      <c r="J137" s="30"/>
      <c r="K137" s="35"/>
      <c r="L137" s="37"/>
      <c r="M137" s="58"/>
      <c r="N137" s="35"/>
      <c r="O137" s="85"/>
      <c r="P137" s="86"/>
      <c r="Q137" s="78"/>
    </row>
    <row r="138" spans="1:20">
      <c r="A138" s="6">
        <v>45469</v>
      </c>
      <c r="B138" t="s">
        <v>287</v>
      </c>
      <c r="C138" s="9">
        <v>14</v>
      </c>
      <c r="D138">
        <v>74.25</v>
      </c>
      <c r="E138" s="29">
        <v>80</v>
      </c>
      <c r="F138" s="50">
        <v>71</v>
      </c>
      <c r="G138" s="21">
        <f t="shared" ref="G138:G143" si="58" xml:space="preserve"> (E138 - F138)/(D138-F138)</f>
        <v>2.7692307692307692</v>
      </c>
      <c r="H138" s="6">
        <v>45481</v>
      </c>
      <c r="I138" s="29">
        <v>81.81</v>
      </c>
      <c r="J138" s="30">
        <f t="shared" ref="J138:J144" si="59">I138/D138 -1</f>
        <v>0.10181818181818181</v>
      </c>
      <c r="K138" s="35">
        <f t="shared" ref="K138:K144" si="60">(C138*I138) - (C138*D138)</f>
        <v>105.84000000000015</v>
      </c>
      <c r="L138" s="21">
        <f t="shared" ref="L138:L144" si="61">H138-A138</f>
        <v>12</v>
      </c>
      <c r="M138" s="9">
        <f t="shared" ref="M138:M144" si="62">IF(J138&gt;0,1,0)</f>
        <v>1</v>
      </c>
      <c r="N138">
        <f t="shared" ref="N138:N144" si="63">IF(K138&gt;0, K138, 0)</f>
        <v>105.84000000000015</v>
      </c>
      <c r="O138">
        <v>0</v>
      </c>
      <c r="P138" s="86"/>
      <c r="Q138" s="78"/>
      <c r="R138" s="28">
        <v>1306.49</v>
      </c>
      <c r="S138" s="16">
        <v>487.74</v>
      </c>
      <c r="T138">
        <v>6</v>
      </c>
    </row>
    <row r="139" spans="1:20">
      <c r="A139" s="6">
        <v>45467</v>
      </c>
      <c r="B139" t="s">
        <v>827</v>
      </c>
      <c r="C139" s="9">
        <v>16</v>
      </c>
      <c r="D139">
        <v>38.57</v>
      </c>
      <c r="E139" s="29">
        <v>55</v>
      </c>
      <c r="F139" s="50">
        <v>40</v>
      </c>
      <c r="G139" s="21">
        <f t="shared" si="58"/>
        <v>-10.489510489510492</v>
      </c>
      <c r="H139" s="6">
        <v>45650</v>
      </c>
      <c r="I139" s="29">
        <v>39.1</v>
      </c>
      <c r="J139" s="30">
        <f t="shared" si="59"/>
        <v>1.3741249675913947E-2</v>
      </c>
      <c r="K139" s="35">
        <f t="shared" si="60"/>
        <v>8.4800000000000182</v>
      </c>
      <c r="L139" s="21">
        <f t="shared" si="61"/>
        <v>183</v>
      </c>
      <c r="M139" s="9">
        <f t="shared" si="62"/>
        <v>1</v>
      </c>
      <c r="N139">
        <f t="shared" si="63"/>
        <v>8.4800000000000182</v>
      </c>
      <c r="O139" s="85"/>
      <c r="P139" s="86"/>
      <c r="Q139" s="78"/>
      <c r="R139" s="28">
        <v>1715.07</v>
      </c>
      <c r="S139" s="28">
        <v>-159.99</v>
      </c>
    </row>
    <row r="140" spans="1:20">
      <c r="A140" s="6">
        <v>45467</v>
      </c>
      <c r="B140" s="61" t="s">
        <v>830</v>
      </c>
      <c r="C140" s="9">
        <v>15</v>
      </c>
      <c r="D140">
        <v>304.05</v>
      </c>
      <c r="E140" s="29">
        <v>325</v>
      </c>
      <c r="F140" s="50">
        <v>300</v>
      </c>
      <c r="G140" s="21">
        <f t="shared" si="58"/>
        <v>6.1728395061728225</v>
      </c>
      <c r="H140" s="6">
        <v>45471</v>
      </c>
      <c r="I140" s="29">
        <v>308</v>
      </c>
      <c r="J140" s="30">
        <f t="shared" si="59"/>
        <v>1.2991284328235375E-2</v>
      </c>
      <c r="K140" s="35">
        <f t="shared" si="60"/>
        <v>59.25</v>
      </c>
      <c r="L140" s="21">
        <f t="shared" si="61"/>
        <v>4</v>
      </c>
      <c r="M140" s="9">
        <f t="shared" si="62"/>
        <v>1</v>
      </c>
      <c r="N140">
        <f t="shared" si="63"/>
        <v>59.25</v>
      </c>
      <c r="O140">
        <v>0</v>
      </c>
      <c r="P140" s="86"/>
      <c r="Q140" s="78"/>
      <c r="R140" s="28">
        <v>3530.43</v>
      </c>
    </row>
    <row r="141" spans="1:20">
      <c r="A141" s="6">
        <v>45464</v>
      </c>
      <c r="B141" s="61" t="s">
        <v>332</v>
      </c>
      <c r="C141" s="9">
        <v>8</v>
      </c>
      <c r="D141">
        <v>70.92</v>
      </c>
      <c r="E141" s="29">
        <v>75</v>
      </c>
      <c r="F141" s="50">
        <v>70</v>
      </c>
      <c r="G141" s="21">
        <f t="shared" si="58"/>
        <v>5.4347826086956417</v>
      </c>
      <c r="H141" s="6">
        <v>45499</v>
      </c>
      <c r="I141" s="29">
        <v>76</v>
      </c>
      <c r="J141" s="30">
        <f t="shared" si="59"/>
        <v>7.1630005640157979E-2</v>
      </c>
      <c r="K141" s="35">
        <f t="shared" si="60"/>
        <v>40.639999999999986</v>
      </c>
      <c r="L141" s="21">
        <f t="shared" si="61"/>
        <v>35</v>
      </c>
      <c r="M141" s="9">
        <f t="shared" si="62"/>
        <v>1</v>
      </c>
      <c r="N141">
        <f t="shared" si="63"/>
        <v>40.639999999999986</v>
      </c>
      <c r="O141">
        <v>0</v>
      </c>
      <c r="P141" s="86"/>
      <c r="Q141" s="78"/>
      <c r="R141" s="28">
        <v>3642.12</v>
      </c>
    </row>
    <row r="142" spans="1:20">
      <c r="A142" s="6">
        <v>45460</v>
      </c>
      <c r="B142" t="s">
        <v>75</v>
      </c>
      <c r="C142" s="9">
        <v>77</v>
      </c>
      <c r="D142">
        <v>7.51</v>
      </c>
      <c r="E142" s="29">
        <v>10</v>
      </c>
      <c r="F142" s="50">
        <v>7.1</v>
      </c>
      <c r="G142" s="21">
        <f t="shared" si="58"/>
        <v>7.0731707317073154</v>
      </c>
      <c r="H142" s="6">
        <v>45475</v>
      </c>
      <c r="I142" s="29">
        <v>7.99</v>
      </c>
      <c r="J142" s="30">
        <f t="shared" si="59"/>
        <v>6.391478029294273E-2</v>
      </c>
      <c r="K142" s="35">
        <f t="shared" si="60"/>
        <v>36.960000000000036</v>
      </c>
      <c r="L142" s="21">
        <f t="shared" si="61"/>
        <v>15</v>
      </c>
      <c r="M142" s="9">
        <f t="shared" si="62"/>
        <v>1</v>
      </c>
      <c r="N142">
        <f t="shared" si="63"/>
        <v>36.960000000000036</v>
      </c>
      <c r="O142">
        <v>0</v>
      </c>
      <c r="P142" s="86"/>
      <c r="Q142" s="78"/>
      <c r="R142" s="28">
        <v>3880.12</v>
      </c>
    </row>
    <row r="143" spans="1:20">
      <c r="A143" s="6">
        <v>45460</v>
      </c>
      <c r="B143" s="61" t="s">
        <v>353</v>
      </c>
      <c r="C143" s="9">
        <v>39</v>
      </c>
      <c r="D143">
        <v>15.3</v>
      </c>
      <c r="E143" s="29">
        <v>16</v>
      </c>
      <c r="F143" s="50">
        <v>15</v>
      </c>
      <c r="G143" s="21">
        <f t="shared" si="58"/>
        <v>3.3333333333333255</v>
      </c>
      <c r="H143" s="6">
        <v>45463</v>
      </c>
      <c r="I143" s="29">
        <v>15.73</v>
      </c>
      <c r="J143" s="30">
        <f t="shared" si="59"/>
        <v>2.8104575163398593E-2</v>
      </c>
      <c r="K143" s="35">
        <f t="shared" si="60"/>
        <v>16.769999999999982</v>
      </c>
      <c r="L143" s="21">
        <f t="shared" si="61"/>
        <v>3</v>
      </c>
      <c r="M143" s="9">
        <f t="shared" si="62"/>
        <v>1</v>
      </c>
      <c r="N143">
        <f t="shared" si="63"/>
        <v>16.769999999999982</v>
      </c>
      <c r="O143">
        <v>0</v>
      </c>
      <c r="P143" s="86"/>
      <c r="Q143" s="78"/>
      <c r="R143" s="28">
        <v>3847.36</v>
      </c>
    </row>
    <row r="144" spans="1:20">
      <c r="A144" s="6">
        <v>45457</v>
      </c>
      <c r="B144" t="s">
        <v>467</v>
      </c>
      <c r="C144" s="9">
        <v>3</v>
      </c>
      <c r="D144">
        <v>231.5</v>
      </c>
      <c r="E144" s="29">
        <v>280</v>
      </c>
      <c r="F144" s="50">
        <v>220</v>
      </c>
      <c r="G144" s="21">
        <f t="shared" ref="G144:G151" si="64" xml:space="preserve"> (E144 - F144)/(D144-F144)</f>
        <v>5.2173913043478262</v>
      </c>
      <c r="H144" s="6">
        <v>45482</v>
      </c>
      <c r="I144" s="29">
        <v>252</v>
      </c>
      <c r="J144" s="30">
        <f t="shared" si="59"/>
        <v>8.8552915766738627E-2</v>
      </c>
      <c r="K144" s="35">
        <f t="shared" si="60"/>
        <v>61.5</v>
      </c>
      <c r="L144" s="21">
        <f t="shared" si="61"/>
        <v>25</v>
      </c>
      <c r="M144" s="9">
        <f t="shared" si="62"/>
        <v>1</v>
      </c>
      <c r="N144">
        <f t="shared" si="63"/>
        <v>61.5</v>
      </c>
      <c r="O144">
        <v>0</v>
      </c>
      <c r="P144" s="86"/>
      <c r="Q144" s="78"/>
      <c r="R144" s="28">
        <v>3984.29</v>
      </c>
    </row>
    <row r="145" spans="1:20">
      <c r="A145" s="6">
        <v>45456</v>
      </c>
      <c r="B145" t="s">
        <v>287</v>
      </c>
      <c r="C145" s="9">
        <v>14</v>
      </c>
      <c r="D145">
        <v>73</v>
      </c>
      <c r="E145" s="29">
        <v>80</v>
      </c>
      <c r="F145" s="50">
        <v>70</v>
      </c>
      <c r="G145" s="21">
        <f t="shared" si="64"/>
        <v>3.3333333333333335</v>
      </c>
      <c r="H145" s="6">
        <v>45457</v>
      </c>
      <c r="I145" s="29">
        <v>73.7</v>
      </c>
      <c r="J145" s="30">
        <f t="shared" ref="J145:J156" si="65">I145/D145 -1</f>
        <v>9.5890410958905381E-3</v>
      </c>
      <c r="K145" s="35">
        <f t="shared" ref="K145:K156" si="66">(C145*I145) - (C145*D145)</f>
        <v>9.7999999999999545</v>
      </c>
      <c r="L145" s="21">
        <f t="shared" ref="L145:L156" si="67">H145-A145</f>
        <v>1</v>
      </c>
      <c r="M145" s="9">
        <f t="shared" ref="M145:M156" si="68">IF(J145&gt;0,1,0)</f>
        <v>1</v>
      </c>
      <c r="N145">
        <f t="shared" ref="N145:N156" si="69">IF(K145&gt;0, K145, 0)</f>
        <v>9.7999999999999545</v>
      </c>
      <c r="O145">
        <v>0</v>
      </c>
      <c r="P145" s="86"/>
      <c r="Q145" s="78"/>
    </row>
    <row r="146" spans="1:20">
      <c r="A146" s="6">
        <v>45455</v>
      </c>
      <c r="B146" s="61" t="s">
        <v>823</v>
      </c>
      <c r="C146" s="9">
        <v>26</v>
      </c>
      <c r="D146">
        <v>150.97</v>
      </c>
      <c r="E146" s="29">
        <v>170</v>
      </c>
      <c r="F146" s="75">
        <v>140</v>
      </c>
      <c r="G146" s="21">
        <f t="shared" si="64"/>
        <v>2.7347310847766639</v>
      </c>
      <c r="H146" s="6">
        <v>45569</v>
      </c>
      <c r="I146" s="29">
        <v>154</v>
      </c>
      <c r="J146" s="30">
        <f>I146/D146 -1</f>
        <v>2.0070212625024952E-2</v>
      </c>
      <c r="K146" s="35">
        <f>(C146*I146) - (C146*D146)</f>
        <v>78.7800000000002</v>
      </c>
      <c r="L146" s="21">
        <f>H146-A146</f>
        <v>114</v>
      </c>
      <c r="M146" s="9">
        <f>IF(J146&gt;0,1,0)</f>
        <v>1</v>
      </c>
      <c r="N146">
        <f>IF(K146&gt;0, K146, 0)</f>
        <v>78.7800000000002</v>
      </c>
      <c r="O146">
        <v>0</v>
      </c>
      <c r="P146" s="86"/>
      <c r="Q146" s="78"/>
    </row>
    <row r="147" spans="1:20">
      <c r="A147" s="6">
        <v>45453</v>
      </c>
      <c r="B147" t="s">
        <v>790</v>
      </c>
      <c r="C147" s="9">
        <v>4</v>
      </c>
      <c r="D147">
        <v>72.989999999999995</v>
      </c>
      <c r="E147" s="29">
        <v>80</v>
      </c>
      <c r="F147" s="50">
        <v>70</v>
      </c>
      <c r="G147" s="21">
        <f t="shared" si="64"/>
        <v>3.3444816053511763</v>
      </c>
      <c r="H147" s="6">
        <v>45457</v>
      </c>
      <c r="I147" s="29">
        <v>74.5</v>
      </c>
      <c r="J147" s="30">
        <f t="shared" si="65"/>
        <v>2.0687765447321649E-2</v>
      </c>
      <c r="K147" s="35">
        <f t="shared" si="66"/>
        <v>6.0400000000000205</v>
      </c>
      <c r="L147" s="21">
        <f t="shared" si="67"/>
        <v>4</v>
      </c>
      <c r="M147" s="9">
        <f t="shared" si="68"/>
        <v>1</v>
      </c>
      <c r="N147">
        <f t="shared" si="69"/>
        <v>6.0400000000000205</v>
      </c>
      <c r="O147">
        <v>0</v>
      </c>
      <c r="P147" s="86"/>
      <c r="Q147" s="78"/>
      <c r="R147" s="28">
        <v>3920.17</v>
      </c>
    </row>
    <row r="148" spans="1:20">
      <c r="A148" s="6">
        <v>45453</v>
      </c>
      <c r="B148" s="61" t="s">
        <v>131</v>
      </c>
      <c r="C148" s="9">
        <v>21</v>
      </c>
      <c r="D148">
        <v>170</v>
      </c>
      <c r="E148" s="29">
        <v>180</v>
      </c>
      <c r="F148" s="50">
        <v>165</v>
      </c>
      <c r="G148" s="21">
        <f t="shared" si="64"/>
        <v>3</v>
      </c>
      <c r="H148" s="6">
        <v>45461</v>
      </c>
      <c r="I148" s="29">
        <v>170.6</v>
      </c>
      <c r="J148" s="30">
        <f t="shared" si="65"/>
        <v>3.529411764705781E-3</v>
      </c>
      <c r="K148" s="35">
        <f t="shared" si="66"/>
        <v>12.599999999999909</v>
      </c>
      <c r="L148" s="21">
        <f t="shared" si="67"/>
        <v>8</v>
      </c>
      <c r="M148" s="9">
        <f t="shared" si="68"/>
        <v>1</v>
      </c>
      <c r="N148">
        <f t="shared" si="69"/>
        <v>12.599999999999909</v>
      </c>
      <c r="O148">
        <v>0</v>
      </c>
      <c r="P148" s="86"/>
      <c r="Q148" s="78"/>
      <c r="R148" s="28">
        <v>3611.28</v>
      </c>
    </row>
    <row r="149" spans="1:20">
      <c r="A149" s="6">
        <v>45453</v>
      </c>
      <c r="B149" t="s">
        <v>594</v>
      </c>
      <c r="C149" s="9">
        <v>21</v>
      </c>
      <c r="D149">
        <v>146</v>
      </c>
      <c r="E149" s="29">
        <v>180</v>
      </c>
      <c r="F149" s="50">
        <v>140</v>
      </c>
      <c r="G149" s="21">
        <f t="shared" si="64"/>
        <v>6.666666666666667</v>
      </c>
      <c r="H149" s="6">
        <v>45457</v>
      </c>
      <c r="I149" s="29">
        <v>149</v>
      </c>
      <c r="J149" s="30">
        <f t="shared" si="65"/>
        <v>2.0547945205479534E-2</v>
      </c>
      <c r="K149" s="35">
        <f t="shared" si="66"/>
        <v>63</v>
      </c>
      <c r="L149" s="21">
        <f t="shared" si="67"/>
        <v>4</v>
      </c>
      <c r="M149" s="9">
        <f t="shared" si="68"/>
        <v>1</v>
      </c>
      <c r="N149">
        <f t="shared" si="69"/>
        <v>63</v>
      </c>
      <c r="O149">
        <v>0</v>
      </c>
      <c r="P149" s="86"/>
      <c r="Q149" s="78"/>
    </row>
    <row r="150" spans="1:20">
      <c r="A150" s="6">
        <v>45453</v>
      </c>
      <c r="B150" t="s">
        <v>708</v>
      </c>
      <c r="C150" s="9">
        <v>14</v>
      </c>
      <c r="D150">
        <v>214</v>
      </c>
      <c r="E150" s="29">
        <v>260</v>
      </c>
      <c r="F150" s="50">
        <v>205</v>
      </c>
      <c r="G150" s="21">
        <f t="shared" si="64"/>
        <v>6.1111111111111107</v>
      </c>
      <c r="H150" s="6">
        <v>45464</v>
      </c>
      <c r="I150" s="29">
        <v>219.5</v>
      </c>
      <c r="J150" s="30">
        <f t="shared" si="65"/>
        <v>2.5700934579439227E-2</v>
      </c>
      <c r="K150" s="35">
        <f t="shared" si="66"/>
        <v>77</v>
      </c>
      <c r="L150" s="21">
        <f t="shared" si="67"/>
        <v>11</v>
      </c>
      <c r="M150" s="9">
        <f t="shared" si="68"/>
        <v>1</v>
      </c>
      <c r="N150">
        <f t="shared" si="69"/>
        <v>77</v>
      </c>
      <c r="O150">
        <v>0</v>
      </c>
      <c r="P150" s="86"/>
      <c r="Q150" s="78"/>
    </row>
    <row r="151" spans="1:20">
      <c r="A151" s="6">
        <v>45453</v>
      </c>
      <c r="B151" t="s">
        <v>559</v>
      </c>
      <c r="C151" s="9">
        <v>5</v>
      </c>
      <c r="D151">
        <v>218.3</v>
      </c>
      <c r="E151" s="29">
        <v>240</v>
      </c>
      <c r="F151" s="50">
        <v>210</v>
      </c>
      <c r="G151" s="21">
        <f t="shared" si="64"/>
        <v>3.6144578313252964</v>
      </c>
      <c r="H151" s="6">
        <v>45450</v>
      </c>
      <c r="I151" s="29">
        <v>223</v>
      </c>
      <c r="J151" s="30">
        <f t="shared" si="65"/>
        <v>2.1530004580851969E-2</v>
      </c>
      <c r="K151" s="35">
        <f t="shared" si="66"/>
        <v>23.5</v>
      </c>
      <c r="L151" s="21">
        <f t="shared" si="67"/>
        <v>-3</v>
      </c>
      <c r="M151" s="9">
        <f t="shared" si="68"/>
        <v>1</v>
      </c>
      <c r="N151">
        <f t="shared" si="69"/>
        <v>23.5</v>
      </c>
      <c r="O151">
        <v>0</v>
      </c>
      <c r="P151" s="86"/>
      <c r="Q151" s="78"/>
      <c r="R151" s="28">
        <v>3731.82</v>
      </c>
    </row>
    <row r="152" spans="1:20">
      <c r="A152" s="6">
        <v>45449</v>
      </c>
      <c r="B152" t="s">
        <v>516</v>
      </c>
      <c r="C152" s="9">
        <v>14</v>
      </c>
      <c r="D152">
        <v>58.8</v>
      </c>
      <c r="E152" s="29">
        <v>70</v>
      </c>
      <c r="F152" s="50">
        <v>56</v>
      </c>
      <c r="G152" s="21">
        <f t="shared" ref="G152:G159" si="70" xml:space="preserve"> (E152 - F152)/(D152-F152)</f>
        <v>5.0000000000000053</v>
      </c>
      <c r="H152" s="6">
        <v>45457</v>
      </c>
      <c r="I152" s="16">
        <v>52</v>
      </c>
      <c r="J152" s="25">
        <f t="shared" si="65"/>
        <v>-0.11564625850340127</v>
      </c>
      <c r="K152" s="36">
        <f t="shared" si="66"/>
        <v>-95.199999999999932</v>
      </c>
      <c r="L152" s="24">
        <f t="shared" si="67"/>
        <v>8</v>
      </c>
      <c r="M152" s="52">
        <f t="shared" si="68"/>
        <v>0</v>
      </c>
      <c r="N152" s="24">
        <f t="shared" si="69"/>
        <v>0</v>
      </c>
      <c r="O152" s="17">
        <f>IF(K152&lt;0, K152, 0)</f>
        <v>-95.199999999999932</v>
      </c>
      <c r="P152" s="86"/>
      <c r="Q152" s="78"/>
      <c r="R152" s="28">
        <v>3871.32</v>
      </c>
    </row>
    <row r="153" spans="1:20">
      <c r="A153" s="6">
        <v>45447</v>
      </c>
      <c r="B153" s="61" t="s">
        <v>823</v>
      </c>
      <c r="C153" s="9">
        <v>20</v>
      </c>
      <c r="D153">
        <v>144.91999999999999</v>
      </c>
      <c r="E153" s="29">
        <v>170</v>
      </c>
      <c r="F153" s="50">
        <v>140</v>
      </c>
      <c r="G153" s="21">
        <f t="shared" si="70"/>
        <v>6.0975609756097713</v>
      </c>
      <c r="H153" s="6">
        <v>45450</v>
      </c>
      <c r="I153" s="29">
        <v>150.97</v>
      </c>
      <c r="J153" s="30">
        <f t="shared" si="65"/>
        <v>4.1747170852884485E-2</v>
      </c>
      <c r="K153" s="35">
        <f t="shared" si="66"/>
        <v>121.00000000000045</v>
      </c>
      <c r="L153" s="21">
        <f t="shared" si="67"/>
        <v>3</v>
      </c>
      <c r="M153" s="9">
        <f t="shared" si="68"/>
        <v>1</v>
      </c>
      <c r="N153">
        <f t="shared" si="69"/>
        <v>121.00000000000045</v>
      </c>
      <c r="O153">
        <v>0</v>
      </c>
      <c r="P153" s="86"/>
      <c r="Q153" s="78"/>
      <c r="R153" s="28">
        <v>3407.49</v>
      </c>
    </row>
    <row r="154" spans="1:20">
      <c r="A154" s="6">
        <v>45447</v>
      </c>
      <c r="B154" t="s">
        <v>708</v>
      </c>
      <c r="C154" s="9">
        <v>19</v>
      </c>
      <c r="D154">
        <v>211.1</v>
      </c>
      <c r="E154" s="29">
        <v>260</v>
      </c>
      <c r="F154" s="50">
        <v>205</v>
      </c>
      <c r="G154" s="21">
        <f t="shared" si="70"/>
        <v>9.0163934426229595</v>
      </c>
      <c r="H154" s="6">
        <v>45450</v>
      </c>
      <c r="I154" s="29">
        <v>215.5</v>
      </c>
      <c r="J154" s="30">
        <f t="shared" si="65"/>
        <v>2.0843202273803874E-2</v>
      </c>
      <c r="K154" s="35">
        <f t="shared" si="66"/>
        <v>83.599999999999909</v>
      </c>
      <c r="L154" s="21">
        <f t="shared" si="67"/>
        <v>3</v>
      </c>
      <c r="M154" s="9">
        <f t="shared" si="68"/>
        <v>1</v>
      </c>
      <c r="N154">
        <f t="shared" si="69"/>
        <v>83.599999999999909</v>
      </c>
      <c r="O154">
        <v>0</v>
      </c>
      <c r="P154" s="86"/>
      <c r="Q154" s="78"/>
    </row>
    <row r="155" spans="1:20">
      <c r="A155" s="6">
        <v>45446</v>
      </c>
      <c r="B155" s="61" t="s">
        <v>814</v>
      </c>
      <c r="C155" s="9">
        <v>13</v>
      </c>
      <c r="D155">
        <v>38.770000000000003</v>
      </c>
      <c r="E155" s="29">
        <v>45</v>
      </c>
      <c r="F155" s="50">
        <v>37</v>
      </c>
      <c r="G155" s="21">
        <f t="shared" si="70"/>
        <v>4.5197740112994271</v>
      </c>
      <c r="H155" s="6">
        <v>45463</v>
      </c>
      <c r="I155" s="29">
        <v>40</v>
      </c>
      <c r="J155" s="30">
        <f t="shared" si="65"/>
        <v>3.1725561000773617E-2</v>
      </c>
      <c r="K155" s="35">
        <f t="shared" si="66"/>
        <v>15.989999999999952</v>
      </c>
      <c r="L155" s="21">
        <f t="shared" si="67"/>
        <v>17</v>
      </c>
      <c r="M155" s="9">
        <f t="shared" si="68"/>
        <v>1</v>
      </c>
      <c r="N155">
        <f t="shared" si="69"/>
        <v>15.989999999999952</v>
      </c>
      <c r="O155">
        <v>0</v>
      </c>
      <c r="P155" s="86"/>
      <c r="Q155" s="78"/>
    </row>
    <row r="156" spans="1:20">
      <c r="A156" s="6">
        <v>45446</v>
      </c>
      <c r="B156" t="s">
        <v>287</v>
      </c>
      <c r="C156" s="9">
        <v>17</v>
      </c>
      <c r="D156">
        <v>62.33</v>
      </c>
      <c r="E156" s="29">
        <v>70</v>
      </c>
      <c r="F156" s="50">
        <v>60</v>
      </c>
      <c r="G156" s="21">
        <f t="shared" si="70"/>
        <v>4.291845493562235</v>
      </c>
      <c r="H156" s="6">
        <v>45455</v>
      </c>
      <c r="I156" s="29">
        <v>72</v>
      </c>
      <c r="J156" s="30">
        <f t="shared" si="65"/>
        <v>0.15514198620247077</v>
      </c>
      <c r="K156" s="35">
        <f t="shared" si="66"/>
        <v>164.3900000000001</v>
      </c>
      <c r="L156" s="21">
        <f t="shared" si="67"/>
        <v>9</v>
      </c>
      <c r="M156" s="9">
        <f t="shared" si="68"/>
        <v>1</v>
      </c>
      <c r="N156">
        <f t="shared" si="69"/>
        <v>164.3900000000001</v>
      </c>
      <c r="O156">
        <v>0</v>
      </c>
      <c r="P156" s="86"/>
      <c r="Q156" s="78"/>
    </row>
    <row r="157" spans="1:20">
      <c r="A157" s="6">
        <v>45446</v>
      </c>
      <c r="B157" s="22" t="s">
        <v>745</v>
      </c>
      <c r="C157" s="57">
        <v>400</v>
      </c>
      <c r="D157">
        <v>0.46</v>
      </c>
      <c r="E157" s="29">
        <v>6</v>
      </c>
      <c r="F157" s="75">
        <v>0.23</v>
      </c>
      <c r="G157" s="21">
        <f t="shared" si="70"/>
        <v>25.086956521739129</v>
      </c>
      <c r="H157" s="6">
        <v>45520</v>
      </c>
      <c r="I157" s="16">
        <v>0</v>
      </c>
      <c r="J157" s="25">
        <f t="shared" ref="J157:J163" si="71">I157/D157 -1</f>
        <v>-1</v>
      </c>
      <c r="K157" s="36">
        <f t="shared" ref="K157:K163" si="72">(C157*I157) - (C157*D157)</f>
        <v>-184</v>
      </c>
      <c r="L157" s="24">
        <f t="shared" ref="L157:L163" si="73">H157-A157</f>
        <v>74</v>
      </c>
      <c r="M157" s="52">
        <f t="shared" ref="M157:M163" si="74">IF(J157&gt;0,1,0)</f>
        <v>0</v>
      </c>
      <c r="N157" s="24">
        <f t="shared" ref="N157:N163" si="75">IF(K157&gt;0, K157, 0)</f>
        <v>0</v>
      </c>
      <c r="O157" s="17">
        <f>IF(K157&lt;0, K157, 0)</f>
        <v>-184</v>
      </c>
      <c r="P157" s="86"/>
      <c r="Q157" s="78"/>
      <c r="R157" s="28">
        <v>3309.89</v>
      </c>
    </row>
    <row r="158" spans="1:20">
      <c r="A158" s="6">
        <v>45446</v>
      </c>
      <c r="B158" t="s">
        <v>467</v>
      </c>
      <c r="C158" s="9">
        <v>11</v>
      </c>
      <c r="D158">
        <v>239.42</v>
      </c>
      <c r="E158" s="29">
        <v>280</v>
      </c>
      <c r="F158" s="50">
        <v>220</v>
      </c>
      <c r="G158" s="21">
        <f t="shared" si="70"/>
        <v>3.0895983522142143</v>
      </c>
      <c r="H158" s="6">
        <v>45450</v>
      </c>
      <c r="I158" s="29">
        <v>242</v>
      </c>
      <c r="J158" s="30">
        <f t="shared" si="71"/>
        <v>1.0776042101745986E-2</v>
      </c>
      <c r="K158" s="35">
        <f t="shared" si="72"/>
        <v>28.380000000000109</v>
      </c>
      <c r="L158" s="21">
        <f t="shared" si="73"/>
        <v>4</v>
      </c>
      <c r="M158" s="9">
        <f t="shared" si="74"/>
        <v>1</v>
      </c>
      <c r="N158">
        <f t="shared" si="75"/>
        <v>28.380000000000109</v>
      </c>
      <c r="O158">
        <v>0</v>
      </c>
      <c r="P158" s="86"/>
      <c r="Q158" s="78"/>
    </row>
    <row r="159" spans="1:20">
      <c r="A159" s="6">
        <v>45443</v>
      </c>
      <c r="B159" t="s">
        <v>75</v>
      </c>
      <c r="C159" s="9">
        <v>122</v>
      </c>
      <c r="D159">
        <v>8.58</v>
      </c>
      <c r="E159" s="29">
        <v>10</v>
      </c>
      <c r="F159" s="75">
        <v>8</v>
      </c>
      <c r="G159" s="21">
        <f t="shared" si="70"/>
        <v>3.4482758620689653</v>
      </c>
      <c r="H159" s="6">
        <v>45446</v>
      </c>
      <c r="I159" s="29">
        <v>9.0500000000000007</v>
      </c>
      <c r="J159" s="30">
        <f t="shared" si="71"/>
        <v>5.4778554778554867E-2</v>
      </c>
      <c r="K159" s="35">
        <f t="shared" si="72"/>
        <v>57.340000000000146</v>
      </c>
      <c r="L159" s="21">
        <f t="shared" si="73"/>
        <v>3</v>
      </c>
      <c r="M159" s="9">
        <f t="shared" si="74"/>
        <v>1</v>
      </c>
      <c r="N159">
        <f t="shared" si="75"/>
        <v>57.340000000000146</v>
      </c>
      <c r="O159">
        <v>0</v>
      </c>
      <c r="P159" s="86"/>
      <c r="Q159" s="78"/>
      <c r="R159" s="28">
        <v>3367.21</v>
      </c>
      <c r="S159" s="16">
        <v>497.31</v>
      </c>
      <c r="T159">
        <v>5</v>
      </c>
    </row>
    <row r="160" spans="1:20">
      <c r="A160" s="6">
        <v>45440</v>
      </c>
      <c r="B160" t="s">
        <v>131</v>
      </c>
      <c r="C160" s="9">
        <v>12</v>
      </c>
      <c r="D160">
        <v>170.8</v>
      </c>
      <c r="E160" s="29">
        <v>190</v>
      </c>
      <c r="F160" s="50">
        <v>166</v>
      </c>
      <c r="G160" s="21">
        <f t="shared" ref="G160:G171" si="76" xml:space="preserve"> (E160 - F160)/(D160-F160)</f>
        <v>4.9999999999999885</v>
      </c>
      <c r="H160" s="6">
        <v>45443</v>
      </c>
      <c r="I160" s="16">
        <v>165.3</v>
      </c>
      <c r="J160" s="25">
        <f t="shared" si="71"/>
        <v>-3.2201405152224805E-2</v>
      </c>
      <c r="K160" s="36">
        <f t="shared" si="72"/>
        <v>-66.000000000000227</v>
      </c>
      <c r="L160" s="24">
        <f t="shared" si="73"/>
        <v>3</v>
      </c>
      <c r="M160" s="52">
        <f t="shared" si="74"/>
        <v>0</v>
      </c>
      <c r="N160" s="24">
        <f t="shared" si="75"/>
        <v>0</v>
      </c>
      <c r="O160" s="17">
        <f>IF(K160&lt;0, K160, 0)</f>
        <v>-66.000000000000227</v>
      </c>
      <c r="P160" s="86"/>
      <c r="Q160" s="78"/>
      <c r="R160" s="28">
        <v>3421.73</v>
      </c>
      <c r="S160" s="28">
        <v>-191.48</v>
      </c>
    </row>
    <row r="161" spans="1:20">
      <c r="A161" s="6">
        <v>45429</v>
      </c>
      <c r="B161" s="22" t="s">
        <v>438</v>
      </c>
      <c r="C161" s="57">
        <v>100</v>
      </c>
      <c r="D161">
        <v>1.02</v>
      </c>
      <c r="E161" s="29">
        <v>2.5</v>
      </c>
      <c r="F161" s="50">
        <v>0.5</v>
      </c>
      <c r="G161" s="21">
        <f t="shared" si="76"/>
        <v>3.8461538461538458</v>
      </c>
      <c r="H161" s="6">
        <v>45450</v>
      </c>
      <c r="I161" s="29">
        <v>2.13</v>
      </c>
      <c r="J161" s="30">
        <f t="shared" si="71"/>
        <v>1.0882352941176467</v>
      </c>
      <c r="K161" s="35">
        <f t="shared" si="72"/>
        <v>111</v>
      </c>
      <c r="L161" s="21">
        <f t="shared" si="73"/>
        <v>21</v>
      </c>
      <c r="M161" s="9">
        <f t="shared" si="74"/>
        <v>1</v>
      </c>
      <c r="N161">
        <f t="shared" si="75"/>
        <v>111</v>
      </c>
      <c r="O161">
        <v>0</v>
      </c>
      <c r="P161" s="86"/>
      <c r="Q161" s="78"/>
      <c r="R161" s="28"/>
    </row>
    <row r="162" spans="1:20">
      <c r="A162" s="6">
        <v>45425</v>
      </c>
      <c r="B162" t="s">
        <v>746</v>
      </c>
      <c r="C162" s="9">
        <v>36</v>
      </c>
      <c r="D162">
        <v>13.2</v>
      </c>
      <c r="E162" s="29">
        <v>20</v>
      </c>
      <c r="F162" s="50">
        <v>10</v>
      </c>
      <c r="G162" s="21">
        <f t="shared" si="76"/>
        <v>3.1250000000000009</v>
      </c>
      <c r="H162" s="6">
        <v>45491</v>
      </c>
      <c r="I162" s="16">
        <v>10.4</v>
      </c>
      <c r="J162" s="25">
        <f t="shared" si="71"/>
        <v>-0.21212121212121204</v>
      </c>
      <c r="K162" s="36">
        <f t="shared" si="72"/>
        <v>-100.79999999999995</v>
      </c>
      <c r="L162" s="24">
        <f t="shared" si="73"/>
        <v>66</v>
      </c>
      <c r="M162" s="52">
        <f t="shared" si="74"/>
        <v>0</v>
      </c>
      <c r="N162" s="24">
        <f t="shared" si="75"/>
        <v>0</v>
      </c>
      <c r="O162" s="17">
        <f>IF(K162&lt;0, K162, 0)</f>
        <v>-100.79999999999995</v>
      </c>
      <c r="P162" s="86"/>
      <c r="Q162" s="78"/>
      <c r="R162" s="28">
        <v>3709.86</v>
      </c>
    </row>
    <row r="163" spans="1:20">
      <c r="A163" s="6">
        <v>45421</v>
      </c>
      <c r="B163" s="61" t="s">
        <v>776</v>
      </c>
      <c r="C163" s="9">
        <v>11</v>
      </c>
      <c r="D163">
        <v>104.72</v>
      </c>
      <c r="E163" s="29">
        <v>120</v>
      </c>
      <c r="F163" s="75">
        <v>100</v>
      </c>
      <c r="G163" s="21">
        <f t="shared" si="76"/>
        <v>4.2372881355932215</v>
      </c>
      <c r="H163" s="6">
        <v>45611</v>
      </c>
      <c r="I163" s="29">
        <v>113</v>
      </c>
      <c r="J163" s="30">
        <f t="shared" si="71"/>
        <v>7.9067990832696777E-2</v>
      </c>
      <c r="K163" s="35">
        <f t="shared" si="72"/>
        <v>91.079999999999927</v>
      </c>
      <c r="L163" s="21">
        <f t="shared" si="73"/>
        <v>190</v>
      </c>
      <c r="M163" s="9">
        <f t="shared" si="74"/>
        <v>1</v>
      </c>
      <c r="N163">
        <f t="shared" si="75"/>
        <v>91.079999999999927</v>
      </c>
      <c r="O163">
        <v>0</v>
      </c>
      <c r="P163" s="86"/>
      <c r="Q163" s="78"/>
      <c r="R163" s="28"/>
    </row>
    <row r="164" spans="1:20">
      <c r="A164" s="6">
        <v>45421</v>
      </c>
      <c r="B164" t="s">
        <v>430</v>
      </c>
      <c r="C164" s="9">
        <v>10</v>
      </c>
      <c r="D164">
        <v>87.85</v>
      </c>
      <c r="E164" s="29">
        <v>95</v>
      </c>
      <c r="F164" s="50">
        <v>85</v>
      </c>
      <c r="G164" s="21">
        <f xml:space="preserve"> (E164 - F164)/(D164-F164)</f>
        <v>3.5087719298245683</v>
      </c>
      <c r="H164" s="6">
        <v>45491</v>
      </c>
      <c r="I164" s="29">
        <v>92.45</v>
      </c>
      <c r="J164" s="30">
        <f t="shared" ref="J164:J170" si="77">I164/D164 -1</f>
        <v>5.2361980648833351E-2</v>
      </c>
      <c r="K164" s="35">
        <f t="shared" ref="K164:K170" si="78">(C164*I164) - (C164*D164)</f>
        <v>46</v>
      </c>
      <c r="L164" s="21">
        <f t="shared" ref="L164:L170" si="79">H164-A164</f>
        <v>70</v>
      </c>
      <c r="M164" s="9">
        <f t="shared" ref="M164:M170" si="80">IF(J164&gt;0,1,0)</f>
        <v>1</v>
      </c>
      <c r="N164">
        <f t="shared" ref="N164:N170" si="81">IF(K164&gt;0, K164, 0)</f>
        <v>46</v>
      </c>
      <c r="O164">
        <v>0</v>
      </c>
      <c r="P164" s="86"/>
      <c r="Q164" s="78"/>
      <c r="R164" s="28"/>
    </row>
    <row r="165" spans="1:20">
      <c r="A165" s="6">
        <v>45421</v>
      </c>
      <c r="B165" t="s">
        <v>611</v>
      </c>
      <c r="C165" s="9">
        <v>7</v>
      </c>
      <c r="D165">
        <v>148</v>
      </c>
      <c r="E165" s="29">
        <v>160</v>
      </c>
      <c r="F165" s="50">
        <v>140</v>
      </c>
      <c r="G165" s="21">
        <f t="shared" si="76"/>
        <v>2.5</v>
      </c>
      <c r="H165" s="6">
        <v>45468</v>
      </c>
      <c r="I165" s="29">
        <v>150.5</v>
      </c>
      <c r="J165" s="30">
        <f t="shared" si="77"/>
        <v>1.6891891891891886E-2</v>
      </c>
      <c r="K165" s="35">
        <f t="shared" si="78"/>
        <v>17.5</v>
      </c>
      <c r="L165" s="21">
        <f t="shared" si="79"/>
        <v>47</v>
      </c>
      <c r="M165" s="9">
        <f t="shared" si="80"/>
        <v>1</v>
      </c>
      <c r="N165">
        <f t="shared" si="81"/>
        <v>17.5</v>
      </c>
      <c r="O165">
        <v>0</v>
      </c>
      <c r="P165" s="86"/>
      <c r="Q165" s="78"/>
      <c r="R165" s="28"/>
    </row>
    <row r="166" spans="1:20">
      <c r="A166" s="6">
        <v>45421</v>
      </c>
      <c r="B166" s="22" t="s">
        <v>742</v>
      </c>
      <c r="C166" s="57">
        <v>100</v>
      </c>
      <c r="D166">
        <v>2.85</v>
      </c>
      <c r="E166" s="29">
        <v>10</v>
      </c>
      <c r="F166" s="50">
        <v>0.6</v>
      </c>
      <c r="G166" s="21">
        <f t="shared" si="76"/>
        <v>4.177777777777778</v>
      </c>
      <c r="H166" s="6">
        <v>45511</v>
      </c>
      <c r="I166" s="29">
        <v>2.85</v>
      </c>
      <c r="J166" s="30">
        <f t="shared" si="77"/>
        <v>0</v>
      </c>
      <c r="K166" s="35">
        <f t="shared" si="78"/>
        <v>0</v>
      </c>
      <c r="L166" s="21">
        <f t="shared" si="79"/>
        <v>90</v>
      </c>
      <c r="M166" s="9">
        <f t="shared" si="80"/>
        <v>0</v>
      </c>
      <c r="N166">
        <f t="shared" si="81"/>
        <v>0</v>
      </c>
      <c r="O166">
        <v>0</v>
      </c>
      <c r="P166" s="86"/>
      <c r="Q166" s="78"/>
      <c r="R166" s="28"/>
    </row>
    <row r="167" spans="1:20">
      <c r="A167" s="6">
        <v>45419</v>
      </c>
      <c r="B167" s="61" t="s">
        <v>708</v>
      </c>
      <c r="C167" s="9">
        <v>17</v>
      </c>
      <c r="D167">
        <v>250.5</v>
      </c>
      <c r="E167" s="29">
        <v>300</v>
      </c>
      <c r="F167" s="50">
        <v>240</v>
      </c>
      <c r="G167" s="21">
        <f t="shared" si="76"/>
        <v>5.7142857142857144</v>
      </c>
      <c r="H167" s="6">
        <v>45429</v>
      </c>
      <c r="I167" s="29">
        <v>258.51</v>
      </c>
      <c r="J167" s="30">
        <f t="shared" si="77"/>
        <v>3.1976047904191507E-2</v>
      </c>
      <c r="K167" s="35">
        <f t="shared" si="78"/>
        <v>136.17000000000007</v>
      </c>
      <c r="L167" s="21">
        <f t="shared" si="79"/>
        <v>10</v>
      </c>
      <c r="M167" s="9">
        <f t="shared" si="80"/>
        <v>1</v>
      </c>
      <c r="N167">
        <f t="shared" si="81"/>
        <v>136.17000000000007</v>
      </c>
      <c r="O167">
        <v>0</v>
      </c>
      <c r="P167" s="86"/>
      <c r="Q167" s="78"/>
      <c r="R167" s="28">
        <v>4143.9799999999996</v>
      </c>
    </row>
    <row r="168" spans="1:20">
      <c r="A168" s="6">
        <v>45419</v>
      </c>
      <c r="B168" s="22" t="s">
        <v>629</v>
      </c>
      <c r="C168" s="57">
        <v>1000</v>
      </c>
      <c r="D168">
        <v>0.15</v>
      </c>
      <c r="E168" s="29">
        <v>1</v>
      </c>
      <c r="F168" s="50">
        <v>7.0000000000000007E-2</v>
      </c>
      <c r="G168" s="21">
        <f t="shared" si="76"/>
        <v>11.625000000000002</v>
      </c>
      <c r="H168" s="6">
        <v>45464</v>
      </c>
      <c r="I168" s="16">
        <v>0</v>
      </c>
      <c r="J168" s="25">
        <f t="shared" si="77"/>
        <v>-1</v>
      </c>
      <c r="K168" s="36">
        <f t="shared" si="78"/>
        <v>-150</v>
      </c>
      <c r="L168" s="24">
        <f t="shared" si="79"/>
        <v>45</v>
      </c>
      <c r="M168" s="52">
        <f t="shared" si="80"/>
        <v>0</v>
      </c>
      <c r="N168" s="24">
        <f t="shared" si="81"/>
        <v>0</v>
      </c>
      <c r="O168" s="17">
        <f>IF(K168&lt;0, K168, 0)</f>
        <v>-150</v>
      </c>
      <c r="P168" s="86"/>
      <c r="Q168" s="78"/>
      <c r="R168" s="28">
        <v>4019.18</v>
      </c>
    </row>
    <row r="169" spans="1:20">
      <c r="A169" s="6">
        <v>45415</v>
      </c>
      <c r="B169" t="s">
        <v>439</v>
      </c>
      <c r="C169" s="9">
        <v>3</v>
      </c>
      <c r="D169">
        <v>149</v>
      </c>
      <c r="E169" s="29">
        <v>225</v>
      </c>
      <c r="F169" s="50">
        <v>140</v>
      </c>
      <c r="G169" s="21">
        <f t="shared" si="76"/>
        <v>9.4444444444444446</v>
      </c>
      <c r="H169" s="6">
        <v>45470</v>
      </c>
      <c r="I169" s="29">
        <v>160</v>
      </c>
      <c r="J169" s="30">
        <f t="shared" si="77"/>
        <v>7.3825503355704702E-2</v>
      </c>
      <c r="K169" s="35">
        <f t="shared" si="78"/>
        <v>33</v>
      </c>
      <c r="L169" s="21">
        <f t="shared" si="79"/>
        <v>55</v>
      </c>
      <c r="M169" s="9">
        <f t="shared" si="80"/>
        <v>1</v>
      </c>
      <c r="N169">
        <f t="shared" si="81"/>
        <v>33</v>
      </c>
      <c r="O169">
        <v>0</v>
      </c>
      <c r="P169" s="86"/>
      <c r="Q169" s="78"/>
      <c r="R169" s="28">
        <v>4256.97</v>
      </c>
    </row>
    <row r="170" spans="1:20">
      <c r="A170" s="6">
        <v>45414</v>
      </c>
      <c r="B170" t="s">
        <v>818</v>
      </c>
      <c r="C170" s="9">
        <v>503</v>
      </c>
      <c r="D170">
        <v>8.43</v>
      </c>
      <c r="E170" s="29">
        <v>10</v>
      </c>
      <c r="F170" s="50">
        <v>7.7</v>
      </c>
      <c r="G170" s="21">
        <f t="shared" si="76"/>
        <v>3.1506849315068512</v>
      </c>
      <c r="H170" s="6">
        <v>45478</v>
      </c>
      <c r="I170" s="29">
        <v>8.91</v>
      </c>
      <c r="J170" s="30">
        <f t="shared" si="77"/>
        <v>5.6939501779359469E-2</v>
      </c>
      <c r="K170" s="35">
        <f t="shared" si="78"/>
        <v>241.44000000000051</v>
      </c>
      <c r="L170" s="21">
        <f t="shared" si="79"/>
        <v>64</v>
      </c>
      <c r="M170" s="9">
        <f t="shared" si="80"/>
        <v>1</v>
      </c>
      <c r="N170">
        <f t="shared" si="81"/>
        <v>241.44000000000051</v>
      </c>
      <c r="O170">
        <v>0</v>
      </c>
      <c r="P170" s="86"/>
      <c r="Q170" s="78"/>
      <c r="R170" s="28">
        <v>4377.53</v>
      </c>
    </row>
    <row r="171" spans="1:20">
      <c r="A171" s="6">
        <v>45412</v>
      </c>
      <c r="B171" s="22" t="s">
        <v>725</v>
      </c>
      <c r="C171" s="57">
        <v>100</v>
      </c>
      <c r="D171">
        <v>1.7</v>
      </c>
      <c r="E171" s="29">
        <v>2.5</v>
      </c>
      <c r="F171" s="50">
        <v>0.85</v>
      </c>
      <c r="G171" s="21">
        <f t="shared" si="76"/>
        <v>1.9411764705882353</v>
      </c>
      <c r="H171" s="6">
        <v>45426</v>
      </c>
      <c r="I171" s="29">
        <v>2.5</v>
      </c>
      <c r="J171" s="30">
        <f t="shared" ref="J171:J176" si="82">I171/D171 -1</f>
        <v>0.47058823529411775</v>
      </c>
      <c r="K171" s="35">
        <f t="shared" ref="K171:K176" si="83">(C171*I171) - (C171*D171)</f>
        <v>80</v>
      </c>
      <c r="L171" s="21">
        <f t="shared" ref="L171:L176" si="84">H171-A171</f>
        <v>14</v>
      </c>
      <c r="M171" s="9">
        <f t="shared" ref="M171:M176" si="85">IF(J171&gt;0,1,0)</f>
        <v>1</v>
      </c>
      <c r="N171">
        <f t="shared" ref="N171:N176" si="86">IF(K171&gt;0, K171, 0)</f>
        <v>80</v>
      </c>
      <c r="O171">
        <v>0</v>
      </c>
      <c r="P171" s="86"/>
      <c r="Q171" s="78"/>
      <c r="R171" s="28">
        <v>4338.92</v>
      </c>
      <c r="S171" s="16">
        <v>511.35</v>
      </c>
      <c r="T171">
        <v>4</v>
      </c>
    </row>
    <row r="172" spans="1:20">
      <c r="A172" s="6">
        <v>45411</v>
      </c>
      <c r="B172" s="61" t="s">
        <v>708</v>
      </c>
      <c r="C172" s="9">
        <v>19</v>
      </c>
      <c r="D172">
        <v>251.5</v>
      </c>
      <c r="E172" s="29">
        <v>300</v>
      </c>
      <c r="F172" s="50">
        <v>240</v>
      </c>
      <c r="G172" s="21">
        <f t="shared" ref="G172:G178" si="87" xml:space="preserve"> (E172 - F172)/(D172-F172)</f>
        <v>5.2173913043478262</v>
      </c>
      <c r="H172" s="6">
        <v>45415</v>
      </c>
      <c r="I172" s="29">
        <v>257</v>
      </c>
      <c r="J172" s="30">
        <f t="shared" si="82"/>
        <v>2.1868787276341894E-2</v>
      </c>
      <c r="K172" s="35">
        <f t="shared" si="83"/>
        <v>104.5</v>
      </c>
      <c r="L172" s="21">
        <f t="shared" si="84"/>
        <v>4</v>
      </c>
      <c r="M172" s="9">
        <f t="shared" si="85"/>
        <v>1</v>
      </c>
      <c r="N172">
        <f t="shared" si="86"/>
        <v>104.5</v>
      </c>
      <c r="O172">
        <v>0</v>
      </c>
      <c r="P172" s="86"/>
      <c r="Q172" s="78"/>
      <c r="R172" s="28">
        <v>4214.82</v>
      </c>
      <c r="S172" s="28">
        <v>-122.68</v>
      </c>
    </row>
    <row r="173" spans="1:20">
      <c r="A173" s="6">
        <v>45411</v>
      </c>
      <c r="B173" s="61" t="s">
        <v>131</v>
      </c>
      <c r="C173" s="9">
        <v>25</v>
      </c>
      <c r="D173">
        <v>167.25</v>
      </c>
      <c r="E173" s="29">
        <v>190</v>
      </c>
      <c r="F173" s="50">
        <v>165</v>
      </c>
      <c r="G173" s="21">
        <f t="shared" si="87"/>
        <v>11.111111111111111</v>
      </c>
      <c r="H173" s="6">
        <v>45429</v>
      </c>
      <c r="I173" s="29">
        <v>168.65</v>
      </c>
      <c r="J173" s="30">
        <f t="shared" si="82"/>
        <v>8.3707025411061675E-3</v>
      </c>
      <c r="K173" s="35">
        <f t="shared" si="83"/>
        <v>35</v>
      </c>
      <c r="L173" s="21">
        <f t="shared" si="84"/>
        <v>18</v>
      </c>
      <c r="M173" s="9">
        <f t="shared" si="85"/>
        <v>1</v>
      </c>
      <c r="N173">
        <f t="shared" si="86"/>
        <v>35</v>
      </c>
      <c r="O173">
        <v>0</v>
      </c>
      <c r="P173" s="86"/>
      <c r="Q173" s="78"/>
      <c r="R173" s="28">
        <v>4553.0600000000004</v>
      </c>
    </row>
    <row r="174" spans="1:20">
      <c r="A174" s="6">
        <v>45411</v>
      </c>
      <c r="B174" t="s">
        <v>87</v>
      </c>
      <c r="C174" s="9">
        <v>34</v>
      </c>
      <c r="D174">
        <v>194.33</v>
      </c>
      <c r="E174" s="29">
        <v>260</v>
      </c>
      <c r="F174" s="75">
        <v>175</v>
      </c>
      <c r="G174" s="21">
        <f xml:space="preserve"> (E174 - F174)/(D174-F174)</f>
        <v>4.3973098810139648</v>
      </c>
      <c r="H174" s="6">
        <v>45471</v>
      </c>
      <c r="I174" s="29">
        <v>197</v>
      </c>
      <c r="J174" s="30">
        <f t="shared" si="82"/>
        <v>1.373951525755146E-2</v>
      </c>
      <c r="K174" s="35">
        <f t="shared" si="83"/>
        <v>90.779999999999745</v>
      </c>
      <c r="L174" s="21">
        <f t="shared" si="84"/>
        <v>60</v>
      </c>
      <c r="M174" s="9">
        <f t="shared" si="85"/>
        <v>1</v>
      </c>
      <c r="N174">
        <f t="shared" si="86"/>
        <v>90.779999999999745</v>
      </c>
      <c r="O174">
        <v>0</v>
      </c>
      <c r="P174" s="86"/>
      <c r="Q174" s="78"/>
      <c r="R174" s="28"/>
    </row>
    <row r="175" spans="1:20">
      <c r="A175" s="6">
        <v>45411</v>
      </c>
      <c r="B175" t="s">
        <v>87</v>
      </c>
      <c r="C175" s="9">
        <v>1</v>
      </c>
      <c r="D175">
        <v>194.33</v>
      </c>
      <c r="E175" s="29">
        <v>260</v>
      </c>
      <c r="F175" s="75">
        <v>175</v>
      </c>
      <c r="G175" s="21">
        <f t="shared" si="87"/>
        <v>4.3973098810139648</v>
      </c>
      <c r="H175" s="6">
        <v>45469</v>
      </c>
      <c r="I175" s="29">
        <v>196.45</v>
      </c>
      <c r="J175" s="30">
        <f t="shared" si="82"/>
        <v>1.0909278032213088E-2</v>
      </c>
      <c r="K175" s="35">
        <f t="shared" si="83"/>
        <v>2.1199999999999761</v>
      </c>
      <c r="L175" s="21">
        <f t="shared" si="84"/>
        <v>58</v>
      </c>
      <c r="M175" s="9">
        <f t="shared" si="85"/>
        <v>1</v>
      </c>
      <c r="N175">
        <f t="shared" si="86"/>
        <v>2.1199999999999761</v>
      </c>
      <c r="O175">
        <v>0</v>
      </c>
      <c r="P175" s="86"/>
      <c r="Q175" s="78"/>
    </row>
    <row r="176" spans="1:20">
      <c r="A176" s="6">
        <v>45411</v>
      </c>
      <c r="B176" t="s">
        <v>818</v>
      </c>
      <c r="C176" s="9">
        <v>170</v>
      </c>
      <c r="D176">
        <v>8.2200000000000006</v>
      </c>
      <c r="E176" s="29">
        <v>10</v>
      </c>
      <c r="F176" s="50">
        <v>7.7</v>
      </c>
      <c r="G176" s="21">
        <f t="shared" si="87"/>
        <v>4.4230769230769189</v>
      </c>
      <c r="H176" s="6">
        <v>45413</v>
      </c>
      <c r="I176" s="29">
        <v>8.9499999999999993</v>
      </c>
      <c r="J176" s="30">
        <f t="shared" si="82"/>
        <v>8.8807785888077584E-2</v>
      </c>
      <c r="K176" s="35">
        <f t="shared" si="83"/>
        <v>124.09999999999968</v>
      </c>
      <c r="L176" s="21">
        <f t="shared" si="84"/>
        <v>2</v>
      </c>
      <c r="M176" s="9">
        <f t="shared" si="85"/>
        <v>1</v>
      </c>
      <c r="N176">
        <f t="shared" si="86"/>
        <v>124.09999999999968</v>
      </c>
      <c r="O176">
        <v>0</v>
      </c>
      <c r="P176" s="86"/>
      <c r="Q176" s="78"/>
    </row>
    <row r="177" spans="1:18">
      <c r="A177" s="6">
        <v>45408</v>
      </c>
      <c r="B177" t="s">
        <v>231</v>
      </c>
      <c r="C177" s="9">
        <v>15</v>
      </c>
      <c r="D177">
        <v>65.38</v>
      </c>
      <c r="E177" s="29">
        <v>70</v>
      </c>
      <c r="F177" s="50">
        <v>63</v>
      </c>
      <c r="G177" s="21">
        <f t="shared" si="87"/>
        <v>2.9411764705882408</v>
      </c>
      <c r="H177" s="6">
        <v>45524</v>
      </c>
      <c r="I177" s="29">
        <v>72</v>
      </c>
      <c r="J177" s="30">
        <f>I177/D177 -1</f>
        <v>0.10125420617925984</v>
      </c>
      <c r="K177" s="35">
        <f>(C177*I177) - (C177*D177)</f>
        <v>99.300000000000068</v>
      </c>
      <c r="L177" s="21">
        <f>H177-A177</f>
        <v>116</v>
      </c>
      <c r="M177" s="9">
        <f>IF(J177&gt;0,1,0)</f>
        <v>1</v>
      </c>
      <c r="N177">
        <f>IF(K177&gt;0, K177, 0)</f>
        <v>99.300000000000068</v>
      </c>
      <c r="O177">
        <v>0</v>
      </c>
      <c r="P177" s="86"/>
      <c r="Q177" s="78"/>
      <c r="R177" s="28">
        <v>4068.79</v>
      </c>
    </row>
    <row r="178" spans="1:18">
      <c r="A178" s="6">
        <v>45408</v>
      </c>
      <c r="B178" s="22" t="s">
        <v>817</v>
      </c>
      <c r="C178" s="57">
        <v>200</v>
      </c>
      <c r="D178">
        <v>1.81</v>
      </c>
      <c r="E178" s="29">
        <v>7</v>
      </c>
      <c r="F178" s="50">
        <v>0.55000000000000004</v>
      </c>
      <c r="G178" s="21">
        <f t="shared" si="87"/>
        <v>5.1190476190476195</v>
      </c>
      <c r="H178" s="6">
        <v>45483</v>
      </c>
      <c r="I178" s="29">
        <v>2.95</v>
      </c>
      <c r="J178" s="30">
        <f>I178/D178 -1</f>
        <v>0.62983425414364635</v>
      </c>
      <c r="K178" s="35">
        <f>(C178*I178) - (C178*D178)</f>
        <v>228</v>
      </c>
      <c r="L178" s="21">
        <f>H178-A178</f>
        <v>75</v>
      </c>
      <c r="M178" s="9">
        <f>IF(J178&gt;0,1,0)</f>
        <v>1</v>
      </c>
      <c r="N178">
        <f>IF(K178&gt;0, K178, 0)</f>
        <v>228</v>
      </c>
      <c r="O178">
        <v>0</v>
      </c>
      <c r="P178" s="86"/>
      <c r="Q178" s="78"/>
    </row>
    <row r="179" spans="1:18">
      <c r="A179" s="6">
        <v>45406</v>
      </c>
      <c r="B179" s="22" t="s">
        <v>682</v>
      </c>
      <c r="C179" s="57">
        <v>100</v>
      </c>
      <c r="D179">
        <v>2.95</v>
      </c>
      <c r="E179" s="29">
        <v>15</v>
      </c>
      <c r="F179" s="50">
        <v>1.25</v>
      </c>
      <c r="G179" s="21">
        <f t="shared" ref="G179:G185" si="88" xml:space="preserve"> (E179 - F179)/(D179-F179)</f>
        <v>8.0882352941176467</v>
      </c>
      <c r="H179" s="6">
        <v>45435</v>
      </c>
      <c r="I179" s="29">
        <v>7.5</v>
      </c>
      <c r="J179" s="30">
        <f>I179/D179 -1</f>
        <v>1.5423728813559321</v>
      </c>
      <c r="K179" s="35">
        <f>(C179*I179) - (C179*D179)</f>
        <v>455</v>
      </c>
      <c r="L179" s="21">
        <f>H179-A179</f>
        <v>29</v>
      </c>
      <c r="M179" s="9">
        <f>IF(J179&gt;0,1,0)</f>
        <v>1</v>
      </c>
      <c r="N179">
        <f>IF(K179&gt;0, K179, 0)</f>
        <v>455</v>
      </c>
      <c r="O179">
        <v>0</v>
      </c>
      <c r="P179" s="86"/>
      <c r="Q179" s="78"/>
      <c r="R179" s="28">
        <v>3150.49</v>
      </c>
    </row>
    <row r="180" spans="1:18">
      <c r="A180" s="6">
        <v>45406</v>
      </c>
      <c r="B180" t="s">
        <v>171</v>
      </c>
      <c r="C180" s="9">
        <v>33</v>
      </c>
      <c r="D180">
        <v>12.63</v>
      </c>
      <c r="E180" s="29">
        <v>20</v>
      </c>
      <c r="F180" s="50">
        <v>11.5</v>
      </c>
      <c r="G180" s="21">
        <f t="shared" si="88"/>
        <v>7.5221238938053041</v>
      </c>
      <c r="H180" s="6">
        <v>45413</v>
      </c>
      <c r="I180" s="29">
        <v>13.8</v>
      </c>
      <c r="J180" s="30">
        <f>I180/D180 -1</f>
        <v>9.2636579572446642E-2</v>
      </c>
      <c r="K180" s="35">
        <f>(C180*I180) - (C180*D180)</f>
        <v>38.610000000000014</v>
      </c>
      <c r="L180" s="21">
        <f>H180-A180</f>
        <v>7</v>
      </c>
      <c r="M180" s="9">
        <f>IF(J180&gt;0,1,0)</f>
        <v>1</v>
      </c>
      <c r="N180">
        <f>IF(K180&gt;0, K180, 0)</f>
        <v>38.610000000000014</v>
      </c>
      <c r="O180">
        <v>0</v>
      </c>
      <c r="P180" s="86"/>
      <c r="Q180" s="78"/>
      <c r="R180" s="28">
        <v>3326.99</v>
      </c>
    </row>
    <row r="181" spans="1:18">
      <c r="A181" s="6">
        <v>45406</v>
      </c>
      <c r="B181" s="22" t="s">
        <v>816</v>
      </c>
      <c r="C181" s="57">
        <v>100</v>
      </c>
      <c r="D181">
        <v>1.65</v>
      </c>
      <c r="E181" s="29">
        <v>7.5</v>
      </c>
      <c r="F181" s="50">
        <v>0.82</v>
      </c>
      <c r="G181" s="21">
        <f t="shared" si="88"/>
        <v>8.0481927710843379</v>
      </c>
      <c r="H181" s="6">
        <v>45464</v>
      </c>
      <c r="I181" s="16">
        <v>0</v>
      </c>
      <c r="J181" s="25">
        <f>I181/D181 -1</f>
        <v>-1</v>
      </c>
      <c r="K181" s="36">
        <f>(C181*I181) - (C181*D181)</f>
        <v>-165</v>
      </c>
      <c r="L181" s="24">
        <f>H181-A181</f>
        <v>58</v>
      </c>
      <c r="M181" s="52">
        <f>IF(J181&gt;0,1,0)</f>
        <v>0</v>
      </c>
      <c r="N181" s="24">
        <f>IF(K181&gt;0, K181, 0)</f>
        <v>0</v>
      </c>
      <c r="O181" s="17">
        <f>IF(K181&lt;0, K181, 0)</f>
        <v>-165</v>
      </c>
      <c r="P181" s="86"/>
      <c r="Q181" s="78"/>
    </row>
    <row r="182" spans="1:18">
      <c r="A182" s="6">
        <v>45405</v>
      </c>
      <c r="B182" s="22" t="s">
        <v>792</v>
      </c>
      <c r="C182" s="57">
        <v>100</v>
      </c>
      <c r="D182">
        <v>2.7</v>
      </c>
      <c r="E182" s="29">
        <v>12</v>
      </c>
      <c r="F182" s="50">
        <v>1.35</v>
      </c>
      <c r="G182" s="21">
        <f t="shared" si="88"/>
        <v>7.8888888888888884</v>
      </c>
      <c r="H182" s="6">
        <v>45408</v>
      </c>
      <c r="I182" s="29">
        <v>6.65</v>
      </c>
      <c r="J182" s="30">
        <f t="shared" ref="J182:J189" si="89">I182/D182 -1</f>
        <v>1.4629629629629628</v>
      </c>
      <c r="K182" s="35">
        <f t="shared" ref="K182:K189" si="90">(C182*I182) - (C182*D182)</f>
        <v>395</v>
      </c>
      <c r="L182" s="21">
        <f t="shared" ref="L182:L189" si="91">H182-A182</f>
        <v>3</v>
      </c>
      <c r="M182" s="9">
        <f t="shared" ref="M182:M189" si="92">IF(J182&gt;0,1,0)</f>
        <v>1</v>
      </c>
      <c r="N182">
        <f t="shared" ref="N182:N188" si="93">IF(K182&gt;0, K182, 0)</f>
        <v>395</v>
      </c>
      <c r="O182">
        <v>0</v>
      </c>
      <c r="P182" s="86"/>
      <c r="Q182" s="78"/>
      <c r="R182" s="28">
        <v>3236.49</v>
      </c>
    </row>
    <row r="183" spans="1:18">
      <c r="A183" s="6">
        <v>45404</v>
      </c>
      <c r="B183" s="22" t="s">
        <v>808</v>
      </c>
      <c r="C183" s="57">
        <v>100</v>
      </c>
      <c r="D183">
        <v>4.25</v>
      </c>
      <c r="E183" s="29">
        <v>5</v>
      </c>
      <c r="F183" s="50">
        <v>1.04</v>
      </c>
      <c r="G183" s="21">
        <f t="shared" si="88"/>
        <v>1.233644859813084</v>
      </c>
      <c r="H183" s="6">
        <v>45449</v>
      </c>
      <c r="I183" s="29">
        <v>6.2</v>
      </c>
      <c r="J183" s="30">
        <f t="shared" si="89"/>
        <v>0.45882352941176485</v>
      </c>
      <c r="K183" s="35">
        <f t="shared" si="90"/>
        <v>195</v>
      </c>
      <c r="L183" s="21">
        <f t="shared" si="91"/>
        <v>45</v>
      </c>
      <c r="M183" s="9">
        <f t="shared" si="92"/>
        <v>1</v>
      </c>
      <c r="N183">
        <f t="shared" si="93"/>
        <v>195</v>
      </c>
      <c r="O183">
        <v>0</v>
      </c>
      <c r="P183" s="86"/>
      <c r="Q183" s="78"/>
    </row>
    <row r="184" spans="1:18">
      <c r="A184" s="6">
        <v>45404</v>
      </c>
      <c r="B184" s="22" t="s">
        <v>30</v>
      </c>
      <c r="C184" s="57">
        <v>200</v>
      </c>
      <c r="D184">
        <v>1.1599999999999999</v>
      </c>
      <c r="E184" s="29">
        <v>5</v>
      </c>
      <c r="F184" s="50">
        <v>0.56000000000000005</v>
      </c>
      <c r="G184" s="21">
        <f t="shared" si="88"/>
        <v>7.4000000000000012</v>
      </c>
      <c r="H184" s="6">
        <v>45405</v>
      </c>
      <c r="I184" s="29">
        <v>2.4500000000000002</v>
      </c>
      <c r="J184" s="30">
        <f t="shared" si="89"/>
        <v>1.1120689655172415</v>
      </c>
      <c r="K184" s="35">
        <f t="shared" si="90"/>
        <v>258.00000000000011</v>
      </c>
      <c r="L184" s="21">
        <f t="shared" si="91"/>
        <v>1</v>
      </c>
      <c r="M184" s="9">
        <f t="shared" si="92"/>
        <v>1</v>
      </c>
      <c r="N184">
        <f t="shared" si="93"/>
        <v>258.00000000000011</v>
      </c>
      <c r="O184">
        <v>0</v>
      </c>
      <c r="P184" s="86"/>
      <c r="Q184" s="78"/>
    </row>
    <row r="185" spans="1:18">
      <c r="A185" s="6">
        <v>45397</v>
      </c>
      <c r="B185" t="s">
        <v>808</v>
      </c>
      <c r="C185" s="9">
        <v>1</v>
      </c>
      <c r="D185">
        <v>69.540000000000006</v>
      </c>
      <c r="E185" s="29">
        <v>80</v>
      </c>
      <c r="F185" s="50">
        <v>68</v>
      </c>
      <c r="G185" s="21">
        <f t="shared" si="88"/>
        <v>7.7922077922077602</v>
      </c>
      <c r="H185" s="6">
        <v>45398</v>
      </c>
      <c r="I185" s="16">
        <v>69</v>
      </c>
      <c r="J185" s="25">
        <f t="shared" si="89"/>
        <v>-7.7653149266609933E-3</v>
      </c>
      <c r="K185" s="36">
        <f t="shared" si="90"/>
        <v>-0.54000000000000625</v>
      </c>
      <c r="L185" s="24">
        <f t="shared" si="91"/>
        <v>1</v>
      </c>
      <c r="M185" s="52">
        <f t="shared" si="92"/>
        <v>0</v>
      </c>
      <c r="N185" s="24">
        <f t="shared" si="93"/>
        <v>0</v>
      </c>
      <c r="O185" s="17">
        <f>IF(K185&lt;0, K185, 0)</f>
        <v>-0.54000000000000625</v>
      </c>
      <c r="P185" s="86"/>
      <c r="Q185" s="78"/>
      <c r="R185" s="28">
        <v>2978.49</v>
      </c>
    </row>
    <row r="186" spans="1:18">
      <c r="A186" s="6">
        <v>45397</v>
      </c>
      <c r="B186" t="s">
        <v>808</v>
      </c>
      <c r="C186" s="9">
        <v>58</v>
      </c>
      <c r="D186">
        <v>69.540000000000006</v>
      </c>
      <c r="E186" s="29">
        <v>80</v>
      </c>
      <c r="F186" s="50">
        <v>68</v>
      </c>
      <c r="G186" s="21">
        <f t="shared" ref="G186:G193" si="94" xml:space="preserve"> (E186 - F186)/(D186-F186)</f>
        <v>7.7922077922077602</v>
      </c>
      <c r="H186" s="6">
        <v>45401</v>
      </c>
      <c r="I186" s="29">
        <v>69.599999999999994</v>
      </c>
      <c r="J186" s="30">
        <f t="shared" si="89"/>
        <v>8.6281276962885123E-4</v>
      </c>
      <c r="K186" s="35">
        <f t="shared" si="90"/>
        <v>3.4799999999995634</v>
      </c>
      <c r="L186" s="21">
        <f t="shared" si="91"/>
        <v>4</v>
      </c>
      <c r="M186" s="9">
        <f t="shared" si="92"/>
        <v>1</v>
      </c>
      <c r="N186">
        <f t="shared" si="93"/>
        <v>3.4799999999995634</v>
      </c>
      <c r="O186">
        <v>0</v>
      </c>
      <c r="P186" s="86"/>
      <c r="Q186" s="78"/>
      <c r="R186" s="28">
        <v>2899.33</v>
      </c>
    </row>
    <row r="187" spans="1:18">
      <c r="A187" s="6">
        <v>45397</v>
      </c>
      <c r="B187" t="s">
        <v>286</v>
      </c>
      <c r="C187" s="9">
        <v>131</v>
      </c>
      <c r="D187">
        <v>31.65</v>
      </c>
      <c r="E187" s="29">
        <v>40</v>
      </c>
      <c r="F187" s="50">
        <v>30</v>
      </c>
      <c r="G187" s="21">
        <f t="shared" si="94"/>
        <v>6.0606060606060659</v>
      </c>
      <c r="H187" s="6">
        <v>45450</v>
      </c>
      <c r="I187" s="29">
        <v>32</v>
      </c>
      <c r="J187" s="30">
        <f t="shared" si="89"/>
        <v>1.1058451816745807E-2</v>
      </c>
      <c r="K187" s="35">
        <f t="shared" si="90"/>
        <v>45.850000000000364</v>
      </c>
      <c r="L187" s="21">
        <f t="shared" si="91"/>
        <v>53</v>
      </c>
      <c r="M187" s="9">
        <f t="shared" si="92"/>
        <v>1</v>
      </c>
      <c r="N187">
        <f t="shared" si="93"/>
        <v>45.850000000000364</v>
      </c>
      <c r="O187">
        <v>0</v>
      </c>
      <c r="P187" s="86"/>
      <c r="Q187" s="78"/>
      <c r="R187" s="28">
        <v>3233.41</v>
      </c>
    </row>
    <row r="188" spans="1:18">
      <c r="A188" s="6">
        <v>45397</v>
      </c>
      <c r="B188" s="61" t="s">
        <v>131</v>
      </c>
      <c r="C188" s="9">
        <v>23</v>
      </c>
      <c r="D188">
        <v>182.5</v>
      </c>
      <c r="E188" s="29">
        <v>200</v>
      </c>
      <c r="F188" s="50">
        <v>180</v>
      </c>
      <c r="G188" s="21">
        <f t="shared" si="94"/>
        <v>8</v>
      </c>
      <c r="H188" s="6">
        <v>45399</v>
      </c>
      <c r="I188" s="29">
        <v>183</v>
      </c>
      <c r="J188" s="30">
        <f t="shared" si="89"/>
        <v>2.73972602739736E-3</v>
      </c>
      <c r="K188" s="35">
        <f t="shared" si="90"/>
        <v>11.5</v>
      </c>
      <c r="L188" s="21">
        <f t="shared" si="91"/>
        <v>2</v>
      </c>
      <c r="M188" s="9">
        <f t="shared" si="92"/>
        <v>1</v>
      </c>
      <c r="N188">
        <f t="shared" si="93"/>
        <v>11.5</v>
      </c>
      <c r="O188">
        <v>0</v>
      </c>
      <c r="P188" s="86"/>
      <c r="Q188" s="78"/>
    </row>
    <row r="189" spans="1:18">
      <c r="A189" s="6">
        <v>45397</v>
      </c>
      <c r="B189" s="22" t="s">
        <v>132</v>
      </c>
      <c r="C189" s="57">
        <v>2000</v>
      </c>
      <c r="D189">
        <v>0.53</v>
      </c>
      <c r="E189" s="29">
        <v>0.5</v>
      </c>
      <c r="F189" s="50">
        <v>0.1</v>
      </c>
      <c r="G189" s="21">
        <f t="shared" si="94"/>
        <v>0.93023255813953487</v>
      </c>
      <c r="H189" s="6">
        <v>45646</v>
      </c>
      <c r="I189" s="29">
        <v>0</v>
      </c>
      <c r="J189" s="30">
        <f t="shared" si="89"/>
        <v>-1</v>
      </c>
      <c r="K189" s="35">
        <f t="shared" si="90"/>
        <v>-1060</v>
      </c>
      <c r="L189" s="24">
        <f t="shared" si="91"/>
        <v>249</v>
      </c>
      <c r="M189" s="9">
        <f t="shared" si="92"/>
        <v>0</v>
      </c>
      <c r="N189" s="24">
        <f t="shared" ref="N189:N195" si="95">IF(K189&gt;0, K189, 0)</f>
        <v>0</v>
      </c>
      <c r="O189" s="85"/>
      <c r="P189" s="86"/>
      <c r="Q189" s="78"/>
    </row>
    <row r="190" spans="1:18">
      <c r="A190" s="6">
        <v>45397</v>
      </c>
      <c r="B190" t="s">
        <v>501</v>
      </c>
      <c r="C190" s="9">
        <v>17</v>
      </c>
      <c r="D190">
        <v>106.99</v>
      </c>
      <c r="E190" s="29">
        <v>120</v>
      </c>
      <c r="F190" s="50">
        <v>104</v>
      </c>
      <c r="G190" s="21">
        <f t="shared" si="94"/>
        <v>5.3511705685618818</v>
      </c>
      <c r="H190" s="6">
        <v>45399</v>
      </c>
      <c r="I190" s="16">
        <v>106.7</v>
      </c>
      <c r="J190" s="25">
        <f t="shared" ref="J190:J195" si="96">I190/D190 -1</f>
        <v>-2.7105336947377268E-3</v>
      </c>
      <c r="K190" s="36">
        <f t="shared" ref="K190:K195" si="97">(C190*I190) - (C190*D190)</f>
        <v>-4.9299999999998363</v>
      </c>
      <c r="L190" s="24">
        <f t="shared" ref="L190:L195" si="98">H190-A190</f>
        <v>2</v>
      </c>
      <c r="M190" s="52">
        <f t="shared" ref="M190:M195" si="99">IF(J190&gt;0,1,0)</f>
        <v>0</v>
      </c>
      <c r="N190" s="24">
        <f t="shared" si="95"/>
        <v>0</v>
      </c>
      <c r="O190" s="17">
        <f>IF(K190&lt;0, K190, 0)</f>
        <v>-4.9299999999998363</v>
      </c>
      <c r="P190" s="86"/>
      <c r="Q190" s="78"/>
    </row>
    <row r="191" spans="1:18">
      <c r="A191" s="6">
        <v>45397</v>
      </c>
      <c r="B191" t="s">
        <v>501</v>
      </c>
      <c r="C191" s="9">
        <v>5</v>
      </c>
      <c r="D191">
        <v>106.99</v>
      </c>
      <c r="E191" s="29">
        <v>120</v>
      </c>
      <c r="F191" s="50">
        <v>104</v>
      </c>
      <c r="G191" s="21">
        <f xml:space="preserve"> (E191 - F191)/(D191-F191)</f>
        <v>5.3511705685618818</v>
      </c>
      <c r="H191" s="6">
        <v>45398</v>
      </c>
      <c r="I191" s="29">
        <v>107.8</v>
      </c>
      <c r="J191" s="30">
        <f t="shared" si="96"/>
        <v>7.5708010094401867E-3</v>
      </c>
      <c r="K191" s="35">
        <f t="shared" si="97"/>
        <v>4.0500000000000682</v>
      </c>
      <c r="L191" s="21">
        <f t="shared" si="98"/>
        <v>1</v>
      </c>
      <c r="M191" s="9">
        <f t="shared" si="99"/>
        <v>1</v>
      </c>
      <c r="N191">
        <f t="shared" si="95"/>
        <v>4.0500000000000682</v>
      </c>
      <c r="O191">
        <v>0</v>
      </c>
      <c r="P191" s="86"/>
      <c r="Q191" s="78"/>
    </row>
    <row r="192" spans="1:18">
      <c r="A192" s="6">
        <v>45397</v>
      </c>
      <c r="B192" t="s">
        <v>501</v>
      </c>
      <c r="C192" s="9">
        <v>18</v>
      </c>
      <c r="D192">
        <v>106.99</v>
      </c>
      <c r="E192" s="29">
        <v>120</v>
      </c>
      <c r="F192" s="50">
        <v>104</v>
      </c>
      <c r="G192" s="21">
        <f t="shared" si="94"/>
        <v>5.3511705685618818</v>
      </c>
      <c r="H192" s="6">
        <v>45398</v>
      </c>
      <c r="I192" s="29">
        <v>107.75</v>
      </c>
      <c r="J192" s="30">
        <f t="shared" si="96"/>
        <v>7.1034676137957664E-3</v>
      </c>
      <c r="K192" s="35">
        <f t="shared" si="97"/>
        <v>13.680000000000064</v>
      </c>
      <c r="L192" s="21">
        <f t="shared" si="98"/>
        <v>1</v>
      </c>
      <c r="M192" s="9">
        <f t="shared" si="99"/>
        <v>1</v>
      </c>
      <c r="N192">
        <f t="shared" si="95"/>
        <v>13.680000000000064</v>
      </c>
      <c r="O192">
        <v>0</v>
      </c>
      <c r="P192" s="86"/>
      <c r="Q192" s="78"/>
    </row>
    <row r="193" spans="1:20">
      <c r="A193" s="6">
        <v>45383</v>
      </c>
      <c r="B193" t="s">
        <v>439</v>
      </c>
      <c r="C193" s="9">
        <v>45</v>
      </c>
      <c r="D193">
        <v>173.25</v>
      </c>
      <c r="E193" s="29">
        <v>225</v>
      </c>
      <c r="F193" s="50">
        <v>175</v>
      </c>
      <c r="G193" s="21">
        <f t="shared" si="94"/>
        <v>-28.571428571428573</v>
      </c>
      <c r="H193" s="6">
        <v>45481</v>
      </c>
      <c r="I193" s="29">
        <v>178</v>
      </c>
      <c r="J193" s="30">
        <f t="shared" si="96"/>
        <v>2.741702741702734E-2</v>
      </c>
      <c r="K193" s="35">
        <f t="shared" si="97"/>
        <v>213.75</v>
      </c>
      <c r="L193" s="21">
        <f t="shared" si="98"/>
        <v>98</v>
      </c>
      <c r="M193" s="9">
        <f t="shared" si="99"/>
        <v>1</v>
      </c>
      <c r="N193">
        <f t="shared" si="95"/>
        <v>213.75</v>
      </c>
      <c r="O193">
        <v>0</v>
      </c>
      <c r="P193" s="86"/>
      <c r="Q193" s="78"/>
    </row>
    <row r="194" spans="1:20">
      <c r="A194" s="6">
        <v>45383</v>
      </c>
      <c r="B194" t="s">
        <v>439</v>
      </c>
      <c r="C194" s="9">
        <v>1</v>
      </c>
      <c r="D194">
        <v>151</v>
      </c>
      <c r="E194" s="29">
        <v>225</v>
      </c>
      <c r="F194" s="50">
        <v>175</v>
      </c>
      <c r="G194" s="21">
        <f t="shared" ref="G194:G210" si="100" xml:space="preserve"> (E194 - F194)/(D194-F194)</f>
        <v>-2.0833333333333335</v>
      </c>
      <c r="H194" s="6">
        <v>45450</v>
      </c>
      <c r="I194" s="29">
        <v>157.34</v>
      </c>
      <c r="J194" s="30">
        <f t="shared" si="96"/>
        <v>4.198675496688753E-2</v>
      </c>
      <c r="K194" s="35">
        <f t="shared" si="97"/>
        <v>6.3400000000000034</v>
      </c>
      <c r="L194" s="21">
        <f t="shared" si="98"/>
        <v>67</v>
      </c>
      <c r="M194" s="9">
        <f t="shared" si="99"/>
        <v>1</v>
      </c>
      <c r="N194">
        <f t="shared" si="95"/>
        <v>6.3400000000000034</v>
      </c>
      <c r="O194">
        <v>0</v>
      </c>
      <c r="P194" s="86"/>
      <c r="Q194" s="78"/>
      <c r="R194" s="28">
        <v>3463.62</v>
      </c>
    </row>
    <row r="195" spans="1:20">
      <c r="A195" s="6">
        <v>45379</v>
      </c>
      <c r="B195" t="s">
        <v>741</v>
      </c>
      <c r="C195" s="9">
        <v>40</v>
      </c>
      <c r="D195">
        <v>25</v>
      </c>
      <c r="E195" s="29">
        <v>30</v>
      </c>
      <c r="F195" s="50">
        <v>23</v>
      </c>
      <c r="G195" s="21">
        <f t="shared" si="100"/>
        <v>3.5</v>
      </c>
      <c r="H195" s="6">
        <v>45420</v>
      </c>
      <c r="I195" s="29">
        <v>26.9</v>
      </c>
      <c r="J195" s="30">
        <f t="shared" si="96"/>
        <v>7.5999999999999845E-2</v>
      </c>
      <c r="K195" s="35">
        <f t="shared" si="97"/>
        <v>76</v>
      </c>
      <c r="L195" s="21">
        <f t="shared" si="98"/>
        <v>41</v>
      </c>
      <c r="M195" s="9">
        <f t="shared" si="99"/>
        <v>1</v>
      </c>
      <c r="N195">
        <f t="shared" si="95"/>
        <v>76</v>
      </c>
      <c r="O195">
        <v>0</v>
      </c>
      <c r="P195" s="86"/>
      <c r="Q195" s="78"/>
      <c r="R195" s="28">
        <v>3798.96</v>
      </c>
      <c r="S195" s="16">
        <v>509.55</v>
      </c>
      <c r="T195">
        <v>3</v>
      </c>
    </row>
    <row r="196" spans="1:20">
      <c r="A196" s="6">
        <v>45379</v>
      </c>
      <c r="B196" t="s">
        <v>205</v>
      </c>
      <c r="C196" s="9">
        <v>7</v>
      </c>
      <c r="D196">
        <v>522</v>
      </c>
      <c r="E196" s="29">
        <v>550</v>
      </c>
      <c r="F196" s="50">
        <v>500</v>
      </c>
      <c r="G196" s="21">
        <f xml:space="preserve"> (E196 - F196)/(D196-F196)</f>
        <v>2.2727272727272729</v>
      </c>
      <c r="H196" s="6"/>
      <c r="I196" s="29"/>
      <c r="J196" s="30"/>
      <c r="K196" s="35"/>
      <c r="P196" s="86"/>
      <c r="Q196" s="78"/>
      <c r="R196" s="28"/>
      <c r="S196" s="28">
        <v>-63.41</v>
      </c>
    </row>
    <row r="197" spans="1:20">
      <c r="A197" s="6">
        <v>45379</v>
      </c>
      <c r="B197" t="s">
        <v>205</v>
      </c>
      <c r="C197" s="9">
        <v>1</v>
      </c>
      <c r="D197">
        <v>522</v>
      </c>
      <c r="E197" s="29">
        <v>550</v>
      </c>
      <c r="F197" s="50">
        <v>500</v>
      </c>
      <c r="G197" s="21">
        <f t="shared" si="100"/>
        <v>2.2727272727272729</v>
      </c>
      <c r="H197" s="6">
        <v>45453</v>
      </c>
      <c r="I197" s="16">
        <v>382.5</v>
      </c>
      <c r="J197" s="25">
        <f t="shared" ref="J197:J204" si="101">I197/D197 -1</f>
        <v>-0.26724137931034486</v>
      </c>
      <c r="K197" s="36">
        <f t="shared" ref="K197:K204" si="102">(C197*I197) - (C197*D197)</f>
        <v>-139.5</v>
      </c>
      <c r="L197" s="24">
        <f t="shared" ref="L197:L204" si="103">H197-A197</f>
        <v>74</v>
      </c>
      <c r="M197" s="52">
        <f t="shared" ref="M197:M204" si="104">IF(J197&gt;0,1,0)</f>
        <v>0</v>
      </c>
      <c r="N197" s="24">
        <f t="shared" ref="N197:N204" si="105">IF(K197&gt;0, K197, 0)</f>
        <v>0</v>
      </c>
      <c r="O197" s="17">
        <f>IF(K197&lt;0, K197, 0)</f>
        <v>-139.5</v>
      </c>
      <c r="P197" s="86"/>
      <c r="Q197" s="78"/>
      <c r="R197" s="28"/>
      <c r="S197" s="16"/>
    </row>
    <row r="198" spans="1:20">
      <c r="A198" s="6">
        <v>45379</v>
      </c>
      <c r="B198" t="s">
        <v>205</v>
      </c>
      <c r="C198" s="9">
        <v>1</v>
      </c>
      <c r="D198">
        <v>522</v>
      </c>
      <c r="E198" s="29">
        <v>550</v>
      </c>
      <c r="F198" s="50">
        <v>500</v>
      </c>
      <c r="G198" s="21">
        <f t="shared" si="100"/>
        <v>2.2727272727272729</v>
      </c>
      <c r="H198" s="6">
        <v>45411</v>
      </c>
      <c r="I198" s="16">
        <v>406</v>
      </c>
      <c r="J198" s="25">
        <f t="shared" si="101"/>
        <v>-0.22222222222222221</v>
      </c>
      <c r="K198" s="36">
        <f t="shared" si="102"/>
        <v>-116</v>
      </c>
      <c r="L198" s="24">
        <f t="shared" si="103"/>
        <v>32</v>
      </c>
      <c r="M198" s="52">
        <f t="shared" si="104"/>
        <v>0</v>
      </c>
      <c r="N198" s="24">
        <f t="shared" si="105"/>
        <v>0</v>
      </c>
      <c r="O198" s="17">
        <f>IF(K198&lt;0, K198, 0)</f>
        <v>-116</v>
      </c>
      <c r="P198" s="86"/>
      <c r="Q198" s="78"/>
      <c r="R198" s="28">
        <v>4047.24</v>
      </c>
      <c r="S198" s="16">
        <v>6.48</v>
      </c>
    </row>
    <row r="199" spans="1:20">
      <c r="A199" s="6">
        <v>45379</v>
      </c>
      <c r="B199" t="s">
        <v>427</v>
      </c>
      <c r="C199" s="9">
        <v>13</v>
      </c>
      <c r="D199">
        <v>385.7</v>
      </c>
      <c r="E199" s="29">
        <v>470</v>
      </c>
      <c r="F199" s="50">
        <v>385</v>
      </c>
      <c r="G199" s="21">
        <f t="shared" si="100"/>
        <v>121.42857142857341</v>
      </c>
      <c r="H199" s="6">
        <v>45635</v>
      </c>
      <c r="I199" s="29">
        <v>420</v>
      </c>
      <c r="J199" s="30">
        <f t="shared" si="101"/>
        <v>8.8929219600726084E-2</v>
      </c>
      <c r="K199" s="35">
        <f t="shared" si="102"/>
        <v>445.90000000000055</v>
      </c>
      <c r="L199" s="21">
        <f t="shared" si="103"/>
        <v>256</v>
      </c>
      <c r="M199" s="9">
        <f t="shared" si="104"/>
        <v>1</v>
      </c>
      <c r="N199">
        <f t="shared" si="105"/>
        <v>445.90000000000055</v>
      </c>
      <c r="O199">
        <v>0</v>
      </c>
      <c r="P199" s="86"/>
      <c r="Q199" s="78"/>
      <c r="R199" s="28">
        <v>3931.49</v>
      </c>
    </row>
    <row r="200" spans="1:20">
      <c r="A200" s="6">
        <v>45378</v>
      </c>
      <c r="B200" t="s">
        <v>286</v>
      </c>
      <c r="C200" s="9">
        <v>186</v>
      </c>
      <c r="D200">
        <v>32.549999999999997</v>
      </c>
      <c r="E200" s="29">
        <v>45</v>
      </c>
      <c r="F200" s="75">
        <v>30</v>
      </c>
      <c r="G200" s="21">
        <f t="shared" si="100"/>
        <v>5.8823529411764772</v>
      </c>
      <c r="H200" s="6">
        <v>45378</v>
      </c>
      <c r="I200" s="16">
        <v>31.72</v>
      </c>
      <c r="J200" s="25">
        <f t="shared" si="101"/>
        <v>-2.5499231950844803E-2</v>
      </c>
      <c r="K200" s="36">
        <f t="shared" si="102"/>
        <v>-154.3799999999992</v>
      </c>
      <c r="L200" s="24">
        <f t="shared" si="103"/>
        <v>0</v>
      </c>
      <c r="M200" s="52">
        <f t="shared" si="104"/>
        <v>0</v>
      </c>
      <c r="N200" s="24">
        <f t="shared" si="105"/>
        <v>0</v>
      </c>
      <c r="O200" s="17">
        <f>IF(K200&lt;0, K200, 0)</f>
        <v>-154.3799999999992</v>
      </c>
      <c r="P200" s="86"/>
      <c r="Q200" s="78"/>
    </row>
    <row r="201" spans="1:20">
      <c r="A201" s="6">
        <v>45378</v>
      </c>
      <c r="B201" t="s">
        <v>441</v>
      </c>
      <c r="C201" s="9">
        <v>5</v>
      </c>
      <c r="D201">
        <v>341.35</v>
      </c>
      <c r="E201" s="29">
        <v>380</v>
      </c>
      <c r="F201" s="50">
        <v>330</v>
      </c>
      <c r="G201" s="21">
        <f xml:space="preserve"> (E201 - F201)/(D201-F201)</f>
        <v>4.4052863436123264</v>
      </c>
      <c r="H201" s="6">
        <v>45542</v>
      </c>
      <c r="I201" s="16">
        <v>339.31</v>
      </c>
      <c r="J201" s="25">
        <f t="shared" si="101"/>
        <v>-5.9762706899078033E-3</v>
      </c>
      <c r="K201" s="36">
        <f t="shared" si="102"/>
        <v>-10.200000000000045</v>
      </c>
      <c r="L201" s="24">
        <f t="shared" si="103"/>
        <v>164</v>
      </c>
      <c r="M201" s="52">
        <f t="shared" si="104"/>
        <v>0</v>
      </c>
      <c r="N201" s="24">
        <f t="shared" si="105"/>
        <v>0</v>
      </c>
      <c r="O201" s="17">
        <f>IF(K201&lt;0, K201, 0)</f>
        <v>-10.200000000000045</v>
      </c>
      <c r="P201" s="86"/>
      <c r="Q201" s="78"/>
    </row>
    <row r="202" spans="1:20">
      <c r="A202" s="6">
        <v>45378</v>
      </c>
      <c r="B202" t="s">
        <v>441</v>
      </c>
      <c r="C202" s="9">
        <v>4</v>
      </c>
      <c r="D202">
        <v>341.35</v>
      </c>
      <c r="E202" s="29">
        <v>380</v>
      </c>
      <c r="F202" s="50">
        <v>330</v>
      </c>
      <c r="G202" s="21">
        <f xml:space="preserve"> (E202 - F202)/(D202-F202)</f>
        <v>4.4052863436123264</v>
      </c>
      <c r="H202" s="6">
        <v>45539</v>
      </c>
      <c r="I202" s="29">
        <v>344</v>
      </c>
      <c r="J202" s="30">
        <f t="shared" si="101"/>
        <v>7.7632928079682806E-3</v>
      </c>
      <c r="K202" s="35">
        <f t="shared" si="102"/>
        <v>10.599999999999909</v>
      </c>
      <c r="L202" s="21">
        <f t="shared" si="103"/>
        <v>161</v>
      </c>
      <c r="M202" s="9">
        <f t="shared" si="104"/>
        <v>1</v>
      </c>
      <c r="N202">
        <f t="shared" si="105"/>
        <v>10.599999999999909</v>
      </c>
      <c r="O202">
        <v>0</v>
      </c>
      <c r="P202" s="86"/>
      <c r="Q202" s="78"/>
    </row>
    <row r="203" spans="1:20">
      <c r="A203" s="6">
        <v>45378</v>
      </c>
      <c r="B203" t="s">
        <v>441</v>
      </c>
      <c r="C203" s="9">
        <v>7</v>
      </c>
      <c r="D203">
        <v>319.5</v>
      </c>
      <c r="E203" s="29">
        <v>380</v>
      </c>
      <c r="F203" s="50">
        <v>330</v>
      </c>
      <c r="G203" s="21">
        <f xml:space="preserve"> (E203 - F203)/(D203-F203)</f>
        <v>-4.7619047619047619</v>
      </c>
      <c r="H203" s="6">
        <v>45520</v>
      </c>
      <c r="I203" s="29">
        <v>326</v>
      </c>
      <c r="J203" s="30">
        <f t="shared" si="101"/>
        <v>2.0344287949921824E-2</v>
      </c>
      <c r="K203" s="35">
        <f t="shared" si="102"/>
        <v>45.5</v>
      </c>
      <c r="L203" s="21">
        <f t="shared" si="103"/>
        <v>142</v>
      </c>
      <c r="M203" s="9">
        <f t="shared" si="104"/>
        <v>1</v>
      </c>
      <c r="N203">
        <f t="shared" si="105"/>
        <v>45.5</v>
      </c>
      <c r="O203">
        <v>0</v>
      </c>
      <c r="P203" s="86"/>
      <c r="Q203" s="78"/>
    </row>
    <row r="204" spans="1:20">
      <c r="A204" s="6">
        <v>45378</v>
      </c>
      <c r="B204" t="s">
        <v>441</v>
      </c>
      <c r="C204" s="9">
        <v>1</v>
      </c>
      <c r="D204">
        <v>300.2</v>
      </c>
      <c r="E204" s="29">
        <v>380</v>
      </c>
      <c r="F204" s="50">
        <v>330</v>
      </c>
      <c r="G204" s="21">
        <f t="shared" si="100"/>
        <v>-1.6778523489932879</v>
      </c>
      <c r="H204" s="6">
        <v>45469</v>
      </c>
      <c r="I204" s="29">
        <v>303.52999999999997</v>
      </c>
      <c r="J204" s="30">
        <f t="shared" si="101"/>
        <v>1.1092604930046601E-2</v>
      </c>
      <c r="K204" s="35">
        <f t="shared" si="102"/>
        <v>3.3299999999999841</v>
      </c>
      <c r="L204" s="21">
        <f t="shared" si="103"/>
        <v>91</v>
      </c>
      <c r="M204" s="9">
        <f t="shared" si="104"/>
        <v>1</v>
      </c>
      <c r="N204">
        <f t="shared" si="105"/>
        <v>3.3299999999999841</v>
      </c>
      <c r="O204">
        <v>0</v>
      </c>
      <c r="P204" s="86"/>
      <c r="Q204" s="78"/>
      <c r="R204" s="28">
        <v>3796.99</v>
      </c>
    </row>
    <row r="205" spans="1:20">
      <c r="A205" s="6">
        <v>45377</v>
      </c>
      <c r="B205" t="s">
        <v>464</v>
      </c>
      <c r="C205" s="9">
        <v>13</v>
      </c>
      <c r="D205">
        <v>270.69</v>
      </c>
      <c r="E205" s="29">
        <v>325</v>
      </c>
      <c r="F205" s="50">
        <v>260</v>
      </c>
      <c r="G205" s="21">
        <f xml:space="preserve"> (E205 - F205)/(D205-F205)</f>
        <v>6.0804490177736215</v>
      </c>
      <c r="H205" s="6"/>
      <c r="I205" s="29"/>
      <c r="J205" s="30"/>
      <c r="K205" s="35"/>
      <c r="P205" s="86"/>
      <c r="Q205" s="78"/>
      <c r="R205" s="28"/>
    </row>
    <row r="206" spans="1:20">
      <c r="A206" s="6">
        <v>45377</v>
      </c>
      <c r="B206" t="s">
        <v>464</v>
      </c>
      <c r="C206" s="9">
        <v>8</v>
      </c>
      <c r="D206">
        <v>185.4</v>
      </c>
      <c r="E206" s="29">
        <v>325</v>
      </c>
      <c r="F206" s="50">
        <v>260</v>
      </c>
      <c r="G206" s="21">
        <f xml:space="preserve"> (E206 - F206)/(D206-F206)</f>
        <v>-0.87131367292225204</v>
      </c>
      <c r="H206" s="6">
        <v>45499</v>
      </c>
      <c r="I206" s="29">
        <v>211.04</v>
      </c>
      <c r="J206" s="30">
        <f>I206/D206 -1</f>
        <v>0.13829557713052854</v>
      </c>
      <c r="K206" s="35">
        <f>(C206*I206) - (C206*D206)</f>
        <v>205.11999999999989</v>
      </c>
      <c r="L206" s="21">
        <f>H206-A206</f>
        <v>122</v>
      </c>
      <c r="M206" s="9">
        <f>IF(J206&gt;0,1,0)</f>
        <v>1</v>
      </c>
      <c r="N206">
        <f>IF(K206&gt;0, K206, 0)</f>
        <v>205.11999999999989</v>
      </c>
      <c r="O206">
        <v>0</v>
      </c>
      <c r="P206" s="86"/>
      <c r="Q206" s="78"/>
      <c r="R206" s="28"/>
    </row>
    <row r="207" spans="1:20">
      <c r="A207" s="6">
        <v>45377</v>
      </c>
      <c r="B207" t="s">
        <v>464</v>
      </c>
      <c r="C207" s="9">
        <v>2</v>
      </c>
      <c r="D207">
        <v>190</v>
      </c>
      <c r="E207" s="29">
        <v>325</v>
      </c>
      <c r="F207" s="50">
        <v>260</v>
      </c>
      <c r="G207" s="21">
        <f xml:space="preserve"> (E207 - F207)/(D207-F207)</f>
        <v>-0.9285714285714286</v>
      </c>
      <c r="H207" s="6">
        <v>45499</v>
      </c>
      <c r="I207" s="29">
        <v>211.04</v>
      </c>
      <c r="J207" s="30">
        <f>I207/D207 -1</f>
        <v>0.11073684210526302</v>
      </c>
      <c r="K207" s="35">
        <f>(C207*I207) - (C207*D207)</f>
        <v>42.079999999999984</v>
      </c>
      <c r="L207" s="21">
        <f>H207-A207</f>
        <v>122</v>
      </c>
      <c r="M207" s="9">
        <f>IF(J207&gt;0,1,0)</f>
        <v>1</v>
      </c>
      <c r="N207">
        <f>IF(K207&gt;0, K207, 0)</f>
        <v>42.079999999999984</v>
      </c>
      <c r="O207">
        <v>0</v>
      </c>
      <c r="P207" s="86"/>
      <c r="Q207" s="78"/>
      <c r="R207" s="28"/>
    </row>
    <row r="208" spans="1:20">
      <c r="A208" s="6">
        <v>45377</v>
      </c>
      <c r="B208" t="s">
        <v>464</v>
      </c>
      <c r="C208" s="9">
        <v>2</v>
      </c>
      <c r="D208">
        <v>236.94</v>
      </c>
      <c r="E208" s="29">
        <v>325</v>
      </c>
      <c r="F208" s="50">
        <v>260</v>
      </c>
      <c r="G208" s="21">
        <f t="shared" si="100"/>
        <v>-2.8187337380745876</v>
      </c>
      <c r="H208" s="6">
        <v>45442</v>
      </c>
      <c r="I208" s="16">
        <v>176</v>
      </c>
      <c r="J208" s="25">
        <f t="shared" ref="J208:J215" si="106">I208/D208 -1</f>
        <v>-0.25719591457753022</v>
      </c>
      <c r="K208" s="36">
        <f t="shared" ref="K208:K215" si="107">(C208*I208) - (C208*D208)</f>
        <v>-121.88</v>
      </c>
      <c r="L208" s="24">
        <f t="shared" ref="L208:L215" si="108">H208-A208</f>
        <v>65</v>
      </c>
      <c r="M208" s="52">
        <f t="shared" ref="M208:M215" si="109">IF(J208&gt;0,1,0)</f>
        <v>0</v>
      </c>
      <c r="N208" s="24">
        <f t="shared" ref="N208:N215" si="110">IF(K208&gt;0, K208, 0)</f>
        <v>0</v>
      </c>
      <c r="O208" s="17">
        <f>IF(K208&lt;0, K208, 0)</f>
        <v>-121.88</v>
      </c>
      <c r="P208" s="86"/>
      <c r="Q208" s="78"/>
    </row>
    <row r="209" spans="1:18">
      <c r="A209" s="6">
        <v>45377</v>
      </c>
      <c r="B209" t="s">
        <v>87</v>
      </c>
      <c r="C209" s="9">
        <v>33</v>
      </c>
      <c r="D209">
        <v>174.5</v>
      </c>
      <c r="E209" s="29">
        <v>260</v>
      </c>
      <c r="F209" s="75">
        <v>160</v>
      </c>
      <c r="G209" s="21">
        <f t="shared" si="100"/>
        <v>6.8965517241379306</v>
      </c>
      <c r="H209" s="6">
        <v>45411</v>
      </c>
      <c r="I209" s="29">
        <v>195.7</v>
      </c>
      <c r="J209" s="30">
        <f t="shared" si="106"/>
        <v>0.12148997134670481</v>
      </c>
      <c r="K209" s="35">
        <f t="shared" si="107"/>
        <v>699.59999999999945</v>
      </c>
      <c r="L209" s="21">
        <f t="shared" si="108"/>
        <v>34</v>
      </c>
      <c r="M209" s="9">
        <f t="shared" si="109"/>
        <v>1</v>
      </c>
      <c r="N209">
        <f t="shared" si="110"/>
        <v>699.59999999999945</v>
      </c>
      <c r="O209">
        <v>0</v>
      </c>
      <c r="P209" s="86"/>
      <c r="Q209" s="78"/>
      <c r="R209" s="28">
        <v>3664.25</v>
      </c>
    </row>
    <row r="210" spans="1:18">
      <c r="A210" s="6">
        <v>45376</v>
      </c>
      <c r="B210" t="s">
        <v>310</v>
      </c>
      <c r="C210" s="9">
        <v>345</v>
      </c>
      <c r="D210">
        <v>1.08</v>
      </c>
      <c r="E210" s="29">
        <v>2</v>
      </c>
      <c r="F210" s="50">
        <v>1.02</v>
      </c>
      <c r="G210" s="21">
        <f t="shared" si="100"/>
        <v>16.333333333333318</v>
      </c>
      <c r="H210" s="6">
        <v>45530</v>
      </c>
      <c r="I210" s="29">
        <v>1.1000000000000001</v>
      </c>
      <c r="J210" s="30">
        <f t="shared" si="106"/>
        <v>1.8518518518518601E-2</v>
      </c>
      <c r="K210" s="35">
        <f t="shared" si="107"/>
        <v>6.9000000000000341</v>
      </c>
      <c r="L210" s="21">
        <f t="shared" si="108"/>
        <v>154</v>
      </c>
      <c r="M210" s="9">
        <f t="shared" si="109"/>
        <v>1</v>
      </c>
      <c r="N210">
        <f t="shared" si="110"/>
        <v>6.9000000000000341</v>
      </c>
      <c r="O210">
        <v>0</v>
      </c>
      <c r="P210" s="86"/>
      <c r="Q210" s="78"/>
      <c r="R210" s="28"/>
    </row>
    <row r="211" spans="1:18">
      <c r="A211" s="6">
        <v>45376</v>
      </c>
      <c r="B211" t="s">
        <v>310</v>
      </c>
      <c r="C211" s="9">
        <v>448</v>
      </c>
      <c r="D211">
        <v>1.1299999999999999</v>
      </c>
      <c r="E211" s="29">
        <v>2</v>
      </c>
      <c r="F211" s="50">
        <v>1.02</v>
      </c>
      <c r="G211" s="21">
        <f t="shared" ref="G211:G226" si="111" xml:space="preserve"> (E211 - F211)/(D211-F211)</f>
        <v>8.9090909090909189</v>
      </c>
      <c r="H211" s="6">
        <v>45443</v>
      </c>
      <c r="I211" s="16">
        <v>0.84</v>
      </c>
      <c r="J211" s="25">
        <f t="shared" si="106"/>
        <v>-0.25663716814159288</v>
      </c>
      <c r="K211" s="36">
        <f t="shared" si="107"/>
        <v>-129.91999999999996</v>
      </c>
      <c r="L211" s="24">
        <f t="shared" si="108"/>
        <v>67</v>
      </c>
      <c r="M211" s="52">
        <f t="shared" si="109"/>
        <v>0</v>
      </c>
      <c r="N211" s="24">
        <f t="shared" si="110"/>
        <v>0</v>
      </c>
      <c r="O211" s="17">
        <f>IF(K211&lt;0, K211, 0)</f>
        <v>-129.91999999999996</v>
      </c>
      <c r="P211" s="86"/>
      <c r="Q211" s="78"/>
    </row>
    <row r="212" spans="1:18">
      <c r="A212" s="6">
        <v>45376</v>
      </c>
      <c r="B212" t="s">
        <v>792</v>
      </c>
      <c r="C212" s="9">
        <v>14</v>
      </c>
      <c r="D212">
        <v>66.349999999999994</v>
      </c>
      <c r="E212" s="29">
        <v>80</v>
      </c>
      <c r="F212" s="50">
        <v>63</v>
      </c>
      <c r="G212" s="21">
        <f t="shared" si="111"/>
        <v>5.0746268656716502</v>
      </c>
      <c r="H212" s="6">
        <v>45379</v>
      </c>
      <c r="I212" s="29">
        <v>71.650000000000006</v>
      </c>
      <c r="J212" s="30">
        <f t="shared" si="106"/>
        <v>7.9879427279578197E-2</v>
      </c>
      <c r="K212" s="35">
        <f t="shared" si="107"/>
        <v>74.200000000000273</v>
      </c>
      <c r="L212" s="21">
        <f t="shared" si="108"/>
        <v>3</v>
      </c>
      <c r="M212" s="9">
        <f t="shared" si="109"/>
        <v>1</v>
      </c>
      <c r="N212">
        <f t="shared" si="110"/>
        <v>74.200000000000273</v>
      </c>
      <c r="O212">
        <v>0</v>
      </c>
      <c r="P212" s="86"/>
      <c r="Q212" s="78"/>
    </row>
    <row r="213" spans="1:18">
      <c r="A213" s="6">
        <v>45376</v>
      </c>
      <c r="B213" s="61" t="s">
        <v>708</v>
      </c>
      <c r="C213" s="9">
        <v>16</v>
      </c>
      <c r="D213">
        <v>275</v>
      </c>
      <c r="E213" s="29">
        <v>300</v>
      </c>
      <c r="F213" s="50">
        <v>270</v>
      </c>
      <c r="G213" s="21">
        <f t="shared" si="111"/>
        <v>6</v>
      </c>
      <c r="H213" s="6">
        <v>45378</v>
      </c>
      <c r="I213" s="16">
        <v>263.69</v>
      </c>
      <c r="J213" s="25">
        <f t="shared" si="106"/>
        <v>-4.112727272727279E-2</v>
      </c>
      <c r="K213" s="36">
        <f t="shared" si="107"/>
        <v>-180.96000000000004</v>
      </c>
      <c r="L213" s="24">
        <f t="shared" si="108"/>
        <v>2</v>
      </c>
      <c r="M213" s="52">
        <f t="shared" si="109"/>
        <v>0</v>
      </c>
      <c r="N213" s="24">
        <f t="shared" si="110"/>
        <v>0</v>
      </c>
      <c r="O213" s="17">
        <f>IF(K213&lt;0, K213, 0)</f>
        <v>-180.96000000000004</v>
      </c>
      <c r="P213" s="86"/>
      <c r="Q213" s="78"/>
    </row>
    <row r="214" spans="1:18">
      <c r="A214" s="6">
        <v>45376</v>
      </c>
      <c r="B214" t="s">
        <v>439</v>
      </c>
      <c r="C214" s="9">
        <v>25</v>
      </c>
      <c r="D214">
        <v>178.98</v>
      </c>
      <c r="E214" s="29">
        <v>225</v>
      </c>
      <c r="F214" s="50">
        <v>175</v>
      </c>
      <c r="G214" s="21">
        <f t="shared" si="111"/>
        <v>12.562814070351791</v>
      </c>
      <c r="H214" s="6">
        <v>45383</v>
      </c>
      <c r="I214" s="29">
        <v>183.61</v>
      </c>
      <c r="J214" s="30">
        <f t="shared" si="106"/>
        <v>2.5868812157783028E-2</v>
      </c>
      <c r="K214" s="35">
        <f t="shared" si="107"/>
        <v>115.75</v>
      </c>
      <c r="L214" s="21">
        <f t="shared" si="108"/>
        <v>7</v>
      </c>
      <c r="M214" s="9">
        <f t="shared" si="109"/>
        <v>1</v>
      </c>
      <c r="N214">
        <f t="shared" si="110"/>
        <v>115.75</v>
      </c>
      <c r="O214">
        <v>0</v>
      </c>
      <c r="P214" s="86"/>
      <c r="Q214" s="78"/>
    </row>
    <row r="215" spans="1:18">
      <c r="A215" s="6">
        <v>45376</v>
      </c>
      <c r="B215" t="s">
        <v>426</v>
      </c>
      <c r="C215" s="9">
        <v>8</v>
      </c>
      <c r="D215">
        <v>424.6</v>
      </c>
      <c r="E215" s="29">
        <v>450</v>
      </c>
      <c r="F215" s="50">
        <v>413</v>
      </c>
      <c r="G215" s="21">
        <f t="shared" si="111"/>
        <v>3.1896551724137869</v>
      </c>
      <c r="H215" s="6">
        <v>45378</v>
      </c>
      <c r="I215" s="16">
        <v>420.5</v>
      </c>
      <c r="J215" s="25">
        <f t="shared" si="106"/>
        <v>-9.6561469618464679E-3</v>
      </c>
      <c r="K215" s="36">
        <f t="shared" si="107"/>
        <v>-32.800000000000182</v>
      </c>
      <c r="L215" s="24">
        <f t="shared" si="108"/>
        <v>2</v>
      </c>
      <c r="M215" s="52">
        <f t="shared" si="109"/>
        <v>0</v>
      </c>
      <c r="N215" s="24">
        <f t="shared" si="110"/>
        <v>0</v>
      </c>
      <c r="O215" s="17">
        <f>IF(K215&lt;0, K215, 0)</f>
        <v>-32.800000000000182</v>
      </c>
      <c r="P215" s="86"/>
      <c r="Q215" s="78"/>
    </row>
    <row r="216" spans="1:18">
      <c r="A216" s="6">
        <v>45376</v>
      </c>
      <c r="B216" t="s">
        <v>719</v>
      </c>
      <c r="C216" s="9">
        <v>32</v>
      </c>
      <c r="D216">
        <v>30.97</v>
      </c>
      <c r="E216" s="29">
        <v>35</v>
      </c>
      <c r="F216" s="50">
        <v>28</v>
      </c>
      <c r="G216" s="21">
        <f t="shared" ref="G216:G221" si="112" xml:space="preserve"> (E216 - F216)/(D216-F216)</f>
        <v>2.3569023569023577</v>
      </c>
      <c r="H216" s="6"/>
      <c r="I216" s="16"/>
      <c r="J216" s="25"/>
      <c r="K216" s="36"/>
      <c r="L216" s="24"/>
      <c r="M216" s="52"/>
      <c r="N216" s="24"/>
      <c r="O216" s="17"/>
      <c r="P216" s="86"/>
      <c r="Q216" s="78"/>
    </row>
    <row r="217" spans="1:18">
      <c r="A217" s="6">
        <v>45376</v>
      </c>
      <c r="B217" t="s">
        <v>719</v>
      </c>
      <c r="C217" s="9">
        <v>1</v>
      </c>
      <c r="D217">
        <v>23</v>
      </c>
      <c r="E217" s="29">
        <v>35</v>
      </c>
      <c r="F217" s="50">
        <v>28</v>
      </c>
      <c r="G217" s="21">
        <f t="shared" si="112"/>
        <v>-1.4</v>
      </c>
      <c r="H217" s="6">
        <v>45499</v>
      </c>
      <c r="I217" s="29">
        <v>23.8</v>
      </c>
      <c r="J217" s="30">
        <f>I217/D217 -1</f>
        <v>3.4782608695652195E-2</v>
      </c>
      <c r="K217" s="35">
        <f>(C217*I217) - (C217*D217)</f>
        <v>0.80000000000000071</v>
      </c>
      <c r="L217" s="21">
        <f>H217-A217</f>
        <v>123</v>
      </c>
      <c r="M217" s="9">
        <f>IF(J217&gt;0,1,0)</f>
        <v>1</v>
      </c>
      <c r="N217">
        <f>IF(K217&gt;0, K217, 0)</f>
        <v>0.80000000000000071</v>
      </c>
      <c r="O217">
        <v>0</v>
      </c>
      <c r="P217" s="86"/>
      <c r="Q217" s="78"/>
    </row>
    <row r="218" spans="1:18">
      <c r="A218" s="6">
        <v>45376</v>
      </c>
      <c r="B218" t="s">
        <v>719</v>
      </c>
      <c r="C218" s="9">
        <v>32</v>
      </c>
      <c r="D218">
        <v>22.15</v>
      </c>
      <c r="E218" s="29">
        <v>35</v>
      </c>
      <c r="F218" s="50">
        <v>28</v>
      </c>
      <c r="G218" s="21">
        <f t="shared" si="112"/>
        <v>-1.1965811965811963</v>
      </c>
      <c r="H218" s="6">
        <v>45499</v>
      </c>
      <c r="I218" s="29">
        <v>23.8</v>
      </c>
      <c r="J218" s="30">
        <f>I218/D218 -1</f>
        <v>7.4492099322799099E-2</v>
      </c>
      <c r="K218" s="35">
        <f>(C218*I218) - (C218*D218)</f>
        <v>52.800000000000068</v>
      </c>
      <c r="L218" s="21">
        <f>H218-A218</f>
        <v>123</v>
      </c>
      <c r="M218" s="9">
        <f>IF(J218&gt;0,1,0)</f>
        <v>1</v>
      </c>
      <c r="N218">
        <f>IF(K218&gt;0, K218, 0)</f>
        <v>52.800000000000068</v>
      </c>
      <c r="O218">
        <v>0</v>
      </c>
      <c r="P218" s="86"/>
      <c r="Q218" s="78"/>
    </row>
    <row r="219" spans="1:18">
      <c r="A219" s="6">
        <v>45376</v>
      </c>
      <c r="B219" t="s">
        <v>719</v>
      </c>
      <c r="C219" s="9">
        <v>179</v>
      </c>
      <c r="D219">
        <v>19.600000000000001</v>
      </c>
      <c r="E219" s="29">
        <v>35</v>
      </c>
      <c r="F219" s="50">
        <v>28</v>
      </c>
      <c r="G219" s="21">
        <f t="shared" si="112"/>
        <v>-0.83333333333333348</v>
      </c>
      <c r="H219" s="6">
        <v>45485</v>
      </c>
      <c r="I219" s="29">
        <v>20.5</v>
      </c>
      <c r="J219" s="30">
        <f t="shared" ref="J219:J224" si="113">I219/D219 -1</f>
        <v>4.5918367346938771E-2</v>
      </c>
      <c r="K219" s="35">
        <f t="shared" ref="K219:K224" si="114">(C219*I219) - (C219*D219)</f>
        <v>161.09999999999991</v>
      </c>
      <c r="L219" s="21">
        <f t="shared" ref="L219:L224" si="115">H219-A219</f>
        <v>109</v>
      </c>
      <c r="M219" s="9">
        <f t="shared" ref="M219:M224" si="116">IF(J219&gt;0,1,0)</f>
        <v>1</v>
      </c>
      <c r="N219">
        <f t="shared" ref="N219:N224" si="117">IF(K219&gt;0, K219, 0)</f>
        <v>161.09999999999991</v>
      </c>
      <c r="O219">
        <v>0</v>
      </c>
      <c r="P219" s="86"/>
      <c r="Q219" s="78"/>
    </row>
    <row r="220" spans="1:18">
      <c r="A220" s="6">
        <v>45376</v>
      </c>
      <c r="B220" t="s">
        <v>719</v>
      </c>
      <c r="C220" s="9">
        <v>19</v>
      </c>
      <c r="D220">
        <v>32.020000000000003</v>
      </c>
      <c r="E220" s="29">
        <v>35</v>
      </c>
      <c r="F220" s="50">
        <v>28</v>
      </c>
      <c r="G220" s="21">
        <f t="shared" si="112"/>
        <v>1.7412935323383072</v>
      </c>
      <c r="H220" s="6">
        <v>45461</v>
      </c>
      <c r="I220" s="16">
        <v>24.15</v>
      </c>
      <c r="J220" s="25">
        <f t="shared" si="113"/>
        <v>-0.24578388507183024</v>
      </c>
      <c r="K220" s="36">
        <f t="shared" si="114"/>
        <v>-149.53000000000014</v>
      </c>
      <c r="L220" s="24">
        <f t="shared" si="115"/>
        <v>85</v>
      </c>
      <c r="M220" s="52">
        <f t="shared" si="116"/>
        <v>0</v>
      </c>
      <c r="N220" s="24">
        <f t="shared" si="117"/>
        <v>0</v>
      </c>
      <c r="O220" s="17">
        <f>IF(K220&lt;0, K220, 0)</f>
        <v>-149.53000000000014</v>
      </c>
      <c r="P220" s="86"/>
      <c r="Q220" s="78"/>
    </row>
    <row r="221" spans="1:18">
      <c r="A221" s="6">
        <v>45376</v>
      </c>
      <c r="B221" t="s">
        <v>719</v>
      </c>
      <c r="C221" s="9">
        <v>33</v>
      </c>
      <c r="D221">
        <v>32.020000000000003</v>
      </c>
      <c r="E221" s="29">
        <v>35</v>
      </c>
      <c r="F221" s="50">
        <v>28</v>
      </c>
      <c r="G221" s="21">
        <f t="shared" si="112"/>
        <v>1.7412935323383072</v>
      </c>
      <c r="H221" s="6">
        <v>45415</v>
      </c>
      <c r="I221" s="16">
        <v>25.2</v>
      </c>
      <c r="J221" s="25">
        <f t="shared" si="113"/>
        <v>-0.21299188007495329</v>
      </c>
      <c r="K221" s="36">
        <f t="shared" si="114"/>
        <v>-225.06000000000006</v>
      </c>
      <c r="L221" s="24">
        <f t="shared" si="115"/>
        <v>39</v>
      </c>
      <c r="M221" s="52">
        <f t="shared" si="116"/>
        <v>0</v>
      </c>
      <c r="N221" s="24">
        <f t="shared" si="117"/>
        <v>0</v>
      </c>
      <c r="O221" s="17">
        <f>IF(K221&lt;0, K221, 0)</f>
        <v>-225.06000000000006</v>
      </c>
      <c r="P221" s="86"/>
      <c r="Q221" s="78"/>
    </row>
    <row r="222" spans="1:18">
      <c r="A222" s="6">
        <v>45376</v>
      </c>
      <c r="B222" t="s">
        <v>719</v>
      </c>
      <c r="C222" s="9">
        <v>21</v>
      </c>
      <c r="D222">
        <v>32.08</v>
      </c>
      <c r="E222" s="29">
        <v>35</v>
      </c>
      <c r="F222" s="50">
        <v>28</v>
      </c>
      <c r="G222" s="21">
        <f t="shared" si="111"/>
        <v>1.7156862745098047</v>
      </c>
      <c r="H222" s="6">
        <v>45411</v>
      </c>
      <c r="I222" s="16">
        <v>27.35</v>
      </c>
      <c r="J222" s="25">
        <f t="shared" si="113"/>
        <v>-0.14744389027431415</v>
      </c>
      <c r="K222" s="36">
        <f t="shared" si="114"/>
        <v>-99.329999999999927</v>
      </c>
      <c r="L222" s="24">
        <f t="shared" si="115"/>
        <v>35</v>
      </c>
      <c r="M222" s="52">
        <f t="shared" si="116"/>
        <v>0</v>
      </c>
      <c r="N222" s="24">
        <f t="shared" si="117"/>
        <v>0</v>
      </c>
      <c r="O222" s="17">
        <f>IF(K222&lt;0, K222, 0)</f>
        <v>-99.329999999999927</v>
      </c>
      <c r="P222" s="86"/>
      <c r="Q222" s="78"/>
      <c r="R222" s="28">
        <v>3560.14</v>
      </c>
    </row>
    <row r="223" spans="1:18">
      <c r="A223" s="6">
        <v>45373</v>
      </c>
      <c r="B223" s="61" t="s">
        <v>790</v>
      </c>
      <c r="C223" s="9">
        <v>10</v>
      </c>
      <c r="D223">
        <v>54.45</v>
      </c>
      <c r="E223" s="29">
        <v>70</v>
      </c>
      <c r="F223" s="50">
        <v>54</v>
      </c>
      <c r="G223" s="21">
        <f t="shared" si="111"/>
        <v>35.55555555555533</v>
      </c>
      <c r="H223" s="6">
        <v>45406</v>
      </c>
      <c r="I223" s="29">
        <v>63.5</v>
      </c>
      <c r="J223" s="30">
        <f t="shared" si="113"/>
        <v>0.16620752984389342</v>
      </c>
      <c r="K223" s="35">
        <f t="shared" si="114"/>
        <v>90.5</v>
      </c>
      <c r="L223" s="21">
        <f t="shared" si="115"/>
        <v>33</v>
      </c>
      <c r="M223" s="9">
        <f t="shared" si="116"/>
        <v>1</v>
      </c>
      <c r="N223">
        <f t="shared" si="117"/>
        <v>90.5</v>
      </c>
      <c r="O223">
        <v>0</v>
      </c>
      <c r="P223" s="86"/>
      <c r="Q223" s="78"/>
    </row>
    <row r="224" spans="1:18">
      <c r="A224" s="6">
        <v>45373</v>
      </c>
      <c r="B224" s="61" t="s">
        <v>697</v>
      </c>
      <c r="C224" s="9">
        <v>17</v>
      </c>
      <c r="D224">
        <v>28.4</v>
      </c>
      <c r="E224" s="29">
        <v>30</v>
      </c>
      <c r="F224" s="50">
        <v>28</v>
      </c>
      <c r="G224" s="21">
        <f t="shared" si="111"/>
        <v>5.0000000000000178</v>
      </c>
      <c r="H224" s="6">
        <v>45491</v>
      </c>
      <c r="I224" s="16">
        <v>26.8</v>
      </c>
      <c r="J224" s="25">
        <f t="shared" si="113"/>
        <v>-5.6338028169014009E-2</v>
      </c>
      <c r="K224" s="36">
        <f t="shared" si="114"/>
        <v>-27.199999999999932</v>
      </c>
      <c r="L224" s="24">
        <f t="shared" si="115"/>
        <v>118</v>
      </c>
      <c r="M224" s="52">
        <f t="shared" si="116"/>
        <v>0</v>
      </c>
      <c r="N224" s="24">
        <f t="shared" si="117"/>
        <v>0</v>
      </c>
      <c r="O224" s="17">
        <f>IF(K224&lt;0, K224, 0)</f>
        <v>-27.199999999999932</v>
      </c>
      <c r="P224" s="86"/>
      <c r="Q224" s="78"/>
    </row>
    <row r="225" spans="1:18">
      <c r="A225" s="6">
        <v>45373</v>
      </c>
      <c r="B225" s="22" t="s">
        <v>519</v>
      </c>
      <c r="C225" s="57">
        <v>207</v>
      </c>
      <c r="D225">
        <v>13.24</v>
      </c>
      <c r="E225" s="29">
        <v>14</v>
      </c>
      <c r="F225" s="50">
        <v>9</v>
      </c>
      <c r="G225" s="21">
        <f t="shared" si="111"/>
        <v>1.1792452830188678</v>
      </c>
      <c r="J225" s="30"/>
      <c r="K225" s="35"/>
      <c r="L225" s="37"/>
      <c r="M225" s="58"/>
      <c r="N225" s="35"/>
      <c r="O225" s="85"/>
      <c r="P225" s="86"/>
      <c r="Q225" s="78"/>
      <c r="R225" s="28">
        <v>3464.73</v>
      </c>
    </row>
    <row r="226" spans="1:18">
      <c r="A226" s="6">
        <v>45372</v>
      </c>
      <c r="B226" s="22" t="s">
        <v>75</v>
      </c>
      <c r="C226" s="57">
        <v>200</v>
      </c>
      <c r="D226">
        <v>0.77</v>
      </c>
      <c r="E226" s="29">
        <v>3</v>
      </c>
      <c r="F226" s="50">
        <v>0.4</v>
      </c>
      <c r="G226" s="21">
        <f t="shared" si="111"/>
        <v>7.0270270270270272</v>
      </c>
      <c r="H226" s="6">
        <v>45429</v>
      </c>
      <c r="I226" s="29">
        <v>0.85</v>
      </c>
      <c r="J226" s="30">
        <f>I226/D226 -1</f>
        <v>0.10389610389610393</v>
      </c>
      <c r="K226" s="35">
        <f>(C226*I226) - (C226*D226)</f>
        <v>16</v>
      </c>
      <c r="L226" s="21">
        <f>H226-A226</f>
        <v>57</v>
      </c>
      <c r="M226" s="9">
        <f>IF(J226&gt;0,1,0)</f>
        <v>1</v>
      </c>
      <c r="N226">
        <f>IF(K226&gt;0, K226, 0)</f>
        <v>16</v>
      </c>
      <c r="O226">
        <v>0</v>
      </c>
      <c r="P226" s="86"/>
      <c r="Q226" s="78"/>
      <c r="R226" s="28"/>
    </row>
    <row r="227" spans="1:18">
      <c r="A227" s="6">
        <v>45372</v>
      </c>
      <c r="B227" s="22" t="s">
        <v>75</v>
      </c>
      <c r="C227" s="57">
        <v>300</v>
      </c>
      <c r="D227">
        <v>0.77</v>
      </c>
      <c r="E227" s="29">
        <v>3</v>
      </c>
      <c r="F227" s="50">
        <v>0.4</v>
      </c>
      <c r="G227" s="21">
        <f t="shared" ref="G227:G246" si="118" xml:space="preserve"> (E227 - F227)/(D227-F227)</f>
        <v>7.0270270270270272</v>
      </c>
      <c r="H227" s="6">
        <v>45425</v>
      </c>
      <c r="I227" s="29">
        <v>1.55</v>
      </c>
      <c r="J227" s="30">
        <f>I227/D227 -1</f>
        <v>1.0129870129870131</v>
      </c>
      <c r="K227" s="35">
        <f>(C227*I227) - (C227*D227)</f>
        <v>234</v>
      </c>
      <c r="L227" s="21">
        <f>H227-A227</f>
        <v>53</v>
      </c>
      <c r="M227" s="9">
        <f>IF(J227&gt;0,1,0)</f>
        <v>1</v>
      </c>
      <c r="N227">
        <f>IF(K227&gt;0, K227, 0)</f>
        <v>234</v>
      </c>
      <c r="O227">
        <v>0</v>
      </c>
      <c r="P227" s="86"/>
      <c r="Q227" s="78"/>
    </row>
    <row r="228" spans="1:18">
      <c r="A228" s="6">
        <v>45372</v>
      </c>
      <c r="B228" s="113" t="s">
        <v>231</v>
      </c>
      <c r="C228" s="9">
        <v>98</v>
      </c>
      <c r="D228">
        <v>66.33</v>
      </c>
      <c r="E228" s="29">
        <v>100</v>
      </c>
      <c r="F228" s="75">
        <v>65</v>
      </c>
      <c r="G228" s="21">
        <f t="shared" si="118"/>
        <v>26.315789473684244</v>
      </c>
      <c r="H228" s="6">
        <v>45379</v>
      </c>
      <c r="I228" s="29">
        <v>66.900000000000006</v>
      </c>
      <c r="J228" s="30">
        <f t="shared" ref="J228:J239" si="119">I228/D228 -1</f>
        <v>8.5933966530982175E-3</v>
      </c>
      <c r="K228" s="35">
        <f t="shared" ref="K228:K239" si="120">(C228*I228) - (C228*D228)</f>
        <v>55.860000000000582</v>
      </c>
      <c r="L228" s="21">
        <f t="shared" ref="L228:L239" si="121">H228-A228</f>
        <v>7</v>
      </c>
      <c r="M228" s="9">
        <f t="shared" ref="M228:M239" si="122">IF(J228&gt;0,1,0)</f>
        <v>1</v>
      </c>
      <c r="N228">
        <f t="shared" ref="N228:N239" si="123">IF(K228&gt;0, K228, 0)</f>
        <v>55.860000000000582</v>
      </c>
      <c r="O228">
        <v>0</v>
      </c>
      <c r="P228" s="86"/>
      <c r="Q228" s="78"/>
    </row>
    <row r="229" spans="1:18">
      <c r="A229" s="6">
        <v>45372</v>
      </c>
      <c r="B229" t="s">
        <v>569</v>
      </c>
      <c r="C229" s="9">
        <v>37</v>
      </c>
      <c r="D229">
        <v>71.930000000000007</v>
      </c>
      <c r="E229" s="29">
        <v>80</v>
      </c>
      <c r="F229" s="50">
        <v>70</v>
      </c>
      <c r="G229" s="21">
        <f t="shared" si="118"/>
        <v>5.1813471502590494</v>
      </c>
      <c r="H229" s="6">
        <v>45379</v>
      </c>
      <c r="I229" s="29">
        <v>72.05</v>
      </c>
      <c r="J229" s="30">
        <f t="shared" si="119"/>
        <v>1.6682886139300912E-3</v>
      </c>
      <c r="K229" s="35">
        <f t="shared" si="120"/>
        <v>4.4399999999995998</v>
      </c>
      <c r="L229" s="21">
        <f t="shared" si="121"/>
        <v>7</v>
      </c>
      <c r="M229" s="9">
        <f t="shared" si="122"/>
        <v>1</v>
      </c>
      <c r="N229">
        <f t="shared" si="123"/>
        <v>4.4399999999995998</v>
      </c>
      <c r="O229">
        <v>0</v>
      </c>
      <c r="P229" s="86"/>
      <c r="Q229" s="78"/>
      <c r="R229" s="28">
        <v>3034.23</v>
      </c>
    </row>
    <row r="230" spans="1:18">
      <c r="A230" s="6">
        <v>45371</v>
      </c>
      <c r="B230" t="s">
        <v>719</v>
      </c>
      <c r="C230" s="9">
        <v>85</v>
      </c>
      <c r="D230">
        <v>29.21</v>
      </c>
      <c r="E230" s="29">
        <v>35</v>
      </c>
      <c r="F230" s="50">
        <v>28</v>
      </c>
      <c r="G230" s="21">
        <f t="shared" si="118"/>
        <v>5.7851239669421446</v>
      </c>
      <c r="H230" s="6">
        <v>45376</v>
      </c>
      <c r="I230" s="29">
        <v>32.33</v>
      </c>
      <c r="J230" s="30">
        <f t="shared" si="119"/>
        <v>0.10681273536460112</v>
      </c>
      <c r="K230" s="35">
        <f t="shared" si="120"/>
        <v>265.19999999999982</v>
      </c>
      <c r="L230" s="21">
        <f t="shared" si="121"/>
        <v>5</v>
      </c>
      <c r="M230" s="9">
        <f t="shared" si="122"/>
        <v>1</v>
      </c>
      <c r="N230">
        <f t="shared" si="123"/>
        <v>265.19999999999982</v>
      </c>
      <c r="O230">
        <v>0</v>
      </c>
      <c r="P230" s="86"/>
      <c r="Q230" s="78"/>
    </row>
    <row r="231" spans="1:18">
      <c r="A231" s="6">
        <v>45371</v>
      </c>
      <c r="B231" t="s">
        <v>87</v>
      </c>
      <c r="C231" s="9">
        <v>29</v>
      </c>
      <c r="D231">
        <v>175.01</v>
      </c>
      <c r="E231" s="29">
        <v>260</v>
      </c>
      <c r="F231" s="75">
        <v>160</v>
      </c>
      <c r="G231" s="21">
        <f t="shared" si="118"/>
        <v>6.6622251832111967</v>
      </c>
      <c r="H231" s="6">
        <v>45377</v>
      </c>
      <c r="I231" s="29">
        <v>178.6</v>
      </c>
      <c r="J231" s="30">
        <f t="shared" si="119"/>
        <v>2.0513113536369421E-2</v>
      </c>
      <c r="K231" s="35">
        <f t="shared" si="120"/>
        <v>104.10999999999967</v>
      </c>
      <c r="L231" s="21">
        <f t="shared" si="121"/>
        <v>6</v>
      </c>
      <c r="M231" s="9">
        <f t="shared" si="122"/>
        <v>1</v>
      </c>
      <c r="N231">
        <f t="shared" si="123"/>
        <v>104.10999999999967</v>
      </c>
      <c r="O231">
        <v>0</v>
      </c>
      <c r="P231" s="86"/>
      <c r="Q231" s="78"/>
    </row>
    <row r="232" spans="1:18">
      <c r="A232" s="6">
        <v>45371</v>
      </c>
      <c r="B232" t="s">
        <v>512</v>
      </c>
      <c r="C232" s="9">
        <v>16</v>
      </c>
      <c r="D232">
        <v>187.78</v>
      </c>
      <c r="E232" s="29">
        <v>220</v>
      </c>
      <c r="F232" s="50">
        <v>175</v>
      </c>
      <c r="G232" s="21">
        <f t="shared" si="118"/>
        <v>3.52112676056338</v>
      </c>
      <c r="H232" s="6">
        <v>45373</v>
      </c>
      <c r="I232" s="29">
        <v>189</v>
      </c>
      <c r="J232" s="30">
        <f t="shared" si="119"/>
        <v>6.4969645329640002E-3</v>
      </c>
      <c r="K232" s="35">
        <f t="shared" si="120"/>
        <v>19.519999999999982</v>
      </c>
      <c r="L232" s="21">
        <f t="shared" si="121"/>
        <v>2</v>
      </c>
      <c r="M232" s="9">
        <f t="shared" si="122"/>
        <v>1</v>
      </c>
      <c r="N232">
        <f t="shared" si="123"/>
        <v>19.519999999999982</v>
      </c>
      <c r="O232">
        <v>0</v>
      </c>
      <c r="P232" s="86"/>
      <c r="Q232" s="78"/>
    </row>
    <row r="233" spans="1:18" s="114" customFormat="1">
      <c r="A233" s="6">
        <v>45371</v>
      </c>
      <c r="B233" t="s">
        <v>92</v>
      </c>
      <c r="C233" s="9">
        <v>3</v>
      </c>
      <c r="D233">
        <v>96.4</v>
      </c>
      <c r="E233" s="29">
        <v>110</v>
      </c>
      <c r="F233" s="50">
        <v>90</v>
      </c>
      <c r="G233" s="21">
        <f t="shared" si="118"/>
        <v>3.1249999999999973</v>
      </c>
      <c r="H233" s="6">
        <v>45373</v>
      </c>
      <c r="I233" s="29">
        <v>111</v>
      </c>
      <c r="J233" s="30">
        <f t="shared" si="119"/>
        <v>0.15145228215767625</v>
      </c>
      <c r="K233" s="35">
        <f t="shared" si="120"/>
        <v>43.799999999999955</v>
      </c>
      <c r="L233" s="21">
        <f t="shared" si="121"/>
        <v>2</v>
      </c>
      <c r="M233" s="9">
        <f t="shared" si="122"/>
        <v>1</v>
      </c>
      <c r="N233">
        <f t="shared" si="123"/>
        <v>43.799999999999955</v>
      </c>
      <c r="O233">
        <v>0</v>
      </c>
      <c r="P233" s="115"/>
      <c r="Q233" s="116"/>
    </row>
    <row r="234" spans="1:18">
      <c r="A234" s="6">
        <v>45369</v>
      </c>
      <c r="B234" s="61" t="s">
        <v>521</v>
      </c>
      <c r="C234" s="9">
        <v>35</v>
      </c>
      <c r="D234">
        <v>147.5</v>
      </c>
      <c r="E234" s="29">
        <v>160</v>
      </c>
      <c r="F234" s="50">
        <v>145</v>
      </c>
      <c r="G234" s="21">
        <f t="shared" si="118"/>
        <v>6</v>
      </c>
      <c r="H234" s="6">
        <v>45373</v>
      </c>
      <c r="I234" s="29">
        <v>150.77000000000001</v>
      </c>
      <c r="J234" s="30">
        <f t="shared" si="119"/>
        <v>2.2169491525423801E-2</v>
      </c>
      <c r="K234" s="35">
        <f t="shared" si="120"/>
        <v>114.45000000000073</v>
      </c>
      <c r="L234" s="21">
        <f t="shared" si="121"/>
        <v>4</v>
      </c>
      <c r="M234" s="9">
        <f t="shared" si="122"/>
        <v>1</v>
      </c>
      <c r="N234">
        <f t="shared" si="123"/>
        <v>114.45000000000073</v>
      </c>
      <c r="O234">
        <v>0</v>
      </c>
      <c r="P234" s="86"/>
      <c r="Q234" s="78"/>
      <c r="R234" s="28">
        <v>3137.79</v>
      </c>
    </row>
    <row r="235" spans="1:18">
      <c r="A235" s="6">
        <v>45369</v>
      </c>
      <c r="B235" t="s">
        <v>569</v>
      </c>
      <c r="C235" s="9">
        <v>37</v>
      </c>
      <c r="D235">
        <v>67.400000000000006</v>
      </c>
      <c r="E235" s="29">
        <v>75</v>
      </c>
      <c r="F235" s="50">
        <v>65</v>
      </c>
      <c r="G235" s="21">
        <f t="shared" si="118"/>
        <v>4.1666666666666572</v>
      </c>
      <c r="H235" s="6">
        <v>45372</v>
      </c>
      <c r="I235" s="29">
        <v>71.97</v>
      </c>
      <c r="J235" s="30">
        <f t="shared" si="119"/>
        <v>6.7804154302670616E-2</v>
      </c>
      <c r="K235" s="35">
        <f t="shared" si="120"/>
        <v>169.08999999999969</v>
      </c>
      <c r="L235" s="21">
        <f t="shared" si="121"/>
        <v>3</v>
      </c>
      <c r="M235" s="9">
        <f t="shared" si="122"/>
        <v>1</v>
      </c>
      <c r="N235">
        <f t="shared" si="123"/>
        <v>169.08999999999969</v>
      </c>
      <c r="O235">
        <v>0</v>
      </c>
      <c r="P235" s="86"/>
      <c r="Q235" s="78"/>
    </row>
    <row r="236" spans="1:18">
      <c r="A236" s="6">
        <v>45369</v>
      </c>
      <c r="B236" s="61" t="s">
        <v>708</v>
      </c>
      <c r="C236" s="9">
        <v>16</v>
      </c>
      <c r="D236">
        <v>269.60000000000002</v>
      </c>
      <c r="E236" s="29">
        <v>300</v>
      </c>
      <c r="F236" s="50">
        <v>266</v>
      </c>
      <c r="G236" s="21">
        <f t="shared" si="118"/>
        <v>9.4444444444443842</v>
      </c>
      <c r="H236" s="6">
        <v>45373</v>
      </c>
      <c r="I236" s="29">
        <v>277.5</v>
      </c>
      <c r="J236" s="30">
        <f t="shared" si="119"/>
        <v>2.9302670623145399E-2</v>
      </c>
      <c r="K236" s="35">
        <f t="shared" si="120"/>
        <v>126.39999999999964</v>
      </c>
      <c r="L236" s="21">
        <f t="shared" si="121"/>
        <v>4</v>
      </c>
      <c r="M236" s="9">
        <f t="shared" si="122"/>
        <v>1</v>
      </c>
      <c r="N236">
        <f t="shared" si="123"/>
        <v>126.39999999999964</v>
      </c>
      <c r="O236">
        <v>0</v>
      </c>
      <c r="P236" s="86"/>
      <c r="Q236" s="78"/>
    </row>
    <row r="237" spans="1:18">
      <c r="A237" s="6">
        <v>45369</v>
      </c>
      <c r="B237" t="s">
        <v>512</v>
      </c>
      <c r="C237" s="9">
        <v>16</v>
      </c>
      <c r="D237">
        <v>179.9</v>
      </c>
      <c r="E237" s="29">
        <v>220</v>
      </c>
      <c r="F237" s="50">
        <v>175</v>
      </c>
      <c r="G237" s="21">
        <f t="shared" si="118"/>
        <v>9.1836734693877453</v>
      </c>
      <c r="H237" s="6">
        <v>45371</v>
      </c>
      <c r="I237" s="29">
        <v>187.8</v>
      </c>
      <c r="J237" s="30">
        <f t="shared" si="119"/>
        <v>4.3913285158421411E-2</v>
      </c>
      <c r="K237" s="35">
        <f t="shared" si="120"/>
        <v>126.40000000000009</v>
      </c>
      <c r="L237" s="21">
        <f t="shared" si="121"/>
        <v>2</v>
      </c>
      <c r="M237" s="9">
        <f t="shared" si="122"/>
        <v>1</v>
      </c>
      <c r="N237">
        <f t="shared" si="123"/>
        <v>126.40000000000009</v>
      </c>
      <c r="O237">
        <v>0</v>
      </c>
      <c r="P237" s="86"/>
      <c r="Q237" s="78"/>
      <c r="R237" s="28">
        <v>2888.2</v>
      </c>
    </row>
    <row r="238" spans="1:18">
      <c r="A238" s="6">
        <v>45365</v>
      </c>
      <c r="B238" t="s">
        <v>512</v>
      </c>
      <c r="C238" s="9">
        <v>11</v>
      </c>
      <c r="D238">
        <v>182.1</v>
      </c>
      <c r="E238" s="29">
        <v>225</v>
      </c>
      <c r="F238" s="50">
        <v>180</v>
      </c>
      <c r="G238" s="21">
        <f t="shared" si="118"/>
        <v>21.428571428571487</v>
      </c>
      <c r="H238" s="6">
        <v>45366</v>
      </c>
      <c r="I238" s="29">
        <v>182.7</v>
      </c>
      <c r="J238" s="30">
        <f t="shared" si="119"/>
        <v>3.2948929159801743E-3</v>
      </c>
      <c r="K238" s="35">
        <f t="shared" si="120"/>
        <v>6.5999999999999091</v>
      </c>
      <c r="L238" s="21">
        <f t="shared" si="121"/>
        <v>1</v>
      </c>
      <c r="M238" s="9">
        <f t="shared" si="122"/>
        <v>1</v>
      </c>
      <c r="N238">
        <f t="shared" si="123"/>
        <v>6.5999999999999091</v>
      </c>
      <c r="O238">
        <v>0</v>
      </c>
      <c r="P238" s="86"/>
      <c r="Q238" s="78"/>
      <c r="R238" s="28">
        <v>2833.45</v>
      </c>
    </row>
    <row r="239" spans="1:18">
      <c r="A239" s="6">
        <v>45365</v>
      </c>
      <c r="B239" s="61" t="s">
        <v>521</v>
      </c>
      <c r="C239" s="9">
        <v>35</v>
      </c>
      <c r="D239">
        <v>143.30000000000001</v>
      </c>
      <c r="E239" s="29">
        <v>150</v>
      </c>
      <c r="F239" s="50">
        <v>140</v>
      </c>
      <c r="G239" s="21">
        <f t="shared" si="118"/>
        <v>3.0303030303030201</v>
      </c>
      <c r="H239" s="6">
        <v>45369</v>
      </c>
      <c r="I239" s="29">
        <v>147.55000000000001</v>
      </c>
      <c r="J239" s="30">
        <f t="shared" si="119"/>
        <v>2.9658060013956655E-2</v>
      </c>
      <c r="K239" s="35">
        <f t="shared" si="120"/>
        <v>148.75</v>
      </c>
      <c r="L239" s="21">
        <f t="shared" si="121"/>
        <v>4</v>
      </c>
      <c r="M239" s="9">
        <f t="shared" si="122"/>
        <v>1</v>
      </c>
      <c r="N239">
        <f t="shared" si="123"/>
        <v>148.75</v>
      </c>
      <c r="O239">
        <v>0</v>
      </c>
      <c r="P239" s="86"/>
      <c r="Q239" s="78"/>
      <c r="R239" s="28">
        <v>3061.17</v>
      </c>
    </row>
    <row r="240" spans="1:18">
      <c r="A240" s="6">
        <v>45364</v>
      </c>
      <c r="B240" t="s">
        <v>679</v>
      </c>
      <c r="C240" s="9">
        <v>17</v>
      </c>
      <c r="D240">
        <v>291.35000000000002</v>
      </c>
      <c r="E240" s="29">
        <v>330</v>
      </c>
      <c r="F240" s="50">
        <v>277</v>
      </c>
      <c r="G240" s="21">
        <f t="shared" si="118"/>
        <v>3.6933797909407606</v>
      </c>
      <c r="H240" s="6">
        <v>45408</v>
      </c>
      <c r="I240" s="29">
        <v>293</v>
      </c>
      <c r="J240" s="30">
        <f t="shared" ref="J240:J246" si="124">I240/D240 -1</f>
        <v>5.6632915737084843E-3</v>
      </c>
      <c r="K240" s="35">
        <f t="shared" ref="K240:K246" si="125">(C240*I240) - (C240*D240)</f>
        <v>28.049999999999272</v>
      </c>
      <c r="L240" s="21">
        <f t="shared" ref="L240:L246" si="126">H240-A240</f>
        <v>44</v>
      </c>
      <c r="M240" s="9">
        <f t="shared" ref="M240:M246" si="127">IF(J240&gt;0,1,0)</f>
        <v>1</v>
      </c>
      <c r="N240">
        <f t="shared" ref="N240:N246" si="128">IF(K240&gt;0, K240, 0)</f>
        <v>28.049999999999272</v>
      </c>
      <c r="O240">
        <v>0</v>
      </c>
      <c r="P240" s="86"/>
      <c r="Q240" s="78"/>
      <c r="R240" s="28">
        <v>3337.82</v>
      </c>
    </row>
    <row r="241" spans="1:18">
      <c r="A241" s="6">
        <v>45363</v>
      </c>
      <c r="B241" t="s">
        <v>712</v>
      </c>
      <c r="C241" s="9">
        <v>8</v>
      </c>
      <c r="D241">
        <v>112.8</v>
      </c>
      <c r="E241" s="29">
        <v>140</v>
      </c>
      <c r="F241" s="50">
        <v>110</v>
      </c>
      <c r="G241" s="21">
        <f t="shared" si="118"/>
        <v>10.714285714285726</v>
      </c>
      <c r="H241" s="6">
        <v>45448</v>
      </c>
      <c r="I241" s="29">
        <v>125</v>
      </c>
      <c r="J241" s="30">
        <f t="shared" si="124"/>
        <v>0.10815602836879434</v>
      </c>
      <c r="K241" s="35">
        <f t="shared" si="125"/>
        <v>97.600000000000023</v>
      </c>
      <c r="L241" s="21">
        <f t="shared" si="126"/>
        <v>85</v>
      </c>
      <c r="M241" s="9">
        <f t="shared" si="127"/>
        <v>1</v>
      </c>
      <c r="N241">
        <f t="shared" si="128"/>
        <v>97.600000000000023</v>
      </c>
      <c r="O241">
        <v>0</v>
      </c>
      <c r="P241" s="86"/>
      <c r="Q241" s="78"/>
    </row>
    <row r="242" spans="1:18">
      <c r="A242" s="6">
        <v>45363</v>
      </c>
      <c r="B242" t="s">
        <v>519</v>
      </c>
      <c r="C242" s="9">
        <v>32</v>
      </c>
      <c r="D242">
        <v>21.3</v>
      </c>
      <c r="E242" s="29">
        <v>26</v>
      </c>
      <c r="F242" s="50">
        <v>20</v>
      </c>
      <c r="G242" s="21">
        <f t="shared" si="118"/>
        <v>4.6153846153846132</v>
      </c>
      <c r="H242" s="6">
        <v>45372</v>
      </c>
      <c r="I242" s="16">
        <v>20.81</v>
      </c>
      <c r="J242" s="25">
        <f t="shared" si="124"/>
        <v>-2.3004694835680795E-2</v>
      </c>
      <c r="K242" s="36">
        <f t="shared" si="125"/>
        <v>-15.680000000000064</v>
      </c>
      <c r="L242" s="24">
        <f t="shared" si="126"/>
        <v>9</v>
      </c>
      <c r="M242" s="52">
        <f t="shared" si="127"/>
        <v>0</v>
      </c>
      <c r="N242" s="24">
        <f t="shared" si="128"/>
        <v>0</v>
      </c>
      <c r="O242" s="17">
        <f>IF(K242&lt;0, K242, 0)</f>
        <v>-15.680000000000064</v>
      </c>
      <c r="P242" s="86"/>
      <c r="Q242" s="78"/>
    </row>
    <row r="243" spans="1:18">
      <c r="A243" s="6">
        <v>45363</v>
      </c>
      <c r="B243" s="61" t="s">
        <v>227</v>
      </c>
      <c r="C243" s="9">
        <v>8</v>
      </c>
      <c r="D243">
        <v>576.5</v>
      </c>
      <c r="E243" s="29">
        <v>630</v>
      </c>
      <c r="F243" s="50">
        <v>560</v>
      </c>
      <c r="G243" s="21">
        <f xml:space="preserve"> (E243 - F243)/(D243-F243)</f>
        <v>4.2424242424242422</v>
      </c>
      <c r="H243" s="6">
        <v>45545</v>
      </c>
      <c r="I243" s="16">
        <v>574.4</v>
      </c>
      <c r="J243" s="25">
        <f t="shared" si="124"/>
        <v>-3.6426712922810189E-3</v>
      </c>
      <c r="K243" s="36">
        <f t="shared" si="125"/>
        <v>-16.800000000000182</v>
      </c>
      <c r="L243" s="24">
        <f t="shared" si="126"/>
        <v>182</v>
      </c>
      <c r="M243" s="52">
        <f t="shared" si="127"/>
        <v>0</v>
      </c>
      <c r="N243" s="24">
        <f t="shared" si="128"/>
        <v>0</v>
      </c>
      <c r="O243" s="17">
        <f>IF(K243&lt;0, K243, 0)</f>
        <v>-16.800000000000182</v>
      </c>
      <c r="P243" s="86"/>
      <c r="Q243" s="78"/>
    </row>
    <row r="244" spans="1:18">
      <c r="A244" s="6">
        <v>45363</v>
      </c>
      <c r="B244" s="61" t="s">
        <v>227</v>
      </c>
      <c r="C244" s="9">
        <v>1</v>
      </c>
      <c r="D244">
        <v>550</v>
      </c>
      <c r="E244" s="29">
        <v>630</v>
      </c>
      <c r="F244" s="50">
        <v>560</v>
      </c>
      <c r="G244" s="21">
        <f xml:space="preserve"> (E244 - F244)/(D244-F244)</f>
        <v>-7</v>
      </c>
      <c r="H244" s="6">
        <v>45513</v>
      </c>
      <c r="I244" s="16">
        <v>536</v>
      </c>
      <c r="J244" s="25">
        <f t="shared" si="124"/>
        <v>-2.5454545454545507E-2</v>
      </c>
      <c r="K244" s="36">
        <f t="shared" si="125"/>
        <v>-14</v>
      </c>
      <c r="L244" s="24">
        <f t="shared" si="126"/>
        <v>150</v>
      </c>
      <c r="M244" s="52">
        <f t="shared" si="127"/>
        <v>0</v>
      </c>
      <c r="N244" s="24">
        <f t="shared" si="128"/>
        <v>0</v>
      </c>
      <c r="O244" s="17">
        <f>IF(K244&lt;0, K244, 0)</f>
        <v>-14</v>
      </c>
      <c r="P244" s="86"/>
      <c r="Q244" s="78"/>
    </row>
    <row r="245" spans="1:18">
      <c r="A245" s="6">
        <v>45442</v>
      </c>
      <c r="B245" s="61" t="s">
        <v>227</v>
      </c>
      <c r="C245" s="9">
        <v>1</v>
      </c>
      <c r="D245">
        <v>445</v>
      </c>
      <c r="E245" s="29">
        <v>630</v>
      </c>
      <c r="F245" s="50">
        <v>560</v>
      </c>
      <c r="G245" s="21">
        <f t="shared" si="118"/>
        <v>-0.60869565217391308</v>
      </c>
      <c r="H245" s="6">
        <v>45457</v>
      </c>
      <c r="I245" s="29">
        <v>525.48</v>
      </c>
      <c r="J245" s="30">
        <f t="shared" si="124"/>
        <v>0.18085393258426974</v>
      </c>
      <c r="K245" s="35">
        <f t="shared" si="125"/>
        <v>80.480000000000018</v>
      </c>
      <c r="L245" s="21">
        <f t="shared" si="126"/>
        <v>15</v>
      </c>
      <c r="M245" s="9">
        <f t="shared" si="127"/>
        <v>1</v>
      </c>
      <c r="N245">
        <f t="shared" si="128"/>
        <v>80.480000000000018</v>
      </c>
      <c r="O245">
        <v>0</v>
      </c>
      <c r="P245" s="86"/>
      <c r="Q245" s="78"/>
    </row>
    <row r="246" spans="1:18">
      <c r="A246" s="6">
        <v>45363</v>
      </c>
      <c r="B246" t="s">
        <v>679</v>
      </c>
      <c r="C246" s="9">
        <v>17</v>
      </c>
      <c r="D246">
        <v>284</v>
      </c>
      <c r="E246" s="29">
        <v>330</v>
      </c>
      <c r="F246" s="50">
        <v>277</v>
      </c>
      <c r="G246" s="21">
        <f t="shared" si="118"/>
        <v>7.5714285714285712</v>
      </c>
      <c r="H246" s="6">
        <v>45364</v>
      </c>
      <c r="I246" s="29">
        <v>291.45</v>
      </c>
      <c r="J246" s="30">
        <f t="shared" si="124"/>
        <v>2.6232394366197065E-2</v>
      </c>
      <c r="K246" s="35">
        <f t="shared" si="125"/>
        <v>126.64999999999964</v>
      </c>
      <c r="L246" s="21">
        <f t="shared" si="126"/>
        <v>1</v>
      </c>
      <c r="M246" s="9">
        <f t="shared" si="127"/>
        <v>1</v>
      </c>
      <c r="N246">
        <f t="shared" si="128"/>
        <v>126.64999999999964</v>
      </c>
      <c r="O246">
        <v>0</v>
      </c>
      <c r="P246" s="86"/>
      <c r="Q246" s="78"/>
      <c r="R246" s="28">
        <v>3211.17</v>
      </c>
    </row>
    <row r="247" spans="1:18">
      <c r="A247" s="6">
        <v>45362</v>
      </c>
      <c r="B247" t="s">
        <v>233</v>
      </c>
      <c r="C247" s="9">
        <v>7</v>
      </c>
      <c r="D247">
        <v>124.8</v>
      </c>
      <c r="E247" s="29">
        <v>150</v>
      </c>
      <c r="F247" s="50">
        <v>118</v>
      </c>
      <c r="G247" s="21">
        <f t="shared" ref="G247:G257" si="129" xml:space="preserve"> (E247 - F247)/(D247-F247)</f>
        <v>4.7058823529411784</v>
      </c>
      <c r="H247" s="6">
        <v>45638</v>
      </c>
      <c r="I247" s="16">
        <v>103.5</v>
      </c>
      <c r="J247" s="25">
        <f>I247/D247 -1</f>
        <v>-0.17067307692307687</v>
      </c>
      <c r="K247" s="36">
        <f>(C247*I247) - (C247*D247)</f>
        <v>-149.10000000000002</v>
      </c>
      <c r="L247" s="24">
        <f>H247-A247</f>
        <v>276</v>
      </c>
      <c r="M247" s="52">
        <f>IF(J247&gt;0,1,0)</f>
        <v>0</v>
      </c>
      <c r="N247" s="24">
        <f>IF(K247&gt;0, K247, 0)</f>
        <v>0</v>
      </c>
      <c r="O247" s="17">
        <f>IF(K247&lt;0, K247, 0)</f>
        <v>-149.10000000000002</v>
      </c>
      <c r="P247" s="86"/>
      <c r="Q247" s="78"/>
    </row>
    <row r="248" spans="1:18">
      <c r="A248" s="6">
        <v>45362</v>
      </c>
      <c r="B248" t="s">
        <v>746</v>
      </c>
      <c r="C248" s="9">
        <v>37</v>
      </c>
      <c r="D248">
        <v>10.6</v>
      </c>
      <c r="E248" s="29">
        <v>30</v>
      </c>
      <c r="F248" s="50">
        <v>10</v>
      </c>
      <c r="G248" s="21">
        <f t="shared" si="129"/>
        <v>33.33333333333335</v>
      </c>
      <c r="H248" s="6">
        <v>45420</v>
      </c>
      <c r="I248" s="29">
        <v>11.1</v>
      </c>
      <c r="J248" s="30">
        <f t="shared" ref="J248:J253" si="130">I248/D248 -1</f>
        <v>4.7169811320754818E-2</v>
      </c>
      <c r="K248" s="35">
        <f t="shared" ref="K248:K253" si="131">(C248*I248) - (C248*D248)</f>
        <v>18.5</v>
      </c>
      <c r="L248" s="21">
        <f t="shared" ref="L248:L253" si="132">H248-A248</f>
        <v>58</v>
      </c>
      <c r="M248" s="9">
        <f t="shared" ref="M248:M253" si="133">IF(J248&gt;0,1,0)</f>
        <v>1</v>
      </c>
      <c r="N248">
        <f t="shared" ref="N248:N253" si="134">IF(K248&gt;0, K248, 0)</f>
        <v>18.5</v>
      </c>
      <c r="O248">
        <v>0</v>
      </c>
      <c r="P248" s="86"/>
      <c r="Q248" s="78"/>
    </row>
    <row r="249" spans="1:18">
      <c r="A249" s="6">
        <v>45362</v>
      </c>
      <c r="B249" t="s">
        <v>224</v>
      </c>
      <c r="C249" s="9">
        <v>17</v>
      </c>
      <c r="D249">
        <v>273</v>
      </c>
      <c r="E249" s="29">
        <v>300</v>
      </c>
      <c r="F249" s="50">
        <v>265</v>
      </c>
      <c r="G249" s="21">
        <f t="shared" si="129"/>
        <v>4.375</v>
      </c>
      <c r="H249" s="6">
        <v>45373</v>
      </c>
      <c r="I249" s="29">
        <v>276.89999999999998</v>
      </c>
      <c r="J249" s="30">
        <f t="shared" si="130"/>
        <v>1.4285714285714235E-2</v>
      </c>
      <c r="K249" s="35">
        <f t="shared" si="131"/>
        <v>66.299999999999272</v>
      </c>
      <c r="L249" s="21">
        <f t="shared" si="132"/>
        <v>11</v>
      </c>
      <c r="M249" s="9">
        <f t="shared" si="133"/>
        <v>1</v>
      </c>
      <c r="N249">
        <f t="shared" si="134"/>
        <v>66.299999999999272</v>
      </c>
      <c r="O249">
        <v>0</v>
      </c>
      <c r="P249" s="86"/>
      <c r="Q249" s="78"/>
    </row>
    <row r="250" spans="1:18">
      <c r="A250" s="6">
        <v>45362</v>
      </c>
      <c r="B250" t="s">
        <v>783</v>
      </c>
      <c r="C250" s="9">
        <v>43</v>
      </c>
      <c r="D250">
        <v>64.599999999999994</v>
      </c>
      <c r="E250" s="29">
        <v>90</v>
      </c>
      <c r="F250" s="50">
        <v>61</v>
      </c>
      <c r="G250" s="21">
        <f xml:space="preserve"> (E250 - F250)/(D250-F250)</f>
        <v>8.0555555555555678</v>
      </c>
      <c r="H250" s="6">
        <v>45527</v>
      </c>
      <c r="I250" s="29">
        <v>69.144999999999996</v>
      </c>
      <c r="J250" s="30">
        <f t="shared" si="130"/>
        <v>7.035603715170291E-2</v>
      </c>
      <c r="K250" s="35">
        <f t="shared" si="131"/>
        <v>195.43499999999995</v>
      </c>
      <c r="L250" s="21">
        <f t="shared" si="132"/>
        <v>165</v>
      </c>
      <c r="M250" s="9">
        <f t="shared" si="133"/>
        <v>1</v>
      </c>
      <c r="N250">
        <f t="shared" si="134"/>
        <v>195.43499999999995</v>
      </c>
      <c r="O250">
        <v>0</v>
      </c>
      <c r="P250" s="86"/>
      <c r="Q250" s="78"/>
    </row>
    <row r="251" spans="1:18">
      <c r="A251" s="6">
        <v>45362</v>
      </c>
      <c r="B251" t="s">
        <v>783</v>
      </c>
      <c r="C251" s="9">
        <v>1</v>
      </c>
      <c r="D251">
        <v>64.61</v>
      </c>
      <c r="E251" s="29">
        <v>90</v>
      </c>
      <c r="F251" s="50">
        <v>61</v>
      </c>
      <c r="G251" s="21">
        <f xml:space="preserve"> (E251 - F251)/(D251-F251)</f>
        <v>8.0332409972299175</v>
      </c>
      <c r="H251" s="6">
        <v>45510</v>
      </c>
      <c r="I251" s="16">
        <v>53.02</v>
      </c>
      <c r="J251" s="25">
        <f t="shared" si="130"/>
        <v>-0.17938399628540469</v>
      </c>
      <c r="K251" s="36">
        <f t="shared" si="131"/>
        <v>-11.589999999999996</v>
      </c>
      <c r="L251" s="24">
        <f t="shared" si="132"/>
        <v>148</v>
      </c>
      <c r="M251" s="52">
        <f t="shared" si="133"/>
        <v>0</v>
      </c>
      <c r="N251" s="24">
        <f t="shared" si="134"/>
        <v>0</v>
      </c>
      <c r="O251" s="17">
        <f>IF(K251&lt;0, K251, 0)</f>
        <v>-11.589999999999996</v>
      </c>
      <c r="P251" s="86"/>
      <c r="Q251" s="78"/>
    </row>
    <row r="252" spans="1:18">
      <c r="A252" s="6">
        <v>45362</v>
      </c>
      <c r="B252" t="s">
        <v>783</v>
      </c>
      <c r="C252" s="9">
        <v>10</v>
      </c>
      <c r="D252">
        <v>62.77</v>
      </c>
      <c r="E252" s="29">
        <v>90</v>
      </c>
      <c r="F252" s="50">
        <v>61</v>
      </c>
      <c r="G252" s="21">
        <f xml:space="preserve"> (E252 - F252)/(D252-F252)</f>
        <v>16.384180790960421</v>
      </c>
      <c r="H252" s="6">
        <v>45474</v>
      </c>
      <c r="I252" s="16">
        <v>62.16</v>
      </c>
      <c r="J252" s="25">
        <f t="shared" si="130"/>
        <v>-9.7180181615422745E-3</v>
      </c>
      <c r="K252" s="36">
        <f t="shared" si="131"/>
        <v>-6.1000000000001364</v>
      </c>
      <c r="L252" s="24">
        <f t="shared" si="132"/>
        <v>112</v>
      </c>
      <c r="M252" s="52">
        <f t="shared" si="133"/>
        <v>0</v>
      </c>
      <c r="N252" s="24">
        <f t="shared" si="134"/>
        <v>0</v>
      </c>
      <c r="O252" s="17">
        <f>IF(K252&lt;0, K252, 0)</f>
        <v>-6.1000000000001364</v>
      </c>
      <c r="P252" s="86"/>
      <c r="Q252" s="78"/>
    </row>
    <row r="253" spans="1:18">
      <c r="A253" s="6">
        <v>45362</v>
      </c>
      <c r="B253" t="s">
        <v>783</v>
      </c>
      <c r="C253" s="9">
        <v>19</v>
      </c>
      <c r="D253">
        <v>64.75</v>
      </c>
      <c r="E253" s="29">
        <v>90</v>
      </c>
      <c r="F253" s="50">
        <v>61</v>
      </c>
      <c r="G253" s="21">
        <f t="shared" si="129"/>
        <v>7.7333333333333334</v>
      </c>
      <c r="H253" s="6">
        <v>45441</v>
      </c>
      <c r="I253" s="16">
        <v>56</v>
      </c>
      <c r="J253" s="25">
        <f t="shared" si="130"/>
        <v>-0.13513513513513509</v>
      </c>
      <c r="K253" s="36">
        <f t="shared" si="131"/>
        <v>-166.25</v>
      </c>
      <c r="L253" s="24">
        <f t="shared" si="132"/>
        <v>79</v>
      </c>
      <c r="M253" s="52">
        <f t="shared" si="133"/>
        <v>0</v>
      </c>
      <c r="N253" s="24">
        <f t="shared" si="134"/>
        <v>0</v>
      </c>
      <c r="O253" s="17">
        <f>IF(K253&lt;0, K253, 0)</f>
        <v>-166.25</v>
      </c>
      <c r="P253" s="86"/>
      <c r="Q253" s="78"/>
    </row>
    <row r="254" spans="1:18">
      <c r="A254" s="6">
        <v>45362</v>
      </c>
      <c r="B254" s="61" t="s">
        <v>227</v>
      </c>
      <c r="C254" s="9">
        <v>8</v>
      </c>
      <c r="D254">
        <v>554.35</v>
      </c>
      <c r="E254" s="29">
        <v>600</v>
      </c>
      <c r="F254" s="50">
        <v>550</v>
      </c>
      <c r="G254" s="21">
        <f t="shared" si="129"/>
        <v>11.494252873563159</v>
      </c>
      <c r="H254" s="6">
        <v>45363</v>
      </c>
      <c r="I254" s="29">
        <v>576.70000000000005</v>
      </c>
      <c r="J254" s="30">
        <f t="shared" ref="J254:J259" si="135">I254/D254 -1</f>
        <v>4.0317488951023828E-2</v>
      </c>
      <c r="K254" s="35">
        <f t="shared" ref="K254:K259" si="136">(C254*I254) - (C254*D254)</f>
        <v>178.80000000000018</v>
      </c>
      <c r="L254" s="21">
        <f t="shared" ref="L254:L259" si="137">H254-A254</f>
        <v>1</v>
      </c>
      <c r="M254" s="9">
        <f t="shared" ref="M254:M259" si="138">IF(J254&gt;0,1,0)</f>
        <v>1</v>
      </c>
      <c r="N254">
        <f t="shared" ref="N254:N259" si="139">IF(K254&gt;0, K254, 0)</f>
        <v>178.80000000000018</v>
      </c>
      <c r="O254">
        <v>0</v>
      </c>
      <c r="P254" s="86"/>
      <c r="Q254" s="78"/>
    </row>
    <row r="255" spans="1:18">
      <c r="A255" s="6">
        <v>45362</v>
      </c>
      <c r="B255" s="61" t="s">
        <v>521</v>
      </c>
      <c r="C255" s="9">
        <v>35</v>
      </c>
      <c r="D255">
        <v>137.9</v>
      </c>
      <c r="E255" s="29">
        <v>150</v>
      </c>
      <c r="F255" s="50">
        <v>130</v>
      </c>
      <c r="G255" s="21">
        <f t="shared" si="129"/>
        <v>2.5316455696202516</v>
      </c>
      <c r="H255" s="6">
        <v>45365</v>
      </c>
      <c r="I255" s="29">
        <v>143.31</v>
      </c>
      <c r="J255" s="30">
        <f t="shared" si="135"/>
        <v>3.9231327048586007E-2</v>
      </c>
      <c r="K255" s="35">
        <f t="shared" si="136"/>
        <v>189.35000000000036</v>
      </c>
      <c r="L255" s="21">
        <f t="shared" si="137"/>
        <v>3</v>
      </c>
      <c r="M255" s="9">
        <f t="shared" si="138"/>
        <v>1</v>
      </c>
      <c r="N255">
        <f t="shared" si="139"/>
        <v>189.35000000000036</v>
      </c>
      <c r="O255">
        <v>0</v>
      </c>
      <c r="P255" s="86"/>
      <c r="Q255" s="78"/>
    </row>
    <row r="256" spans="1:18">
      <c r="A256" s="6">
        <v>45362</v>
      </c>
      <c r="B256" t="s">
        <v>708</v>
      </c>
      <c r="C256" s="9">
        <v>16</v>
      </c>
      <c r="D256">
        <v>268</v>
      </c>
      <c r="E256" s="29">
        <v>325</v>
      </c>
      <c r="F256" s="50">
        <v>263</v>
      </c>
      <c r="G256" s="21">
        <f t="shared" si="129"/>
        <v>12.4</v>
      </c>
      <c r="H256" s="6">
        <v>45366</v>
      </c>
      <c r="I256" s="29">
        <v>268.27</v>
      </c>
      <c r="J256" s="30">
        <f t="shared" si="135"/>
        <v>1.00746268656704E-3</v>
      </c>
      <c r="K256" s="35">
        <f t="shared" si="136"/>
        <v>4.319999999999709</v>
      </c>
      <c r="L256" s="21">
        <f t="shared" si="137"/>
        <v>4</v>
      </c>
      <c r="M256" s="9">
        <f t="shared" si="138"/>
        <v>1</v>
      </c>
      <c r="N256">
        <f t="shared" si="139"/>
        <v>4.319999999999709</v>
      </c>
      <c r="O256">
        <v>0</v>
      </c>
      <c r="P256" s="86"/>
      <c r="Q256" s="78"/>
      <c r="R256" s="28">
        <v>3276.56</v>
      </c>
    </row>
    <row r="257" spans="1:18">
      <c r="A257" s="6">
        <v>45358</v>
      </c>
      <c r="B257" t="s">
        <v>785</v>
      </c>
      <c r="C257" s="9">
        <v>114</v>
      </c>
      <c r="D257">
        <v>1.42</v>
      </c>
      <c r="E257" s="29">
        <v>2</v>
      </c>
      <c r="F257" s="50">
        <v>1.35</v>
      </c>
      <c r="G257" s="21">
        <f t="shared" si="129"/>
        <v>9.285714285714306</v>
      </c>
      <c r="H257" s="6">
        <v>45412</v>
      </c>
      <c r="I257" s="16">
        <v>0.9</v>
      </c>
      <c r="J257" s="25">
        <f t="shared" si="135"/>
        <v>-0.36619718309859151</v>
      </c>
      <c r="K257" s="36">
        <f t="shared" si="136"/>
        <v>-59.279999999999987</v>
      </c>
      <c r="L257" s="24">
        <f t="shared" si="137"/>
        <v>54</v>
      </c>
      <c r="M257" s="52">
        <f t="shared" si="138"/>
        <v>0</v>
      </c>
      <c r="N257" s="24">
        <f t="shared" si="139"/>
        <v>0</v>
      </c>
      <c r="O257" s="17">
        <f>IF(K257&lt;0, K257, 0)</f>
        <v>-59.279999999999987</v>
      </c>
      <c r="P257" s="86"/>
      <c r="Q257" s="78"/>
      <c r="R257" s="28"/>
    </row>
    <row r="258" spans="1:18">
      <c r="A258" s="6">
        <v>45358</v>
      </c>
      <c r="B258" t="s">
        <v>785</v>
      </c>
      <c r="C258" s="9">
        <v>353</v>
      </c>
      <c r="D258">
        <v>1.42</v>
      </c>
      <c r="E258" s="29">
        <v>2</v>
      </c>
      <c r="F258" s="50">
        <v>1.35</v>
      </c>
      <c r="G258" s="21">
        <f t="shared" ref="G258:G265" si="140" xml:space="preserve"> (E258 - F258)/(D258-F258)</f>
        <v>9.285714285714306</v>
      </c>
      <c r="H258" s="6">
        <v>45407</v>
      </c>
      <c r="I258" s="16">
        <v>0.92</v>
      </c>
      <c r="J258" s="25">
        <f t="shared" si="135"/>
        <v>-0.352112676056338</v>
      </c>
      <c r="K258" s="36">
        <f t="shared" si="136"/>
        <v>-176.5</v>
      </c>
      <c r="L258" s="24">
        <f t="shared" si="137"/>
        <v>49</v>
      </c>
      <c r="M258" s="52">
        <f t="shared" si="138"/>
        <v>0</v>
      </c>
      <c r="N258" s="24">
        <f t="shared" si="139"/>
        <v>0</v>
      </c>
      <c r="O258" s="17">
        <f>IF(K258&lt;0, K258, 0)</f>
        <v>-176.5</v>
      </c>
      <c r="P258" s="86"/>
      <c r="Q258" s="78"/>
      <c r="R258" s="28">
        <v>3317.51</v>
      </c>
    </row>
    <row r="259" spans="1:18">
      <c r="A259" s="6">
        <v>45358</v>
      </c>
      <c r="B259" t="s">
        <v>287</v>
      </c>
      <c r="C259" s="9">
        <v>20</v>
      </c>
      <c r="D259">
        <v>62.81</v>
      </c>
      <c r="E259" s="29">
        <v>70</v>
      </c>
      <c r="F259" s="50">
        <v>58</v>
      </c>
      <c r="G259" s="21">
        <f xml:space="preserve"> (E259 - F259)/(D259-F259)</f>
        <v>2.4948024948024936</v>
      </c>
      <c r="H259" s="6">
        <v>45399</v>
      </c>
      <c r="I259" s="16">
        <v>54</v>
      </c>
      <c r="J259" s="25">
        <f t="shared" si="135"/>
        <v>-0.14026428912593536</v>
      </c>
      <c r="K259" s="36">
        <f t="shared" si="136"/>
        <v>-176.20000000000005</v>
      </c>
      <c r="L259" s="24">
        <f t="shared" si="137"/>
        <v>41</v>
      </c>
      <c r="M259" s="52">
        <f t="shared" si="138"/>
        <v>0</v>
      </c>
      <c r="N259" s="24">
        <f t="shared" si="139"/>
        <v>0</v>
      </c>
      <c r="O259" s="17">
        <f>IF(K259&lt;0, K259, 0)</f>
        <v>-176.20000000000005</v>
      </c>
      <c r="P259" s="86"/>
      <c r="Q259" s="78"/>
      <c r="R259" s="28"/>
    </row>
    <row r="260" spans="1:18">
      <c r="A260" s="6">
        <v>45358</v>
      </c>
      <c r="B260" t="s">
        <v>287</v>
      </c>
      <c r="C260" s="9">
        <v>58</v>
      </c>
      <c r="D260">
        <v>62.48</v>
      </c>
      <c r="E260" s="29">
        <v>70</v>
      </c>
      <c r="F260" s="50">
        <v>58</v>
      </c>
      <c r="G260" s="21">
        <f t="shared" si="140"/>
        <v>2.6785714285714306</v>
      </c>
      <c r="H260" s="6">
        <v>45429</v>
      </c>
      <c r="I260" s="29">
        <v>62.85</v>
      </c>
      <c r="J260" s="30">
        <f>I260/D260 -1</f>
        <v>5.9218950064021669E-3</v>
      </c>
      <c r="K260" s="35">
        <f>(C260*I260) - (C260*D260)</f>
        <v>21.460000000000491</v>
      </c>
      <c r="L260" s="21">
        <f>H260-A260</f>
        <v>71</v>
      </c>
      <c r="M260" s="9">
        <f>IF(J260&gt;0,1,0)</f>
        <v>1</v>
      </c>
      <c r="N260">
        <f>IF(K260&gt;0, K260, 0)</f>
        <v>21.460000000000491</v>
      </c>
      <c r="O260">
        <v>0</v>
      </c>
      <c r="P260" s="86"/>
      <c r="Q260" s="78"/>
    </row>
    <row r="261" spans="1:18">
      <c r="A261" s="6">
        <v>45358</v>
      </c>
      <c r="B261" s="22" t="s">
        <v>631</v>
      </c>
      <c r="C261" s="57">
        <v>200</v>
      </c>
      <c r="D261">
        <v>0.77</v>
      </c>
      <c r="E261" s="29">
        <v>3</v>
      </c>
      <c r="F261" s="50">
        <v>0.4</v>
      </c>
      <c r="G261" s="21">
        <f xml:space="preserve"> (E261 - F261)/(D261-F261)</f>
        <v>7.0270270270270272</v>
      </c>
      <c r="H261" s="6">
        <v>45401</v>
      </c>
      <c r="I261" s="29">
        <v>1.08</v>
      </c>
      <c r="J261" s="30">
        <f t="shared" ref="J261:J269" si="141">I261/D261 -1</f>
        <v>0.40259740259740262</v>
      </c>
      <c r="K261" s="35">
        <f t="shared" ref="K261:K269" si="142">(C261*I261) - (C261*D261)</f>
        <v>62</v>
      </c>
      <c r="L261" s="21">
        <f t="shared" ref="L261:L269" si="143">H261-A261</f>
        <v>43</v>
      </c>
      <c r="M261" s="9">
        <f t="shared" ref="M261:M269" si="144">IF(J261&gt;0,1,0)</f>
        <v>1</v>
      </c>
      <c r="N261">
        <f t="shared" ref="N261:N269" si="145">IF(K261&gt;0, K261, 0)</f>
        <v>62</v>
      </c>
      <c r="O261">
        <v>0</v>
      </c>
      <c r="P261" s="86"/>
      <c r="Q261" s="78"/>
    </row>
    <row r="262" spans="1:18">
      <c r="A262" s="6">
        <v>45358</v>
      </c>
      <c r="B262" s="22" t="s">
        <v>631</v>
      </c>
      <c r="C262" s="57">
        <v>200</v>
      </c>
      <c r="D262">
        <v>0.77</v>
      </c>
      <c r="E262" s="29">
        <v>3</v>
      </c>
      <c r="F262" s="50">
        <v>0.4</v>
      </c>
      <c r="G262" s="21">
        <f t="shared" si="140"/>
        <v>7.0270270270270272</v>
      </c>
      <c r="H262" s="6">
        <v>45371</v>
      </c>
      <c r="I262" s="29">
        <v>1.72</v>
      </c>
      <c r="J262" s="30">
        <f t="shared" si="141"/>
        <v>1.2337662337662336</v>
      </c>
      <c r="K262" s="35">
        <f t="shared" si="142"/>
        <v>190</v>
      </c>
      <c r="L262" s="21">
        <f t="shared" si="143"/>
        <v>13</v>
      </c>
      <c r="M262" s="9">
        <f t="shared" si="144"/>
        <v>1</v>
      </c>
      <c r="N262">
        <f t="shared" si="145"/>
        <v>190</v>
      </c>
      <c r="O262">
        <v>0</v>
      </c>
      <c r="P262" s="86"/>
      <c r="Q262" s="78"/>
    </row>
    <row r="263" spans="1:18">
      <c r="A263" s="6">
        <v>45358</v>
      </c>
      <c r="B263" s="61" t="s">
        <v>521</v>
      </c>
      <c r="C263" s="9">
        <v>32</v>
      </c>
      <c r="D263">
        <v>134.33000000000001</v>
      </c>
      <c r="E263" s="29">
        <v>150</v>
      </c>
      <c r="F263" s="50">
        <v>130</v>
      </c>
      <c r="G263" s="21">
        <f t="shared" si="140"/>
        <v>4.6189376443417878</v>
      </c>
      <c r="H263" s="6">
        <v>45359</v>
      </c>
      <c r="I263" s="29">
        <v>135.41</v>
      </c>
      <c r="J263" s="30">
        <f t="shared" si="141"/>
        <v>8.0399017345342827E-3</v>
      </c>
      <c r="K263" s="35">
        <f t="shared" si="142"/>
        <v>34.559999999999491</v>
      </c>
      <c r="L263" s="21">
        <f t="shared" si="143"/>
        <v>1</v>
      </c>
      <c r="M263" s="9">
        <f t="shared" si="144"/>
        <v>1</v>
      </c>
      <c r="N263">
        <f t="shared" si="145"/>
        <v>34.559999999999491</v>
      </c>
      <c r="O263">
        <v>0</v>
      </c>
      <c r="P263" s="86"/>
      <c r="Q263" s="78"/>
    </row>
    <row r="264" spans="1:18">
      <c r="A264" s="6">
        <v>45358</v>
      </c>
      <c r="B264" s="61" t="s">
        <v>227</v>
      </c>
      <c r="C264" s="9">
        <v>7</v>
      </c>
      <c r="D264">
        <v>555</v>
      </c>
      <c r="E264" s="29">
        <v>600</v>
      </c>
      <c r="F264" s="50">
        <v>538</v>
      </c>
      <c r="G264" s="21">
        <f t="shared" si="140"/>
        <v>3.6470588235294117</v>
      </c>
      <c r="H264" s="6">
        <v>45359</v>
      </c>
      <c r="I264" s="16">
        <v>551.69000000000005</v>
      </c>
      <c r="J264" s="25">
        <f t="shared" si="141"/>
        <v>-5.9639639639638142E-3</v>
      </c>
      <c r="K264" s="36">
        <f t="shared" si="142"/>
        <v>-23.169999999999618</v>
      </c>
      <c r="L264" s="24">
        <f t="shared" si="143"/>
        <v>1</v>
      </c>
      <c r="M264" s="52">
        <f t="shared" si="144"/>
        <v>0</v>
      </c>
      <c r="N264" s="24">
        <f t="shared" si="145"/>
        <v>0</v>
      </c>
      <c r="O264" s="17">
        <f>IF(K264&lt;0, K264, 0)</f>
        <v>-23.169999999999618</v>
      </c>
      <c r="P264" s="86"/>
      <c r="Q264" s="78"/>
    </row>
    <row r="265" spans="1:18">
      <c r="A265" s="6">
        <v>45358</v>
      </c>
      <c r="B265" t="s">
        <v>87</v>
      </c>
      <c r="C265" s="9">
        <v>29</v>
      </c>
      <c r="D265">
        <v>170.94</v>
      </c>
      <c r="E265" s="29">
        <v>260</v>
      </c>
      <c r="F265" s="50">
        <v>160</v>
      </c>
      <c r="G265" s="21">
        <f t="shared" si="140"/>
        <v>9.1407678244972601</v>
      </c>
      <c r="H265" s="6">
        <v>45371</v>
      </c>
      <c r="I265" s="29">
        <v>175.05</v>
      </c>
      <c r="J265" s="30">
        <f t="shared" si="141"/>
        <v>2.4043524043524167E-2</v>
      </c>
      <c r="K265" s="35">
        <f t="shared" si="142"/>
        <v>119.19000000000051</v>
      </c>
      <c r="L265" s="21">
        <f t="shared" si="143"/>
        <v>13</v>
      </c>
      <c r="M265" s="9">
        <f t="shared" si="144"/>
        <v>1</v>
      </c>
      <c r="N265">
        <f t="shared" si="145"/>
        <v>119.19000000000051</v>
      </c>
      <c r="O265">
        <v>0</v>
      </c>
      <c r="P265" s="86"/>
      <c r="Q265" s="78"/>
      <c r="R265" s="28">
        <v>3132.9</v>
      </c>
    </row>
    <row r="266" spans="1:18">
      <c r="A266" s="6">
        <v>45357</v>
      </c>
      <c r="B266" s="61" t="s">
        <v>696</v>
      </c>
      <c r="C266" s="9">
        <v>14</v>
      </c>
      <c r="D266">
        <v>325.62</v>
      </c>
      <c r="E266" s="29">
        <v>400</v>
      </c>
      <c r="F266" s="50">
        <v>320</v>
      </c>
      <c r="G266" s="21">
        <f t="shared" ref="G266:G282" si="146" xml:space="preserve"> (E266 - F266)/(D266-F266)</f>
        <v>14.234875444839846</v>
      </c>
      <c r="H266" s="6">
        <v>45359</v>
      </c>
      <c r="I266" s="16">
        <v>322.85000000000002</v>
      </c>
      <c r="J266" s="25">
        <f t="shared" si="141"/>
        <v>-8.5068484736808836E-3</v>
      </c>
      <c r="K266" s="36">
        <f t="shared" si="142"/>
        <v>-38.779999999999745</v>
      </c>
      <c r="L266" s="24">
        <f t="shared" si="143"/>
        <v>2</v>
      </c>
      <c r="M266" s="52">
        <f t="shared" si="144"/>
        <v>0</v>
      </c>
      <c r="N266" s="24">
        <f t="shared" si="145"/>
        <v>0</v>
      </c>
      <c r="O266" s="17">
        <f>IF(K266&lt;0, K266, 0)</f>
        <v>-38.779999999999745</v>
      </c>
      <c r="P266" s="86"/>
      <c r="Q266" s="78"/>
    </row>
    <row r="267" spans="1:18">
      <c r="A267" s="6">
        <v>45357</v>
      </c>
      <c r="B267" t="s">
        <v>287</v>
      </c>
      <c r="C267" s="9">
        <v>75</v>
      </c>
      <c r="D267">
        <v>59.9</v>
      </c>
      <c r="E267" s="29">
        <v>70</v>
      </c>
      <c r="F267" s="50">
        <v>58</v>
      </c>
      <c r="G267" s="21">
        <f t="shared" si="146"/>
        <v>6.3157894736842151</v>
      </c>
      <c r="H267" s="6">
        <v>45358</v>
      </c>
      <c r="I267" s="29">
        <v>62.8</v>
      </c>
      <c r="J267" s="30">
        <f t="shared" si="141"/>
        <v>4.8414023372287174E-2</v>
      </c>
      <c r="K267" s="35">
        <f t="shared" si="142"/>
        <v>217.5</v>
      </c>
      <c r="L267" s="21">
        <f t="shared" si="143"/>
        <v>1</v>
      </c>
      <c r="M267" s="9">
        <f t="shared" si="144"/>
        <v>1</v>
      </c>
      <c r="N267">
        <f t="shared" si="145"/>
        <v>217.5</v>
      </c>
      <c r="O267">
        <v>0</v>
      </c>
      <c r="P267" s="86"/>
      <c r="Q267" s="78"/>
      <c r="R267" s="28">
        <v>3213.7</v>
      </c>
    </row>
    <row r="268" spans="1:18">
      <c r="A268" s="6">
        <v>45356</v>
      </c>
      <c r="B268" t="s">
        <v>94</v>
      </c>
      <c r="C268" s="9">
        <v>5</v>
      </c>
      <c r="D268">
        <v>170</v>
      </c>
      <c r="E268" s="29">
        <v>190</v>
      </c>
      <c r="F268" s="50">
        <v>160</v>
      </c>
      <c r="G268" s="21">
        <f t="shared" si="146"/>
        <v>3</v>
      </c>
      <c r="H268" s="6">
        <v>45420</v>
      </c>
      <c r="I268" s="29">
        <v>183.03</v>
      </c>
      <c r="J268" s="30">
        <f t="shared" si="141"/>
        <v>7.6647058823529512E-2</v>
      </c>
      <c r="K268" s="35">
        <f t="shared" si="142"/>
        <v>65.149999999999977</v>
      </c>
      <c r="L268" s="21">
        <f t="shared" si="143"/>
        <v>64</v>
      </c>
      <c r="M268" s="9">
        <f t="shared" si="144"/>
        <v>1</v>
      </c>
      <c r="N268">
        <f t="shared" si="145"/>
        <v>65.149999999999977</v>
      </c>
      <c r="O268">
        <v>0</v>
      </c>
      <c r="P268" s="86"/>
      <c r="Q268" s="78"/>
    </row>
    <row r="269" spans="1:18">
      <c r="A269" s="6">
        <v>45356</v>
      </c>
      <c r="B269" t="s">
        <v>370</v>
      </c>
      <c r="C269" s="9">
        <v>29</v>
      </c>
      <c r="D269">
        <v>17</v>
      </c>
      <c r="E269" s="29">
        <v>20</v>
      </c>
      <c r="F269" s="50">
        <v>16</v>
      </c>
      <c r="G269" s="21">
        <f t="shared" si="146"/>
        <v>4</v>
      </c>
      <c r="H269" s="6">
        <v>45373</v>
      </c>
      <c r="I269" s="29">
        <v>19.07</v>
      </c>
      <c r="J269" s="30">
        <f t="shared" si="141"/>
        <v>0.121764705882353</v>
      </c>
      <c r="K269" s="35">
        <f t="shared" si="142"/>
        <v>60.029999999999973</v>
      </c>
      <c r="L269" s="21">
        <f t="shared" si="143"/>
        <v>17</v>
      </c>
      <c r="M269" s="9">
        <f t="shared" si="144"/>
        <v>1</v>
      </c>
      <c r="N269">
        <f t="shared" si="145"/>
        <v>60.029999999999973</v>
      </c>
      <c r="O269">
        <v>0</v>
      </c>
      <c r="P269" s="86"/>
      <c r="Q269" s="78"/>
    </row>
    <row r="270" spans="1:18">
      <c r="A270" s="6">
        <v>45355</v>
      </c>
      <c r="B270" t="s">
        <v>779</v>
      </c>
      <c r="C270" s="9">
        <v>486</v>
      </c>
      <c r="D270">
        <v>1.42</v>
      </c>
      <c r="E270" s="29">
        <v>3</v>
      </c>
      <c r="F270" s="50">
        <v>1.6</v>
      </c>
      <c r="G270" s="21">
        <f t="shared" si="146"/>
        <v>-7.7777777777777706</v>
      </c>
      <c r="H270" s="6">
        <v>45611</v>
      </c>
      <c r="I270" s="29">
        <v>1.94</v>
      </c>
      <c r="J270" s="30">
        <f>I270/D270 -1</f>
        <v>0.36619718309859151</v>
      </c>
      <c r="K270" s="35">
        <f>(C270*I270) - (C270*D270)</f>
        <v>252.71999999999991</v>
      </c>
      <c r="L270" s="21">
        <f>H270-A270</f>
        <v>256</v>
      </c>
      <c r="M270" s="9">
        <f>IF(J270&gt;0,1,0)</f>
        <v>1</v>
      </c>
      <c r="N270">
        <f>IF(K270&gt;0, K270, 0)</f>
        <v>252.71999999999991</v>
      </c>
      <c r="O270">
        <v>0</v>
      </c>
      <c r="P270" s="86"/>
      <c r="Q270" s="78"/>
    </row>
    <row r="271" spans="1:18">
      <c r="A271" s="6">
        <v>45355</v>
      </c>
      <c r="B271" s="61" t="s">
        <v>696</v>
      </c>
      <c r="C271" s="9">
        <v>14</v>
      </c>
      <c r="D271">
        <v>315.10000000000002</v>
      </c>
      <c r="E271" s="29">
        <v>350</v>
      </c>
      <c r="F271" s="50">
        <v>300</v>
      </c>
      <c r="G271" s="21">
        <f t="shared" si="146"/>
        <v>3.3112582781456905</v>
      </c>
      <c r="H271" s="6">
        <v>45357</v>
      </c>
      <c r="I271" s="29">
        <v>325.89999999999998</v>
      </c>
      <c r="J271" s="30">
        <f t="shared" ref="J271:J277" si="147">I271/D271 -1</f>
        <v>3.4274833386226389E-2</v>
      </c>
      <c r="K271" s="35">
        <f t="shared" ref="K271:K277" si="148">(C271*I271) - (C271*D271)</f>
        <v>151.19999999999891</v>
      </c>
      <c r="L271" s="21">
        <f t="shared" ref="L271:L277" si="149">H271-A271</f>
        <v>2</v>
      </c>
      <c r="M271" s="9">
        <f t="shared" ref="M271:M277" si="150">IF(J271&gt;0,1,0)</f>
        <v>1</v>
      </c>
      <c r="N271">
        <f t="shared" ref="N271:N277" si="151">IF(K271&gt;0, K271, 0)</f>
        <v>151.19999999999891</v>
      </c>
      <c r="O271">
        <v>0</v>
      </c>
      <c r="P271" s="86"/>
      <c r="Q271" s="78"/>
    </row>
    <row r="272" spans="1:18">
      <c r="A272" s="6">
        <v>45355</v>
      </c>
      <c r="B272" t="s">
        <v>426</v>
      </c>
      <c r="C272" s="9">
        <v>8</v>
      </c>
      <c r="D272">
        <v>415</v>
      </c>
      <c r="E272" s="29">
        <v>450</v>
      </c>
      <c r="F272" s="50">
        <v>400</v>
      </c>
      <c r="G272" s="21">
        <f t="shared" si="146"/>
        <v>3.3333333333333335</v>
      </c>
      <c r="H272" s="6">
        <v>45366</v>
      </c>
      <c r="I272" s="29">
        <v>416.42</v>
      </c>
      <c r="J272" s="30">
        <f t="shared" si="147"/>
        <v>3.4216867469880619E-3</v>
      </c>
      <c r="K272" s="35">
        <f t="shared" si="148"/>
        <v>11.360000000000127</v>
      </c>
      <c r="L272" s="21">
        <f t="shared" si="149"/>
        <v>11</v>
      </c>
      <c r="M272" s="9">
        <f t="shared" si="150"/>
        <v>1</v>
      </c>
      <c r="N272">
        <f t="shared" si="151"/>
        <v>11.360000000000127</v>
      </c>
      <c r="O272">
        <v>0</v>
      </c>
      <c r="P272" s="86"/>
      <c r="Q272" s="78"/>
      <c r="R272" s="28">
        <v>2882.38</v>
      </c>
    </row>
    <row r="273" spans="1:20">
      <c r="A273" s="6">
        <v>45350</v>
      </c>
      <c r="B273" t="s">
        <v>87</v>
      </c>
      <c r="C273" s="9">
        <v>23</v>
      </c>
      <c r="D273">
        <v>203</v>
      </c>
      <c r="E273" s="29">
        <v>250</v>
      </c>
      <c r="F273" s="50">
        <v>190</v>
      </c>
      <c r="G273" s="21">
        <f t="shared" si="146"/>
        <v>4.615384615384615</v>
      </c>
      <c r="H273" s="6">
        <v>45352</v>
      </c>
      <c r="I273" s="29">
        <v>203.1</v>
      </c>
      <c r="J273" s="30">
        <f t="shared" si="147"/>
        <v>4.9261083743834533E-4</v>
      </c>
      <c r="K273" s="35">
        <f t="shared" si="148"/>
        <v>2.3000000000001819</v>
      </c>
      <c r="L273" s="21">
        <f t="shared" si="149"/>
        <v>2</v>
      </c>
      <c r="M273" s="9">
        <f t="shared" si="150"/>
        <v>1</v>
      </c>
      <c r="N273">
        <f t="shared" si="151"/>
        <v>2.3000000000001819</v>
      </c>
      <c r="O273">
        <v>0</v>
      </c>
      <c r="P273" s="86"/>
      <c r="Q273" s="78"/>
      <c r="R273" s="28">
        <v>2736.35</v>
      </c>
      <c r="S273" s="16">
        <v>509.12</v>
      </c>
      <c r="T273">
        <v>2</v>
      </c>
    </row>
    <row r="274" spans="1:20">
      <c r="A274" s="6">
        <v>45350</v>
      </c>
      <c r="B274" t="s">
        <v>233</v>
      </c>
      <c r="C274" s="9">
        <v>6</v>
      </c>
      <c r="D274">
        <v>130.91</v>
      </c>
      <c r="E274" s="29">
        <v>150</v>
      </c>
      <c r="F274" s="50">
        <v>125</v>
      </c>
      <c r="G274" s="21">
        <f t="shared" si="146"/>
        <v>4.2301184433164156</v>
      </c>
      <c r="H274" s="6">
        <v>45352</v>
      </c>
      <c r="I274" s="29">
        <v>142.5</v>
      </c>
      <c r="J274" s="30">
        <f t="shared" si="147"/>
        <v>8.8534107402032047E-2</v>
      </c>
      <c r="K274" s="35">
        <f t="shared" si="148"/>
        <v>69.539999999999964</v>
      </c>
      <c r="L274" s="21">
        <f t="shared" si="149"/>
        <v>2</v>
      </c>
      <c r="M274" s="9">
        <f t="shared" si="150"/>
        <v>1</v>
      </c>
      <c r="N274">
        <f t="shared" si="151"/>
        <v>69.539999999999964</v>
      </c>
      <c r="O274">
        <v>0</v>
      </c>
      <c r="P274" s="86"/>
      <c r="Q274" s="78"/>
      <c r="S274" s="28">
        <v>-55.52</v>
      </c>
    </row>
    <row r="275" spans="1:20">
      <c r="A275" s="6">
        <v>45349</v>
      </c>
      <c r="B275" t="s">
        <v>725</v>
      </c>
      <c r="C275" s="9">
        <v>21</v>
      </c>
      <c r="D275">
        <v>48.32</v>
      </c>
      <c r="E275" s="29">
        <v>52.5</v>
      </c>
      <c r="F275" s="50">
        <v>47.5</v>
      </c>
      <c r="G275" s="21">
        <f t="shared" si="146"/>
        <v>6.0975609756097544</v>
      </c>
      <c r="H275" s="6">
        <v>45376</v>
      </c>
      <c r="I275" s="29">
        <v>49.7</v>
      </c>
      <c r="J275" s="30">
        <f t="shared" si="147"/>
        <v>2.8559602649006699E-2</v>
      </c>
      <c r="K275" s="35">
        <f t="shared" si="148"/>
        <v>28.980000000000018</v>
      </c>
      <c r="L275" s="21">
        <f t="shared" si="149"/>
        <v>27</v>
      </c>
      <c r="M275" s="9">
        <f t="shared" si="150"/>
        <v>1</v>
      </c>
      <c r="N275">
        <f t="shared" si="151"/>
        <v>28.980000000000018</v>
      </c>
      <c r="O275">
        <v>0</v>
      </c>
      <c r="P275" s="86"/>
      <c r="Q275" s="78"/>
    </row>
    <row r="276" spans="1:20">
      <c r="A276" s="6">
        <v>45349</v>
      </c>
      <c r="B276" s="22" t="s">
        <v>438</v>
      </c>
      <c r="C276" s="57">
        <v>100</v>
      </c>
      <c r="D276">
        <v>0.97</v>
      </c>
      <c r="E276" s="29">
        <v>2.5</v>
      </c>
      <c r="F276" s="50">
        <v>0.5</v>
      </c>
      <c r="G276" s="21">
        <f t="shared" si="146"/>
        <v>4.2553191489361701</v>
      </c>
      <c r="H276" s="6">
        <v>45358</v>
      </c>
      <c r="I276" s="29">
        <v>2.9</v>
      </c>
      <c r="J276" s="30">
        <f t="shared" si="147"/>
        <v>1.9896907216494846</v>
      </c>
      <c r="K276" s="35">
        <f t="shared" si="148"/>
        <v>193</v>
      </c>
      <c r="L276" s="21">
        <f t="shared" si="149"/>
        <v>9</v>
      </c>
      <c r="M276" s="9">
        <f t="shared" si="150"/>
        <v>1</v>
      </c>
      <c r="N276">
        <f t="shared" si="151"/>
        <v>193</v>
      </c>
      <c r="O276">
        <v>0</v>
      </c>
      <c r="P276" s="86"/>
      <c r="Q276" s="78"/>
    </row>
    <row r="277" spans="1:20">
      <c r="A277" s="6">
        <v>45349</v>
      </c>
      <c r="B277" s="22" t="s">
        <v>438</v>
      </c>
      <c r="C277" s="57">
        <v>100</v>
      </c>
      <c r="D277">
        <v>0.97</v>
      </c>
      <c r="E277" s="29">
        <v>2.5</v>
      </c>
      <c r="F277" s="50">
        <v>0.5</v>
      </c>
      <c r="G277" s="21">
        <f t="shared" si="146"/>
        <v>4.2553191489361701</v>
      </c>
      <c r="H277" s="6">
        <v>45355</v>
      </c>
      <c r="I277" s="29">
        <v>2.09</v>
      </c>
      <c r="J277" s="30">
        <f t="shared" si="147"/>
        <v>1.1546391752577319</v>
      </c>
      <c r="K277" s="35">
        <f t="shared" si="148"/>
        <v>112</v>
      </c>
      <c r="L277" s="21">
        <f t="shared" si="149"/>
        <v>6</v>
      </c>
      <c r="M277" s="9">
        <f t="shared" si="150"/>
        <v>1</v>
      </c>
      <c r="N277">
        <f t="shared" si="151"/>
        <v>112</v>
      </c>
      <c r="O277">
        <v>0</v>
      </c>
      <c r="P277" s="86"/>
      <c r="Q277" s="78"/>
      <c r="R277" s="28">
        <v>2342.5100000000002</v>
      </c>
    </row>
    <row r="278" spans="1:20">
      <c r="A278" s="6">
        <v>45348</v>
      </c>
      <c r="B278" t="s">
        <v>784</v>
      </c>
      <c r="C278" s="9">
        <v>66</v>
      </c>
      <c r="D278">
        <v>65</v>
      </c>
      <c r="E278" s="29">
        <v>90</v>
      </c>
      <c r="F278" s="50">
        <v>60</v>
      </c>
      <c r="G278" s="21">
        <f t="shared" si="146"/>
        <v>6</v>
      </c>
      <c r="H278" s="6">
        <v>45359</v>
      </c>
      <c r="I278" s="16">
        <v>64.5</v>
      </c>
      <c r="J278" s="25">
        <f t="shared" ref="J278:J290" si="152">I278/D278 -1</f>
        <v>-7.692307692307665E-3</v>
      </c>
      <c r="K278" s="36">
        <f t="shared" ref="K278:K290" si="153">(C278*I278) - (C278*D278)</f>
        <v>-33</v>
      </c>
      <c r="L278" s="24">
        <f>H278-A278</f>
        <v>11</v>
      </c>
      <c r="M278" s="52">
        <f t="shared" ref="M278:M290" si="154">IF(J278&gt;0,1,0)</f>
        <v>0</v>
      </c>
      <c r="N278" s="24">
        <f t="shared" ref="N278:N290" si="155">IF(K278&gt;0, K278, 0)</f>
        <v>0</v>
      </c>
      <c r="O278" s="17">
        <f>IF(K278&lt;0, K278, 0)</f>
        <v>-33</v>
      </c>
      <c r="P278" s="86"/>
      <c r="Q278" s="78"/>
    </row>
    <row r="279" spans="1:20">
      <c r="A279" s="6">
        <v>45348</v>
      </c>
      <c r="B279" t="s">
        <v>679</v>
      </c>
      <c r="C279" s="9">
        <v>16</v>
      </c>
      <c r="D279">
        <v>298</v>
      </c>
      <c r="E279" s="29">
        <v>350</v>
      </c>
      <c r="F279" s="50">
        <v>280</v>
      </c>
      <c r="G279" s="21">
        <f t="shared" si="146"/>
        <v>3.8888888888888888</v>
      </c>
      <c r="H279" s="6">
        <v>45349</v>
      </c>
      <c r="I279" s="29">
        <v>314.88</v>
      </c>
      <c r="J279" s="30">
        <f t="shared" si="152"/>
        <v>5.6644295302013425E-2</v>
      </c>
      <c r="K279" s="35">
        <f t="shared" si="153"/>
        <v>270.07999999999993</v>
      </c>
      <c r="L279" s="21">
        <f>H279-A279</f>
        <v>1</v>
      </c>
      <c r="M279" s="9">
        <f t="shared" si="154"/>
        <v>1</v>
      </c>
      <c r="N279">
        <f t="shared" si="155"/>
        <v>270.07999999999993</v>
      </c>
      <c r="O279">
        <v>0</v>
      </c>
      <c r="P279" s="86"/>
      <c r="Q279" s="78"/>
    </row>
    <row r="280" spans="1:20">
      <c r="A280" s="6">
        <v>45348</v>
      </c>
      <c r="B280" t="s">
        <v>773</v>
      </c>
      <c r="C280" s="9">
        <v>200</v>
      </c>
      <c r="D280">
        <v>11.74</v>
      </c>
      <c r="E280" s="29">
        <v>14</v>
      </c>
      <c r="F280" s="50">
        <v>10</v>
      </c>
      <c r="G280" s="21">
        <f t="shared" si="146"/>
        <v>2.2988505747126435</v>
      </c>
      <c r="H280" s="6">
        <v>45408</v>
      </c>
      <c r="I280" s="29">
        <v>14.13</v>
      </c>
      <c r="J280" s="30">
        <f t="shared" si="152"/>
        <v>0.20357751277683134</v>
      </c>
      <c r="K280" s="35">
        <f t="shared" si="153"/>
        <v>478</v>
      </c>
      <c r="L280" s="21">
        <f>H280-A280</f>
        <v>60</v>
      </c>
      <c r="M280" s="9">
        <f t="shared" si="154"/>
        <v>1</v>
      </c>
      <c r="N280">
        <f t="shared" si="155"/>
        <v>478</v>
      </c>
      <c r="O280">
        <v>0</v>
      </c>
      <c r="P280" s="86"/>
      <c r="Q280" s="78"/>
    </row>
    <row r="281" spans="1:20">
      <c r="A281" s="6">
        <v>45348</v>
      </c>
      <c r="B281" s="22" t="s">
        <v>773</v>
      </c>
      <c r="C281" s="57">
        <v>200</v>
      </c>
      <c r="D281">
        <v>0.73</v>
      </c>
      <c r="E281" s="29">
        <v>4.2699999999999996</v>
      </c>
      <c r="F281" s="50">
        <v>0.36</v>
      </c>
      <c r="G281" s="21">
        <f t="shared" si="146"/>
        <v>10.567567567567567</v>
      </c>
      <c r="H281" s="6">
        <v>45359</v>
      </c>
      <c r="I281" s="29">
        <v>2</v>
      </c>
      <c r="J281" s="30">
        <f t="shared" si="152"/>
        <v>1.7397260273972601</v>
      </c>
      <c r="K281" s="35">
        <f t="shared" si="153"/>
        <v>254</v>
      </c>
      <c r="L281" s="21">
        <f>H281-A281</f>
        <v>11</v>
      </c>
      <c r="M281" s="9">
        <f t="shared" si="154"/>
        <v>1</v>
      </c>
      <c r="N281">
        <f t="shared" si="155"/>
        <v>254</v>
      </c>
      <c r="O281">
        <v>0</v>
      </c>
      <c r="P281" s="86"/>
      <c r="Q281" s="78"/>
    </row>
    <row r="282" spans="1:20">
      <c r="A282" s="6">
        <v>45348</v>
      </c>
      <c r="B282" s="61" t="s">
        <v>227</v>
      </c>
      <c r="C282" s="9">
        <v>8</v>
      </c>
      <c r="D282">
        <v>563.5</v>
      </c>
      <c r="E282" s="29">
        <v>650</v>
      </c>
      <c r="F282" s="50">
        <v>540</v>
      </c>
      <c r="G282" s="21">
        <f t="shared" si="146"/>
        <v>4.6808510638297873</v>
      </c>
      <c r="H282" s="6">
        <v>45352</v>
      </c>
      <c r="I282" s="29">
        <v>571.5</v>
      </c>
      <c r="J282" s="30">
        <f t="shared" si="152"/>
        <v>1.419698314108242E-2</v>
      </c>
      <c r="K282" s="35">
        <f t="shared" si="153"/>
        <v>64</v>
      </c>
      <c r="L282" s="21">
        <f t="shared" ref="L282:L290" si="156">H282-A282</f>
        <v>4</v>
      </c>
      <c r="M282" s="9">
        <f t="shared" si="154"/>
        <v>1</v>
      </c>
      <c r="N282">
        <f t="shared" si="155"/>
        <v>64</v>
      </c>
      <c r="O282">
        <v>0</v>
      </c>
      <c r="P282" s="86"/>
      <c r="Q282" s="78"/>
    </row>
    <row r="283" spans="1:20">
      <c r="A283" s="6">
        <v>45344</v>
      </c>
      <c r="B283" t="s">
        <v>92</v>
      </c>
      <c r="C283" s="9">
        <v>8</v>
      </c>
      <c r="D283">
        <v>86</v>
      </c>
      <c r="E283" s="29">
        <v>95</v>
      </c>
      <c r="F283" s="50">
        <v>82</v>
      </c>
      <c r="G283" s="21">
        <f t="shared" ref="G283:G288" si="157" xml:space="preserve"> (E283 - F283)/(D283-F283)</f>
        <v>3.25</v>
      </c>
      <c r="H283" s="6">
        <v>45349</v>
      </c>
      <c r="I283" s="29">
        <v>92.32</v>
      </c>
      <c r="J283" s="30">
        <f t="shared" si="152"/>
        <v>7.348837209302328E-2</v>
      </c>
      <c r="K283" s="35">
        <f t="shared" si="153"/>
        <v>50.559999999999945</v>
      </c>
      <c r="L283" s="21">
        <f t="shared" si="156"/>
        <v>5</v>
      </c>
      <c r="M283" s="9">
        <f t="shared" si="154"/>
        <v>1</v>
      </c>
      <c r="N283">
        <f t="shared" si="155"/>
        <v>50.559999999999945</v>
      </c>
      <c r="O283">
        <v>0</v>
      </c>
      <c r="P283" s="86"/>
      <c r="Q283" s="78"/>
    </row>
    <row r="284" spans="1:20">
      <c r="A284" s="6">
        <v>45344</v>
      </c>
      <c r="B284" s="61" t="s">
        <v>521</v>
      </c>
      <c r="C284" s="9">
        <v>32</v>
      </c>
      <c r="D284">
        <v>144.15</v>
      </c>
      <c r="E284" s="29">
        <v>160</v>
      </c>
      <c r="F284" s="50">
        <v>140</v>
      </c>
      <c r="G284" s="21">
        <f t="shared" si="157"/>
        <v>4.8192771084337283</v>
      </c>
      <c r="H284" s="6">
        <v>45345</v>
      </c>
      <c r="I284" s="16">
        <v>143.96</v>
      </c>
      <c r="J284" s="25">
        <f t="shared" si="152"/>
        <v>-1.3180714533471694E-3</v>
      </c>
      <c r="K284" s="36">
        <f t="shared" si="153"/>
        <v>-6.0799999999999272</v>
      </c>
      <c r="L284" s="24">
        <f t="shared" si="156"/>
        <v>1</v>
      </c>
      <c r="M284" s="52">
        <f t="shared" si="154"/>
        <v>0</v>
      </c>
      <c r="N284" s="24">
        <f t="shared" si="155"/>
        <v>0</v>
      </c>
      <c r="O284" s="17">
        <f>IF(K284&lt;0, K284, 0)</f>
        <v>-6.0799999999999272</v>
      </c>
      <c r="P284" s="86"/>
      <c r="Q284" s="78"/>
      <c r="R284" s="28">
        <v>1825.99</v>
      </c>
    </row>
    <row r="285" spans="1:20">
      <c r="A285" s="6">
        <v>45344</v>
      </c>
      <c r="B285" s="61" t="s">
        <v>227</v>
      </c>
      <c r="C285" s="9">
        <v>5</v>
      </c>
      <c r="D285">
        <v>542.96</v>
      </c>
      <c r="E285" s="29">
        <v>650</v>
      </c>
      <c r="F285" s="50">
        <v>528</v>
      </c>
      <c r="G285" s="21">
        <f t="shared" si="157"/>
        <v>8.1550802139037231</v>
      </c>
      <c r="H285" s="6">
        <v>45345</v>
      </c>
      <c r="I285" s="29">
        <v>553.44000000000005</v>
      </c>
      <c r="J285" s="30">
        <f t="shared" si="152"/>
        <v>1.9301606011492556E-2</v>
      </c>
      <c r="K285" s="35">
        <f t="shared" si="153"/>
        <v>52.400000000000091</v>
      </c>
      <c r="L285" s="21">
        <f t="shared" si="156"/>
        <v>1</v>
      </c>
      <c r="M285" s="9">
        <f t="shared" si="154"/>
        <v>1</v>
      </c>
      <c r="N285">
        <f t="shared" si="155"/>
        <v>52.400000000000091</v>
      </c>
      <c r="O285">
        <v>0</v>
      </c>
      <c r="P285" s="86"/>
      <c r="Q285" s="78"/>
    </row>
    <row r="286" spans="1:20">
      <c r="A286" s="6">
        <v>45344</v>
      </c>
      <c r="B286" s="22" t="s">
        <v>697</v>
      </c>
      <c r="C286" s="57">
        <v>100</v>
      </c>
      <c r="D286">
        <v>1.65</v>
      </c>
      <c r="E286" s="29">
        <v>5</v>
      </c>
      <c r="F286" s="50">
        <v>0.8</v>
      </c>
      <c r="G286" s="21">
        <f xml:space="preserve"> (E286 - F286)/(D286-F286)</f>
        <v>4.9411764705882364</v>
      </c>
      <c r="H286" s="6">
        <v>45356</v>
      </c>
      <c r="I286" s="29">
        <v>3.2</v>
      </c>
      <c r="J286" s="30">
        <f t="shared" si="152"/>
        <v>0.93939393939393967</v>
      </c>
      <c r="K286" s="35">
        <f t="shared" si="153"/>
        <v>155</v>
      </c>
      <c r="L286" s="21">
        <f t="shared" si="156"/>
        <v>12</v>
      </c>
      <c r="M286" s="9">
        <f t="shared" si="154"/>
        <v>1</v>
      </c>
      <c r="N286">
        <f t="shared" si="155"/>
        <v>155</v>
      </c>
      <c r="O286">
        <v>0</v>
      </c>
      <c r="P286" s="86"/>
      <c r="Q286" s="78"/>
    </row>
    <row r="287" spans="1:20">
      <c r="A287" s="6">
        <v>45344</v>
      </c>
      <c r="B287" s="22" t="s">
        <v>697</v>
      </c>
      <c r="C287" s="57">
        <v>100</v>
      </c>
      <c r="D287">
        <v>1.65</v>
      </c>
      <c r="E287" s="29">
        <v>5</v>
      </c>
      <c r="F287" s="50">
        <v>0.8</v>
      </c>
      <c r="G287" s="21">
        <f t="shared" si="157"/>
        <v>4.9411764705882364</v>
      </c>
      <c r="H287" s="6">
        <v>45355</v>
      </c>
      <c r="I287" s="29">
        <v>3.7</v>
      </c>
      <c r="J287" s="30">
        <f t="shared" si="152"/>
        <v>1.2424242424242427</v>
      </c>
      <c r="K287" s="35">
        <f t="shared" si="153"/>
        <v>205</v>
      </c>
      <c r="L287" s="21">
        <f t="shared" si="156"/>
        <v>11</v>
      </c>
      <c r="M287" s="9">
        <f t="shared" si="154"/>
        <v>1</v>
      </c>
      <c r="N287">
        <f t="shared" si="155"/>
        <v>205</v>
      </c>
      <c r="O287">
        <v>0</v>
      </c>
      <c r="P287" s="86"/>
      <c r="Q287" s="78"/>
    </row>
    <row r="288" spans="1:20">
      <c r="A288" s="6">
        <v>45344</v>
      </c>
      <c r="B288" t="s">
        <v>679</v>
      </c>
      <c r="C288" s="9">
        <v>15</v>
      </c>
      <c r="D288">
        <v>275</v>
      </c>
      <c r="E288" s="29">
        <v>350</v>
      </c>
      <c r="F288" s="50">
        <v>260</v>
      </c>
      <c r="G288" s="21">
        <f t="shared" si="157"/>
        <v>6</v>
      </c>
      <c r="H288" s="6">
        <v>45345</v>
      </c>
      <c r="I288" s="29">
        <v>282.08999999999997</v>
      </c>
      <c r="J288" s="30">
        <f t="shared" si="152"/>
        <v>2.5781818181818128E-2</v>
      </c>
      <c r="K288" s="35">
        <f t="shared" si="153"/>
        <v>106.34999999999945</v>
      </c>
      <c r="L288" s="21">
        <f t="shared" si="156"/>
        <v>1</v>
      </c>
      <c r="M288" s="9">
        <f t="shared" si="154"/>
        <v>1</v>
      </c>
      <c r="N288">
        <f t="shared" si="155"/>
        <v>106.34999999999945</v>
      </c>
      <c r="O288">
        <v>0</v>
      </c>
      <c r="P288" s="86"/>
      <c r="Q288" s="78"/>
      <c r="R288" s="28">
        <v>2274.3200000000002</v>
      </c>
    </row>
    <row r="289" spans="1:18">
      <c r="A289" s="6">
        <v>45342</v>
      </c>
      <c r="B289" t="s">
        <v>296</v>
      </c>
      <c r="C289" s="9">
        <v>290</v>
      </c>
      <c r="D289">
        <v>12.15</v>
      </c>
      <c r="E289" s="29">
        <v>15</v>
      </c>
      <c r="F289" s="50">
        <v>11.3</v>
      </c>
      <c r="G289" s="21">
        <f t="shared" ref="G289:G304" si="158" xml:space="preserve"> (E289 - F289)/(D289-F289)</f>
        <v>4.3529411764705896</v>
      </c>
      <c r="H289" s="6">
        <v>45344</v>
      </c>
      <c r="I289" s="16">
        <v>11.6</v>
      </c>
      <c r="J289" s="25">
        <f t="shared" si="152"/>
        <v>-4.5267489711934172E-2</v>
      </c>
      <c r="K289" s="36">
        <f t="shared" si="153"/>
        <v>-159.5</v>
      </c>
      <c r="L289" s="24">
        <f t="shared" si="156"/>
        <v>2</v>
      </c>
      <c r="M289" s="52">
        <f t="shared" si="154"/>
        <v>0</v>
      </c>
      <c r="N289" s="24">
        <f t="shared" si="155"/>
        <v>0</v>
      </c>
      <c r="O289" s="17">
        <f>IF(K289&lt;0, K289, 0)</f>
        <v>-159.5</v>
      </c>
      <c r="P289" s="86"/>
      <c r="Q289" s="78"/>
    </row>
    <row r="290" spans="1:18">
      <c r="A290" s="6">
        <v>45342</v>
      </c>
      <c r="B290" t="s">
        <v>521</v>
      </c>
      <c r="C290" s="9">
        <v>32</v>
      </c>
      <c r="D290">
        <v>140.5</v>
      </c>
      <c r="E290" s="29">
        <v>160</v>
      </c>
      <c r="F290" s="50">
        <v>140</v>
      </c>
      <c r="G290" s="21">
        <f t="shared" si="158"/>
        <v>40</v>
      </c>
      <c r="H290" s="6">
        <v>45344</v>
      </c>
      <c r="I290" s="29">
        <v>143.83000000000001</v>
      </c>
      <c r="J290" s="30">
        <f t="shared" si="152"/>
        <v>2.3701067615658378E-2</v>
      </c>
      <c r="K290" s="35">
        <f t="shared" si="153"/>
        <v>106.5600000000004</v>
      </c>
      <c r="L290" s="21">
        <f t="shared" si="156"/>
        <v>2</v>
      </c>
      <c r="M290" s="9">
        <f t="shared" si="154"/>
        <v>1</v>
      </c>
      <c r="N290">
        <f t="shared" si="155"/>
        <v>106.5600000000004</v>
      </c>
      <c r="O290">
        <v>0</v>
      </c>
      <c r="P290" s="86"/>
      <c r="Q290" s="78"/>
    </row>
    <row r="291" spans="1:18">
      <c r="A291" s="6">
        <v>45337</v>
      </c>
      <c r="B291" s="61" t="s">
        <v>745</v>
      </c>
      <c r="C291" s="9">
        <v>34</v>
      </c>
      <c r="D291">
        <v>22.78</v>
      </c>
      <c r="E291" s="29">
        <v>30</v>
      </c>
      <c r="F291" s="50">
        <v>25</v>
      </c>
      <c r="G291" s="21">
        <f t="shared" si="158"/>
        <v>-2.2522522522522532</v>
      </c>
      <c r="J291" s="30"/>
      <c r="K291" s="35"/>
      <c r="L291" s="37"/>
      <c r="M291" s="58"/>
      <c r="N291" s="35"/>
      <c r="O291" s="85"/>
      <c r="P291" s="86"/>
      <c r="Q291" s="78"/>
      <c r="R291" s="28">
        <v>2827.89</v>
      </c>
    </row>
    <row r="292" spans="1:18">
      <c r="A292" s="6">
        <v>45337</v>
      </c>
      <c r="B292" s="61" t="s">
        <v>745</v>
      </c>
      <c r="C292" s="9">
        <v>1</v>
      </c>
      <c r="D292">
        <v>11.8</v>
      </c>
      <c r="E292" s="29">
        <v>30</v>
      </c>
      <c r="F292" s="50">
        <v>25</v>
      </c>
      <c r="G292" s="21">
        <f xml:space="preserve"> (E292 - F292)/(D292-F292)</f>
        <v>-0.37878787878787878</v>
      </c>
      <c r="H292" s="6">
        <v>45467</v>
      </c>
      <c r="I292" s="29">
        <v>11.91</v>
      </c>
      <c r="J292" s="30">
        <f>I292/D292 -1</f>
        <v>9.3220338983051043E-3</v>
      </c>
      <c r="K292" s="35">
        <f>(C292*I292) - (C292*D292)</f>
        <v>0.10999999999999943</v>
      </c>
      <c r="L292" s="21">
        <f>H292-A292</f>
        <v>130</v>
      </c>
      <c r="M292" s="9">
        <f>IF(J292&gt;0,1,0)</f>
        <v>1</v>
      </c>
      <c r="N292">
        <f>IF(K292&gt;0, K292, 0)</f>
        <v>0.10999999999999943</v>
      </c>
      <c r="O292">
        <v>0</v>
      </c>
      <c r="P292" s="86"/>
      <c r="Q292" s="78"/>
      <c r="R292" s="28"/>
    </row>
    <row r="293" spans="1:18">
      <c r="A293" s="6">
        <v>45337</v>
      </c>
      <c r="B293" t="s">
        <v>87</v>
      </c>
      <c r="C293" s="9">
        <v>19</v>
      </c>
      <c r="D293">
        <v>198.3</v>
      </c>
      <c r="E293" s="29">
        <v>250</v>
      </c>
      <c r="F293" s="50">
        <v>182</v>
      </c>
      <c r="G293" s="21">
        <f t="shared" si="158"/>
        <v>4.1717791411042917</v>
      </c>
      <c r="H293" s="6">
        <v>45338</v>
      </c>
      <c r="I293" s="29">
        <v>199.95</v>
      </c>
      <c r="J293" s="30">
        <f t="shared" ref="J293:J306" si="159">I293/D293 -1</f>
        <v>8.3207261724658199E-3</v>
      </c>
      <c r="K293" s="35">
        <f t="shared" ref="K293:K306" si="160">(C293*I293) - (C293*D293)</f>
        <v>31.349999999999454</v>
      </c>
      <c r="L293" s="21">
        <f t="shared" ref="L293:L300" si="161">H293-A293</f>
        <v>1</v>
      </c>
      <c r="M293" s="9">
        <f t="shared" ref="M293:M306" si="162">IF(J293&gt;0,1,0)</f>
        <v>1</v>
      </c>
      <c r="N293">
        <f t="shared" ref="N293:N306" si="163">IF(K293&gt;0, K293, 0)</f>
        <v>31.349999999999454</v>
      </c>
      <c r="O293">
        <v>0</v>
      </c>
      <c r="P293" s="86"/>
      <c r="Q293" s="78"/>
      <c r="R293" s="64">
        <v>4908.93</v>
      </c>
    </row>
    <row r="294" spans="1:18">
      <c r="A294" s="6">
        <v>45336</v>
      </c>
      <c r="B294" t="s">
        <v>516</v>
      </c>
      <c r="C294" s="9">
        <v>17</v>
      </c>
      <c r="D294">
        <v>49.82</v>
      </c>
      <c r="E294" s="29">
        <v>60</v>
      </c>
      <c r="F294" s="50">
        <v>49</v>
      </c>
      <c r="G294" s="21">
        <f t="shared" si="158"/>
        <v>13.414634146341459</v>
      </c>
      <c r="H294" s="6">
        <v>45356</v>
      </c>
      <c r="I294" s="29">
        <v>60.04</v>
      </c>
      <c r="J294" s="30">
        <f t="shared" si="159"/>
        <v>0.20513849859494182</v>
      </c>
      <c r="K294" s="35">
        <f t="shared" si="160"/>
        <v>173.7399999999999</v>
      </c>
      <c r="L294" s="21">
        <f t="shared" si="161"/>
        <v>20</v>
      </c>
      <c r="M294" s="9">
        <f t="shared" si="162"/>
        <v>1</v>
      </c>
      <c r="N294">
        <f t="shared" si="163"/>
        <v>173.7399999999999</v>
      </c>
      <c r="O294">
        <v>0</v>
      </c>
      <c r="P294" s="86"/>
      <c r="Q294" s="78"/>
    </row>
    <row r="295" spans="1:18">
      <c r="A295" s="6">
        <v>45336</v>
      </c>
      <c r="B295" s="61" t="s">
        <v>742</v>
      </c>
      <c r="C295" s="9">
        <v>11</v>
      </c>
      <c r="D295">
        <v>78.5</v>
      </c>
      <c r="E295" s="29">
        <v>90</v>
      </c>
      <c r="F295" s="50">
        <v>77</v>
      </c>
      <c r="G295" s="21">
        <f t="shared" si="158"/>
        <v>8.6666666666666661</v>
      </c>
      <c r="H295" s="6">
        <v>45420</v>
      </c>
      <c r="I295" s="16">
        <v>62.5</v>
      </c>
      <c r="J295" s="25">
        <f t="shared" si="159"/>
        <v>-0.20382165605095537</v>
      </c>
      <c r="K295" s="36">
        <f t="shared" si="160"/>
        <v>-176</v>
      </c>
      <c r="L295" s="24">
        <f t="shared" si="161"/>
        <v>84</v>
      </c>
      <c r="M295" s="52">
        <f t="shared" si="162"/>
        <v>0</v>
      </c>
      <c r="N295" s="24">
        <f t="shared" si="163"/>
        <v>0</v>
      </c>
      <c r="O295" s="17">
        <f>IF(K295&lt;0, K295, 0)</f>
        <v>-176</v>
      </c>
      <c r="P295" s="86"/>
      <c r="Q295" s="78"/>
    </row>
    <row r="296" spans="1:18">
      <c r="A296" s="6">
        <v>45336</v>
      </c>
      <c r="B296" t="s">
        <v>87</v>
      </c>
      <c r="C296" s="9">
        <v>19</v>
      </c>
      <c r="D296">
        <v>187.9</v>
      </c>
      <c r="E296" s="29">
        <v>250</v>
      </c>
      <c r="F296" s="50">
        <v>182</v>
      </c>
      <c r="G296" s="21">
        <f t="shared" si="158"/>
        <v>11.525423728813548</v>
      </c>
      <c r="H296" s="6">
        <v>45337</v>
      </c>
      <c r="I296" s="29">
        <v>198.52</v>
      </c>
      <c r="J296" s="30">
        <f t="shared" si="159"/>
        <v>5.651942522618425E-2</v>
      </c>
      <c r="K296" s="35">
        <f t="shared" si="160"/>
        <v>201.7800000000002</v>
      </c>
      <c r="L296" s="21">
        <f t="shared" si="161"/>
        <v>1</v>
      </c>
      <c r="M296" s="9">
        <f t="shared" si="162"/>
        <v>1</v>
      </c>
      <c r="N296">
        <f t="shared" si="163"/>
        <v>201.7800000000002</v>
      </c>
      <c r="O296">
        <v>0</v>
      </c>
      <c r="P296" s="86"/>
      <c r="Q296" s="78"/>
      <c r="R296" s="28">
        <v>4760.51</v>
      </c>
    </row>
    <row r="297" spans="1:18">
      <c r="A297" s="6">
        <v>45335</v>
      </c>
      <c r="B297" t="s">
        <v>296</v>
      </c>
      <c r="C297" s="9">
        <v>358</v>
      </c>
      <c r="D297">
        <v>11.95</v>
      </c>
      <c r="E297" s="29">
        <v>15</v>
      </c>
      <c r="F297" s="50">
        <v>11</v>
      </c>
      <c r="G297" s="21">
        <f t="shared" si="158"/>
        <v>4.210526315789477</v>
      </c>
      <c r="H297" s="6">
        <v>45336</v>
      </c>
      <c r="I297" s="16">
        <v>11.6</v>
      </c>
      <c r="J297" s="25">
        <f t="shared" si="159"/>
        <v>-2.9288702928870314E-2</v>
      </c>
      <c r="K297" s="36">
        <f t="shared" si="160"/>
        <v>-125.29999999999927</v>
      </c>
      <c r="L297" s="24">
        <f t="shared" si="161"/>
        <v>1</v>
      </c>
      <c r="M297" s="52">
        <f t="shared" si="162"/>
        <v>0</v>
      </c>
      <c r="N297" s="24">
        <f t="shared" si="163"/>
        <v>0</v>
      </c>
      <c r="O297" s="17">
        <f>IF(K297&lt;0, K297, 0)</f>
        <v>-125.29999999999927</v>
      </c>
      <c r="P297" s="86"/>
      <c r="Q297" s="78"/>
      <c r="R297" s="64">
        <v>4885.8100000000004</v>
      </c>
    </row>
    <row r="298" spans="1:18">
      <c r="A298" s="6">
        <v>45334</v>
      </c>
      <c r="B298" t="s">
        <v>569</v>
      </c>
      <c r="C298" s="9">
        <v>12</v>
      </c>
      <c r="D298">
        <v>64.8</v>
      </c>
      <c r="E298" s="29">
        <v>70</v>
      </c>
      <c r="F298" s="50">
        <v>62</v>
      </c>
      <c r="G298" s="21">
        <f t="shared" si="158"/>
        <v>2.8571428571428599</v>
      </c>
      <c r="H298" s="6">
        <v>45363</v>
      </c>
      <c r="I298" s="29">
        <v>66.900000000000006</v>
      </c>
      <c r="J298" s="30">
        <f t="shared" si="159"/>
        <v>3.240740740740744E-2</v>
      </c>
      <c r="K298" s="35">
        <f t="shared" si="160"/>
        <v>25.200000000000159</v>
      </c>
      <c r="L298" s="21">
        <f t="shared" si="161"/>
        <v>29</v>
      </c>
      <c r="M298" s="9">
        <f t="shared" si="162"/>
        <v>1</v>
      </c>
      <c r="N298">
        <f t="shared" si="163"/>
        <v>25.200000000000159</v>
      </c>
      <c r="O298">
        <v>0</v>
      </c>
      <c r="P298" s="86"/>
      <c r="Q298" s="78"/>
    </row>
    <row r="299" spans="1:18">
      <c r="A299" s="6">
        <v>45334</v>
      </c>
      <c r="B299" t="s">
        <v>726</v>
      </c>
      <c r="C299" s="9">
        <v>17</v>
      </c>
      <c r="D299">
        <v>44.52</v>
      </c>
      <c r="E299" s="29">
        <v>47.5</v>
      </c>
      <c r="F299" s="50">
        <v>42.5</v>
      </c>
      <c r="G299" s="21">
        <f t="shared" si="158"/>
        <v>2.4752475247524712</v>
      </c>
      <c r="H299" s="6">
        <v>45363</v>
      </c>
      <c r="I299" s="29">
        <v>45.35</v>
      </c>
      <c r="J299" s="30">
        <f t="shared" si="159"/>
        <v>1.8643306379155344E-2</v>
      </c>
      <c r="K299" s="35">
        <f t="shared" si="160"/>
        <v>14.110000000000014</v>
      </c>
      <c r="L299" s="21">
        <f t="shared" si="161"/>
        <v>29</v>
      </c>
      <c r="M299" s="9">
        <f t="shared" si="162"/>
        <v>1</v>
      </c>
      <c r="N299">
        <f t="shared" si="163"/>
        <v>14.110000000000014</v>
      </c>
      <c r="O299">
        <v>0</v>
      </c>
      <c r="P299" s="86"/>
      <c r="Q299" s="78"/>
    </row>
    <row r="300" spans="1:18">
      <c r="A300" s="6">
        <v>45334</v>
      </c>
      <c r="B300" t="s">
        <v>468</v>
      </c>
      <c r="C300" s="9">
        <v>75</v>
      </c>
      <c r="D300">
        <v>70.5</v>
      </c>
      <c r="E300" s="29">
        <v>82</v>
      </c>
      <c r="F300" s="50">
        <v>67</v>
      </c>
      <c r="G300" s="21">
        <f t="shared" si="158"/>
        <v>4.2857142857142856</v>
      </c>
      <c r="H300" s="6">
        <v>45359</v>
      </c>
      <c r="I300" s="16">
        <v>70.3</v>
      </c>
      <c r="J300" s="25">
        <f t="shared" si="159"/>
        <v>-2.8368794326241176E-3</v>
      </c>
      <c r="K300" s="36">
        <f t="shared" si="160"/>
        <v>-15</v>
      </c>
      <c r="L300" s="24">
        <f t="shared" si="161"/>
        <v>25</v>
      </c>
      <c r="M300" s="52">
        <f t="shared" si="162"/>
        <v>0</v>
      </c>
      <c r="N300" s="24">
        <f t="shared" si="163"/>
        <v>0</v>
      </c>
      <c r="O300" s="17">
        <f>IF(K300&lt;0, K300, 0)</f>
        <v>-15</v>
      </c>
      <c r="P300" s="86"/>
      <c r="Q300" s="78"/>
    </row>
    <row r="301" spans="1:18">
      <c r="A301" s="6">
        <v>45334</v>
      </c>
      <c r="B301" t="s">
        <v>287</v>
      </c>
      <c r="C301" s="9">
        <v>86</v>
      </c>
      <c r="D301">
        <v>60.2</v>
      </c>
      <c r="E301" s="29">
        <v>70</v>
      </c>
      <c r="F301" s="50">
        <v>55</v>
      </c>
      <c r="G301" s="21">
        <f t="shared" si="158"/>
        <v>2.8846153846153832</v>
      </c>
      <c r="H301" s="6">
        <v>45352</v>
      </c>
      <c r="I301" s="29">
        <v>63.2</v>
      </c>
      <c r="J301" s="30">
        <f t="shared" si="159"/>
        <v>4.9833887043189362E-2</v>
      </c>
      <c r="K301" s="35">
        <f t="shared" si="160"/>
        <v>258</v>
      </c>
      <c r="L301" s="21">
        <f t="shared" ref="L301:L306" si="164">H301-A301</f>
        <v>18</v>
      </c>
      <c r="M301" s="9">
        <f t="shared" si="162"/>
        <v>1</v>
      </c>
      <c r="N301">
        <f t="shared" si="163"/>
        <v>258</v>
      </c>
      <c r="O301">
        <v>0</v>
      </c>
      <c r="P301" s="86"/>
      <c r="Q301" s="78"/>
    </row>
    <row r="302" spans="1:18">
      <c r="A302" s="6">
        <v>45334</v>
      </c>
      <c r="B302" t="s">
        <v>370</v>
      </c>
      <c r="C302" s="9">
        <v>239</v>
      </c>
      <c r="D302">
        <v>17.45</v>
      </c>
      <c r="E302" s="29">
        <v>21</v>
      </c>
      <c r="F302" s="50">
        <v>17</v>
      </c>
      <c r="G302" s="21">
        <f t="shared" si="158"/>
        <v>8.8888888888889035</v>
      </c>
      <c r="H302" s="6">
        <v>45338</v>
      </c>
      <c r="I302" s="16">
        <v>17.22</v>
      </c>
      <c r="J302" s="25">
        <f t="shared" si="159"/>
        <v>-1.3180515759312339E-2</v>
      </c>
      <c r="K302" s="36">
        <f t="shared" si="160"/>
        <v>-54.970000000000255</v>
      </c>
      <c r="L302" s="24">
        <f t="shared" si="164"/>
        <v>4</v>
      </c>
      <c r="M302" s="52">
        <f t="shared" si="162"/>
        <v>0</v>
      </c>
      <c r="N302" s="24">
        <f t="shared" si="163"/>
        <v>0</v>
      </c>
      <c r="O302" s="17">
        <f>IF(K302&lt;0, K302, 0)</f>
        <v>-54.970000000000255</v>
      </c>
      <c r="P302" s="86"/>
      <c r="Q302" s="78"/>
      <c r="R302" s="28">
        <v>4750.21</v>
      </c>
    </row>
    <row r="303" spans="1:18">
      <c r="A303" s="6">
        <v>45329</v>
      </c>
      <c r="B303" t="s">
        <v>728</v>
      </c>
      <c r="C303" s="9">
        <v>21</v>
      </c>
      <c r="D303">
        <v>30.13</v>
      </c>
      <c r="E303" s="29">
        <v>35</v>
      </c>
      <c r="F303" s="50">
        <v>29</v>
      </c>
      <c r="G303" s="21">
        <f t="shared" si="158"/>
        <v>5.309734513274341</v>
      </c>
      <c r="H303" s="6">
        <v>45344</v>
      </c>
      <c r="I303" s="29">
        <v>33.6</v>
      </c>
      <c r="J303" s="30">
        <f t="shared" si="159"/>
        <v>0.11516760703617668</v>
      </c>
      <c r="K303" s="35">
        <f t="shared" si="160"/>
        <v>72.87</v>
      </c>
      <c r="L303" s="21">
        <f t="shared" si="164"/>
        <v>15</v>
      </c>
      <c r="M303" s="9">
        <f t="shared" si="162"/>
        <v>1</v>
      </c>
      <c r="N303">
        <f t="shared" si="163"/>
        <v>72.87</v>
      </c>
      <c r="O303">
        <v>0</v>
      </c>
      <c r="P303" s="86"/>
      <c r="Q303" s="78"/>
      <c r="R303" s="28">
        <v>4698.88</v>
      </c>
    </row>
    <row r="304" spans="1:18">
      <c r="A304" s="6">
        <v>45329</v>
      </c>
      <c r="B304" t="s">
        <v>512</v>
      </c>
      <c r="C304" s="9">
        <v>25</v>
      </c>
      <c r="D304">
        <v>211.88</v>
      </c>
      <c r="E304" s="29">
        <v>250</v>
      </c>
      <c r="F304" s="50">
        <v>200</v>
      </c>
      <c r="G304" s="21">
        <f t="shared" si="158"/>
        <v>4.2087542087542102</v>
      </c>
      <c r="H304" s="6">
        <v>45358</v>
      </c>
      <c r="I304" s="16">
        <v>202.5</v>
      </c>
      <c r="J304" s="25">
        <f t="shared" si="159"/>
        <v>-4.4270341702850602E-2</v>
      </c>
      <c r="K304" s="36">
        <f t="shared" si="160"/>
        <v>-234.5</v>
      </c>
      <c r="L304" s="24">
        <f t="shared" si="164"/>
        <v>29</v>
      </c>
      <c r="M304" s="52">
        <f t="shared" si="162"/>
        <v>0</v>
      </c>
      <c r="N304" s="24">
        <f t="shared" si="163"/>
        <v>0</v>
      </c>
      <c r="O304" s="17">
        <f>IF(K304&lt;0, K304, 0)</f>
        <v>-234.5</v>
      </c>
      <c r="P304" s="86"/>
      <c r="Q304" s="78"/>
      <c r="R304" s="28">
        <v>3452.42</v>
      </c>
    </row>
    <row r="305" spans="1:20">
      <c r="A305" s="6">
        <v>45327</v>
      </c>
      <c r="B305" t="s">
        <v>94</v>
      </c>
      <c r="C305" s="9">
        <v>23</v>
      </c>
      <c r="D305">
        <v>186.99</v>
      </c>
      <c r="E305" s="29">
        <v>200</v>
      </c>
      <c r="F305" s="50">
        <v>183</v>
      </c>
      <c r="G305" s="21">
        <f t="shared" ref="G305:G310" si="165" xml:space="preserve"> (E305 - F305)/(D305-F305)</f>
        <v>4.2606516290726724</v>
      </c>
      <c r="H305" s="6">
        <v>45331</v>
      </c>
      <c r="I305" s="29">
        <v>188.87</v>
      </c>
      <c r="J305" s="30">
        <f t="shared" si="159"/>
        <v>1.0054013583614019E-2</v>
      </c>
      <c r="K305" s="35">
        <f t="shared" si="160"/>
        <v>43.239999999999782</v>
      </c>
      <c r="L305" s="21">
        <f t="shared" si="164"/>
        <v>4</v>
      </c>
      <c r="M305" s="9">
        <f t="shared" si="162"/>
        <v>1</v>
      </c>
      <c r="N305">
        <f t="shared" si="163"/>
        <v>43.239999999999782</v>
      </c>
      <c r="O305">
        <v>0</v>
      </c>
      <c r="P305" s="86"/>
      <c r="Q305" s="78"/>
    </row>
    <row r="306" spans="1:20">
      <c r="A306" s="6">
        <v>45327</v>
      </c>
      <c r="B306" s="22" t="s">
        <v>628</v>
      </c>
      <c r="C306" s="57">
        <v>100</v>
      </c>
      <c r="D306">
        <v>2.5</v>
      </c>
      <c r="E306" s="29">
        <v>7.5</v>
      </c>
      <c r="F306" s="50">
        <v>1.2</v>
      </c>
      <c r="G306" s="21">
        <f t="shared" si="165"/>
        <v>4.8461538461538458</v>
      </c>
      <c r="H306" s="6">
        <v>45366</v>
      </c>
      <c r="I306" s="16">
        <v>0</v>
      </c>
      <c r="J306" s="25">
        <f t="shared" si="159"/>
        <v>-1</v>
      </c>
      <c r="K306" s="36">
        <f t="shared" si="160"/>
        <v>-250</v>
      </c>
      <c r="L306" s="24">
        <f t="shared" si="164"/>
        <v>39</v>
      </c>
      <c r="M306" s="52">
        <f t="shared" si="162"/>
        <v>0</v>
      </c>
      <c r="N306" s="24">
        <f t="shared" si="163"/>
        <v>0</v>
      </c>
      <c r="O306" s="17">
        <f>IF(K306&lt;0, K306, 0)</f>
        <v>-250</v>
      </c>
      <c r="P306" s="86"/>
      <c r="Q306" s="78"/>
    </row>
    <row r="307" spans="1:20">
      <c r="A307" s="6">
        <v>45327</v>
      </c>
      <c r="B307" s="61" t="s">
        <v>521</v>
      </c>
      <c r="C307" s="9">
        <v>35</v>
      </c>
      <c r="D307">
        <v>143.66</v>
      </c>
      <c r="E307" s="29">
        <v>160</v>
      </c>
      <c r="F307" s="50">
        <v>140</v>
      </c>
      <c r="G307" s="21">
        <f t="shared" si="165"/>
        <v>5.4644808743169451</v>
      </c>
      <c r="H307" s="6">
        <v>45331</v>
      </c>
      <c r="I307" s="29">
        <v>149</v>
      </c>
      <c r="J307" s="30">
        <f t="shared" ref="J307:J314" si="166">I307/D307 -1</f>
        <v>3.7171098426841187E-2</v>
      </c>
      <c r="K307" s="35">
        <f t="shared" ref="K307:K314" si="167">(C307*I307) - (C307*D307)</f>
        <v>186.90000000000055</v>
      </c>
      <c r="L307" s="21">
        <f t="shared" ref="L307:L315" si="168">H307-A307</f>
        <v>4</v>
      </c>
      <c r="M307" s="9">
        <f t="shared" ref="M307:M314" si="169">IF(J307&gt;0,1,0)</f>
        <v>1</v>
      </c>
      <c r="N307">
        <f t="shared" ref="N307:N314" si="170">IF(K307&gt;0, K307, 0)</f>
        <v>186.90000000000055</v>
      </c>
      <c r="O307">
        <v>0</v>
      </c>
      <c r="P307" s="86"/>
      <c r="Q307" s="78"/>
    </row>
    <row r="308" spans="1:20">
      <c r="A308" s="6">
        <v>45327</v>
      </c>
      <c r="B308" s="61" t="s">
        <v>332</v>
      </c>
      <c r="C308" s="9">
        <v>66</v>
      </c>
      <c r="D308">
        <v>66</v>
      </c>
      <c r="E308" s="29">
        <v>71</v>
      </c>
      <c r="F308" s="50">
        <v>65</v>
      </c>
      <c r="G308" s="21">
        <f t="shared" si="165"/>
        <v>6</v>
      </c>
      <c r="H308" s="6">
        <v>45331</v>
      </c>
      <c r="I308" s="29">
        <v>67.45</v>
      </c>
      <c r="J308" s="30">
        <f t="shared" si="166"/>
        <v>2.1969696969696972E-2</v>
      </c>
      <c r="K308" s="35">
        <f t="shared" si="167"/>
        <v>95.699999999999818</v>
      </c>
      <c r="L308" s="21">
        <f t="shared" si="168"/>
        <v>4</v>
      </c>
      <c r="M308" s="9">
        <f t="shared" si="169"/>
        <v>1</v>
      </c>
      <c r="N308">
        <f t="shared" si="170"/>
        <v>95.699999999999818</v>
      </c>
      <c r="O308">
        <v>0</v>
      </c>
      <c r="P308" s="86"/>
      <c r="Q308" s="78"/>
    </row>
    <row r="309" spans="1:20">
      <c r="A309" s="6">
        <v>45327</v>
      </c>
      <c r="B309" t="s">
        <v>130</v>
      </c>
      <c r="C309" s="9">
        <v>35</v>
      </c>
      <c r="D309">
        <v>144</v>
      </c>
      <c r="E309" s="29">
        <v>160</v>
      </c>
      <c r="F309" s="50">
        <v>140</v>
      </c>
      <c r="G309" s="21">
        <f t="shared" si="165"/>
        <v>5</v>
      </c>
      <c r="H309" s="6">
        <v>45331</v>
      </c>
      <c r="I309" s="29">
        <v>151</v>
      </c>
      <c r="J309" s="30">
        <f t="shared" si="166"/>
        <v>4.861111111111116E-2</v>
      </c>
      <c r="K309" s="35">
        <f t="shared" si="167"/>
        <v>245</v>
      </c>
      <c r="L309" s="21">
        <f t="shared" si="168"/>
        <v>4</v>
      </c>
      <c r="M309" s="9">
        <f t="shared" si="169"/>
        <v>1</v>
      </c>
      <c r="N309">
        <f t="shared" si="170"/>
        <v>245</v>
      </c>
      <c r="O309">
        <v>0</v>
      </c>
      <c r="P309" s="86"/>
      <c r="Q309" s="78"/>
    </row>
    <row r="310" spans="1:20">
      <c r="A310" s="6">
        <v>45327</v>
      </c>
      <c r="B310" t="s">
        <v>512</v>
      </c>
      <c r="C310" s="9">
        <v>25</v>
      </c>
      <c r="D310">
        <v>207.19</v>
      </c>
      <c r="E310" s="29">
        <v>250</v>
      </c>
      <c r="F310" s="50">
        <v>200</v>
      </c>
      <c r="G310" s="21">
        <f t="shared" si="165"/>
        <v>6.954102920723229</v>
      </c>
      <c r="H310" s="6">
        <v>45329</v>
      </c>
      <c r="I310" s="29">
        <v>211.9</v>
      </c>
      <c r="J310" s="30">
        <f t="shared" si="166"/>
        <v>2.2732757372460055E-2</v>
      </c>
      <c r="K310" s="35">
        <f t="shared" si="167"/>
        <v>117.75</v>
      </c>
      <c r="L310" s="21">
        <f t="shared" si="168"/>
        <v>2</v>
      </c>
      <c r="M310" s="9">
        <f t="shared" si="169"/>
        <v>1</v>
      </c>
      <c r="N310">
        <f t="shared" si="170"/>
        <v>117.75</v>
      </c>
      <c r="O310">
        <v>0</v>
      </c>
      <c r="P310" s="86"/>
      <c r="Q310" s="78"/>
      <c r="R310" s="28">
        <v>3360.67</v>
      </c>
    </row>
    <row r="311" spans="1:20">
      <c r="A311" s="6">
        <v>45324</v>
      </c>
      <c r="B311" t="s">
        <v>496</v>
      </c>
      <c r="C311" s="9">
        <v>7</v>
      </c>
      <c r="D311">
        <v>96.5</v>
      </c>
      <c r="E311" s="29">
        <v>110</v>
      </c>
      <c r="F311" s="50">
        <v>90</v>
      </c>
      <c r="G311" s="21">
        <f t="shared" ref="G311:G323" si="171" xml:space="preserve"> (E311 - F311)/(D311-F311)</f>
        <v>3.0769230769230771</v>
      </c>
      <c r="H311" s="6">
        <v>45335</v>
      </c>
      <c r="I311" s="29">
        <v>98.9</v>
      </c>
      <c r="J311" s="30">
        <f t="shared" si="166"/>
        <v>2.4870466321243567E-2</v>
      </c>
      <c r="K311" s="35">
        <f t="shared" si="167"/>
        <v>16.800000000000068</v>
      </c>
      <c r="L311" s="21">
        <f t="shared" si="168"/>
        <v>11</v>
      </c>
      <c r="M311" s="9">
        <f t="shared" si="169"/>
        <v>1</v>
      </c>
      <c r="N311">
        <f t="shared" si="170"/>
        <v>16.800000000000068</v>
      </c>
      <c r="O311">
        <v>0</v>
      </c>
      <c r="P311" s="86"/>
      <c r="Q311" s="78"/>
      <c r="R311" s="64">
        <v>4338.67</v>
      </c>
    </row>
    <row r="312" spans="1:20">
      <c r="A312" s="6">
        <v>45323</v>
      </c>
      <c r="B312" t="s">
        <v>94</v>
      </c>
      <c r="C312" s="9">
        <v>30</v>
      </c>
      <c r="D312">
        <v>185.62</v>
      </c>
      <c r="E312" s="29">
        <v>200</v>
      </c>
      <c r="F312" s="50">
        <v>180</v>
      </c>
      <c r="G312" s="21">
        <f t="shared" si="171"/>
        <v>3.5587188612099614</v>
      </c>
      <c r="H312" s="6">
        <v>45324</v>
      </c>
      <c r="I312" s="29">
        <v>185.85</v>
      </c>
      <c r="J312" s="30">
        <f t="shared" si="166"/>
        <v>1.2390906152353054E-3</v>
      </c>
      <c r="K312" s="35">
        <f t="shared" si="167"/>
        <v>6.8999999999996362</v>
      </c>
      <c r="L312" s="21">
        <f t="shared" si="168"/>
        <v>1</v>
      </c>
      <c r="M312" s="9">
        <f t="shared" si="169"/>
        <v>1</v>
      </c>
      <c r="N312">
        <f t="shared" si="170"/>
        <v>6.8999999999996362</v>
      </c>
      <c r="O312">
        <v>0</v>
      </c>
      <c r="P312" s="86"/>
      <c r="Q312" s="78"/>
    </row>
    <row r="313" spans="1:20">
      <c r="A313" s="6">
        <v>45323</v>
      </c>
      <c r="B313" s="61" t="s">
        <v>521</v>
      </c>
      <c r="C313" s="9">
        <v>25</v>
      </c>
      <c r="D313">
        <v>141.19999999999999</v>
      </c>
      <c r="E313" s="29">
        <v>160</v>
      </c>
      <c r="F313" s="50">
        <v>140</v>
      </c>
      <c r="G313" s="21">
        <f t="shared" si="171"/>
        <v>16.666666666666824</v>
      </c>
      <c r="H313" s="6">
        <v>45324</v>
      </c>
      <c r="I313" s="29">
        <v>142.38</v>
      </c>
      <c r="J313" s="30">
        <f t="shared" si="166"/>
        <v>8.3569405099150895E-3</v>
      </c>
      <c r="K313" s="35">
        <f t="shared" si="167"/>
        <v>29.500000000000455</v>
      </c>
      <c r="L313" s="21">
        <f t="shared" si="168"/>
        <v>1</v>
      </c>
      <c r="M313" s="9">
        <f t="shared" si="169"/>
        <v>1</v>
      </c>
      <c r="N313">
        <f t="shared" si="170"/>
        <v>29.500000000000455</v>
      </c>
      <c r="O313">
        <v>0</v>
      </c>
      <c r="P313" s="86"/>
      <c r="Q313" s="78"/>
    </row>
    <row r="314" spans="1:20">
      <c r="A314" s="6">
        <v>45323</v>
      </c>
      <c r="B314" t="s">
        <v>725</v>
      </c>
      <c r="C314" s="9">
        <v>104</v>
      </c>
      <c r="D314">
        <v>50.1</v>
      </c>
      <c r="E314" s="29">
        <v>52.5</v>
      </c>
      <c r="F314" s="50">
        <v>50</v>
      </c>
      <c r="G314" s="21">
        <f t="shared" si="171"/>
        <v>24.999999999999645</v>
      </c>
      <c r="H314" s="6">
        <v>45324</v>
      </c>
      <c r="I314" s="29">
        <v>50.18</v>
      </c>
      <c r="J314" s="30">
        <f t="shared" si="166"/>
        <v>1.5968063872255911E-3</v>
      </c>
      <c r="K314" s="35">
        <f t="shared" si="167"/>
        <v>8.319999999999709</v>
      </c>
      <c r="L314" s="21">
        <f t="shared" si="168"/>
        <v>1</v>
      </c>
      <c r="M314" s="9">
        <f t="shared" si="169"/>
        <v>1</v>
      </c>
      <c r="N314">
        <f t="shared" si="170"/>
        <v>8.319999999999709</v>
      </c>
      <c r="O314">
        <v>0</v>
      </c>
      <c r="P314" s="86"/>
      <c r="Q314" s="78"/>
      <c r="R314" s="28">
        <v>4105.55</v>
      </c>
      <c r="S314" s="16">
        <v>8.31</v>
      </c>
    </row>
    <row r="315" spans="1:20">
      <c r="A315" s="6">
        <v>45322</v>
      </c>
      <c r="B315" t="s">
        <v>516</v>
      </c>
      <c r="C315" s="9">
        <v>13</v>
      </c>
      <c r="D315">
        <v>51</v>
      </c>
      <c r="E315" s="29">
        <v>70</v>
      </c>
      <c r="F315" s="50">
        <v>50</v>
      </c>
      <c r="G315" s="21">
        <f t="shared" si="171"/>
        <v>20</v>
      </c>
      <c r="H315" s="6">
        <v>45329</v>
      </c>
      <c r="I315" s="16">
        <v>49</v>
      </c>
      <c r="J315" s="25">
        <f>I315/D315 -1</f>
        <v>-3.9215686274509776E-2</v>
      </c>
      <c r="K315" s="36">
        <f>(C315*I315) - (C315*D315)</f>
        <v>-26</v>
      </c>
      <c r="L315" s="24">
        <f t="shared" si="168"/>
        <v>7</v>
      </c>
      <c r="M315" s="52">
        <f>IF(J315&gt;0,1,0)</f>
        <v>0</v>
      </c>
      <c r="N315" s="24">
        <f>IF(K315&gt;0, K315, 0)</f>
        <v>0</v>
      </c>
      <c r="O315" s="17">
        <f>IF(K315&lt;0, K315, 0)</f>
        <v>-26</v>
      </c>
      <c r="P315" s="86"/>
      <c r="Q315" s="78"/>
      <c r="S315" s="16">
        <v>484.46</v>
      </c>
      <c r="T315">
        <v>1</v>
      </c>
    </row>
    <row r="316" spans="1:20">
      <c r="A316" s="6">
        <v>45322</v>
      </c>
      <c r="B316" s="22" t="s">
        <v>749</v>
      </c>
      <c r="C316" s="57">
        <v>200</v>
      </c>
      <c r="D316">
        <v>1.35</v>
      </c>
      <c r="E316" s="29">
        <v>2.35</v>
      </c>
      <c r="F316" s="50">
        <v>0.6</v>
      </c>
      <c r="G316" s="21">
        <f t="shared" si="171"/>
        <v>2.333333333333333</v>
      </c>
      <c r="H316" s="6">
        <v>45357</v>
      </c>
      <c r="I316" s="29">
        <v>1.47</v>
      </c>
      <c r="J316" s="30">
        <f>I316/D316 -1</f>
        <v>8.8888888888888795E-2</v>
      </c>
      <c r="K316" s="35">
        <f>(C316*I316) - (C316*D316)</f>
        <v>24</v>
      </c>
      <c r="L316" s="21">
        <f>H316-A316</f>
        <v>35</v>
      </c>
      <c r="M316" s="9">
        <f>IF(J316&gt;0,1,0)</f>
        <v>1</v>
      </c>
      <c r="N316">
        <f>IF(K316&gt;0, K316, 0)</f>
        <v>24</v>
      </c>
      <c r="O316">
        <v>0</v>
      </c>
      <c r="P316" s="86"/>
      <c r="Q316" s="78"/>
      <c r="R316" s="28">
        <v>4045.01</v>
      </c>
      <c r="S316" s="28">
        <v>-49.89</v>
      </c>
    </row>
    <row r="317" spans="1:20">
      <c r="A317" s="6">
        <v>45321</v>
      </c>
      <c r="B317" t="s">
        <v>87</v>
      </c>
      <c r="C317" s="9">
        <v>32</v>
      </c>
      <c r="D317">
        <v>191.85</v>
      </c>
      <c r="E317" s="29">
        <v>250</v>
      </c>
      <c r="F317" s="50">
        <v>175</v>
      </c>
      <c r="G317" s="21">
        <f t="shared" si="171"/>
        <v>4.4510385756676571</v>
      </c>
      <c r="H317" s="6">
        <v>45331</v>
      </c>
      <c r="I317" s="29">
        <v>193.57</v>
      </c>
      <c r="J317" s="30">
        <f t="shared" ref="J317:J323" si="172">I317/D317 -1</f>
        <v>8.9653375032576754E-3</v>
      </c>
      <c r="K317" s="35">
        <f t="shared" ref="K317:K323" si="173">(C317*I317) - (C317*D317)</f>
        <v>55.039999999999964</v>
      </c>
      <c r="L317" s="21">
        <f t="shared" ref="L317:L323" si="174">H317-A317</f>
        <v>10</v>
      </c>
      <c r="M317" s="9">
        <f t="shared" ref="M317:M323" si="175">IF(J317&gt;0,1,0)</f>
        <v>1</v>
      </c>
      <c r="N317">
        <f t="shared" ref="N317:N323" si="176">IF(K317&gt;0, K317, 0)</f>
        <v>55.039999999999964</v>
      </c>
      <c r="O317">
        <v>0</v>
      </c>
      <c r="P317" s="86"/>
      <c r="Q317" s="78"/>
    </row>
    <row r="318" spans="1:20">
      <c r="A318" s="6">
        <v>45321</v>
      </c>
      <c r="B318" t="s">
        <v>349</v>
      </c>
      <c r="C318" s="9">
        <v>14</v>
      </c>
      <c r="D318">
        <v>376.79</v>
      </c>
      <c r="E318" s="29">
        <v>450</v>
      </c>
      <c r="F318" s="50">
        <v>350</v>
      </c>
      <c r="G318" s="21">
        <f t="shared" si="171"/>
        <v>3.7327360955580411</v>
      </c>
      <c r="H318" s="6">
        <v>45323</v>
      </c>
      <c r="I318" s="29">
        <v>377</v>
      </c>
      <c r="J318" s="30">
        <f t="shared" si="172"/>
        <v>5.5733963215587323E-4</v>
      </c>
      <c r="K318" s="35">
        <f t="shared" si="173"/>
        <v>2.9399999999995998</v>
      </c>
      <c r="L318" s="21">
        <f t="shared" si="174"/>
        <v>2</v>
      </c>
      <c r="M318" s="9">
        <f t="shared" si="175"/>
        <v>1</v>
      </c>
      <c r="N318">
        <f t="shared" si="176"/>
        <v>2.9399999999995998</v>
      </c>
      <c r="O318">
        <v>0</v>
      </c>
      <c r="P318" s="86"/>
      <c r="Q318" s="78"/>
    </row>
    <row r="319" spans="1:20">
      <c r="A319" s="6">
        <v>45321</v>
      </c>
      <c r="B319" t="s">
        <v>577</v>
      </c>
      <c r="C319" s="9">
        <v>68</v>
      </c>
      <c r="D319">
        <v>61.71</v>
      </c>
      <c r="E319" s="29">
        <v>70</v>
      </c>
      <c r="F319" s="50">
        <v>56</v>
      </c>
      <c r="G319" s="21">
        <f t="shared" si="171"/>
        <v>2.4518388791593693</v>
      </c>
      <c r="H319" s="6">
        <v>45323</v>
      </c>
      <c r="I319" s="29">
        <v>61.71</v>
      </c>
      <c r="J319" s="30">
        <f t="shared" si="172"/>
        <v>0</v>
      </c>
      <c r="K319" s="35">
        <f t="shared" si="173"/>
        <v>0</v>
      </c>
      <c r="L319" s="21">
        <f t="shared" si="174"/>
        <v>2</v>
      </c>
      <c r="M319" s="9">
        <f t="shared" si="175"/>
        <v>0</v>
      </c>
      <c r="N319">
        <f t="shared" si="176"/>
        <v>0</v>
      </c>
      <c r="O319">
        <v>0</v>
      </c>
      <c r="P319" s="86"/>
      <c r="Q319" s="78"/>
      <c r="R319" s="28">
        <v>3850.97</v>
      </c>
    </row>
    <row r="320" spans="1:20">
      <c r="A320" s="6">
        <v>45320</v>
      </c>
      <c r="B320" t="s">
        <v>87</v>
      </c>
      <c r="C320" s="9">
        <v>32</v>
      </c>
      <c r="D320">
        <v>184.6</v>
      </c>
      <c r="E320" s="29">
        <v>250</v>
      </c>
      <c r="F320" s="50">
        <v>175</v>
      </c>
      <c r="G320" s="21">
        <f t="shared" si="171"/>
        <v>7.8125000000000044</v>
      </c>
      <c r="H320" s="6">
        <v>45321</v>
      </c>
      <c r="I320" s="29">
        <v>191.89</v>
      </c>
      <c r="J320" s="30">
        <f t="shared" si="172"/>
        <v>3.9490790899241457E-2</v>
      </c>
      <c r="K320" s="35">
        <f t="shared" si="173"/>
        <v>233.27999999999975</v>
      </c>
      <c r="L320" s="21">
        <f t="shared" si="174"/>
        <v>1</v>
      </c>
      <c r="M320" s="9">
        <f t="shared" si="175"/>
        <v>1</v>
      </c>
      <c r="N320">
        <f t="shared" si="176"/>
        <v>233.27999999999975</v>
      </c>
      <c r="O320">
        <v>0</v>
      </c>
      <c r="P320" s="86"/>
      <c r="Q320" s="78"/>
    </row>
    <row r="321" spans="1:18">
      <c r="A321" s="6">
        <v>45320</v>
      </c>
      <c r="B321" t="s">
        <v>287</v>
      </c>
      <c r="C321" s="9">
        <v>104</v>
      </c>
      <c r="D321">
        <v>55.6</v>
      </c>
      <c r="E321" s="29">
        <v>60</v>
      </c>
      <c r="F321" s="50">
        <v>55</v>
      </c>
      <c r="G321" s="21">
        <f t="shared" si="171"/>
        <v>8.3333333333333144</v>
      </c>
      <c r="H321" s="6">
        <v>45324</v>
      </c>
      <c r="I321" s="29">
        <v>57.24</v>
      </c>
      <c r="J321" s="30">
        <f t="shared" si="172"/>
        <v>2.9496402877697836E-2</v>
      </c>
      <c r="K321" s="35">
        <f t="shared" si="173"/>
        <v>170.55999999999949</v>
      </c>
      <c r="L321" s="21">
        <f t="shared" si="174"/>
        <v>4</v>
      </c>
      <c r="M321" s="9">
        <f t="shared" si="175"/>
        <v>1</v>
      </c>
      <c r="N321">
        <f t="shared" si="176"/>
        <v>170.55999999999949</v>
      </c>
      <c r="O321">
        <v>0</v>
      </c>
      <c r="P321" s="86"/>
      <c r="Q321" s="78"/>
    </row>
    <row r="322" spans="1:18">
      <c r="A322" s="6">
        <v>45320</v>
      </c>
      <c r="B322" t="s">
        <v>349</v>
      </c>
      <c r="C322" s="9">
        <v>14</v>
      </c>
      <c r="D322">
        <v>361.6</v>
      </c>
      <c r="E322" s="29">
        <v>450</v>
      </c>
      <c r="F322" s="50">
        <v>350</v>
      </c>
      <c r="G322" s="21">
        <f t="shared" si="171"/>
        <v>8.6206896551723968</v>
      </c>
      <c r="H322" s="6">
        <v>45321</v>
      </c>
      <c r="I322" s="29">
        <v>376.82</v>
      </c>
      <c r="J322" s="30">
        <f t="shared" si="172"/>
        <v>4.2090707964601792E-2</v>
      </c>
      <c r="K322" s="35">
        <f t="shared" si="173"/>
        <v>213.07999999999902</v>
      </c>
      <c r="L322" s="21">
        <f t="shared" si="174"/>
        <v>1</v>
      </c>
      <c r="M322" s="9">
        <f t="shared" si="175"/>
        <v>1</v>
      </c>
      <c r="N322">
        <f t="shared" si="176"/>
        <v>213.07999999999902</v>
      </c>
      <c r="O322">
        <v>0</v>
      </c>
      <c r="P322" s="86"/>
      <c r="Q322" s="78"/>
    </row>
    <row r="323" spans="1:18">
      <c r="A323" s="6">
        <v>45320</v>
      </c>
      <c r="B323" t="s">
        <v>519</v>
      </c>
      <c r="C323" s="9">
        <v>213</v>
      </c>
      <c r="D323">
        <v>22.71</v>
      </c>
      <c r="E323" s="29">
        <v>30</v>
      </c>
      <c r="F323" s="50">
        <v>22</v>
      </c>
      <c r="G323" s="21">
        <f t="shared" si="171"/>
        <v>11.267605633802804</v>
      </c>
      <c r="H323" s="6">
        <v>45323</v>
      </c>
      <c r="I323" s="29">
        <v>22.91</v>
      </c>
      <c r="J323" s="30">
        <f t="shared" si="172"/>
        <v>8.8066930867458648E-3</v>
      </c>
      <c r="K323" s="35">
        <f t="shared" si="173"/>
        <v>42.599999999999454</v>
      </c>
      <c r="L323" s="21">
        <f t="shared" si="174"/>
        <v>3</v>
      </c>
      <c r="M323" s="9">
        <f t="shared" si="175"/>
        <v>1</v>
      </c>
      <c r="N323">
        <f t="shared" si="176"/>
        <v>42.599999999999454</v>
      </c>
      <c r="O323">
        <v>0</v>
      </c>
      <c r="P323" s="86"/>
      <c r="Q323" s="78"/>
      <c r="R323" s="28">
        <v>3250.93</v>
      </c>
    </row>
    <row r="324" spans="1:18">
      <c r="A324" s="6">
        <v>45315</v>
      </c>
      <c r="B324" t="s">
        <v>75</v>
      </c>
      <c r="C324" s="9">
        <v>140</v>
      </c>
      <c r="D324">
        <v>7.59</v>
      </c>
      <c r="E324" s="29">
        <v>10</v>
      </c>
      <c r="F324" s="50">
        <v>5.0999999999999996</v>
      </c>
      <c r="G324" s="21">
        <f t="shared" ref="G324:G331" si="177" xml:space="preserve"> (E324 - F324)/(D324-F324)</f>
        <v>1.9678714859437751</v>
      </c>
      <c r="H324" s="6">
        <v>45443</v>
      </c>
      <c r="I324" s="29">
        <v>8.6</v>
      </c>
      <c r="J324" s="30">
        <f>I324/D324 -1</f>
        <v>0.13306982872200268</v>
      </c>
      <c r="K324" s="35">
        <f>(C324*I324) - (C324*D324)</f>
        <v>141.40000000000009</v>
      </c>
      <c r="L324" s="21">
        <f>H324-A324</f>
        <v>128</v>
      </c>
      <c r="M324" s="9">
        <f>IF(J324&gt;0,1,0)</f>
        <v>1</v>
      </c>
      <c r="N324">
        <f>IF(K324&gt;0, K324, 0)</f>
        <v>141.40000000000009</v>
      </c>
      <c r="O324">
        <v>0</v>
      </c>
      <c r="P324" s="86"/>
      <c r="Q324" s="78"/>
      <c r="R324" s="28">
        <v>3249.76</v>
      </c>
    </row>
    <row r="325" spans="1:18">
      <c r="A325" s="6">
        <v>45315</v>
      </c>
      <c r="B325" t="s">
        <v>287</v>
      </c>
      <c r="C325" s="9">
        <v>104</v>
      </c>
      <c r="D325">
        <v>56.55</v>
      </c>
      <c r="E325" s="29">
        <v>60</v>
      </c>
      <c r="F325" s="50">
        <v>54</v>
      </c>
      <c r="G325" s="21">
        <f t="shared" si="177"/>
        <v>2.352941176470591</v>
      </c>
      <c r="H325" s="6">
        <v>45317</v>
      </c>
      <c r="I325" s="16">
        <v>55.44</v>
      </c>
      <c r="J325" s="25">
        <f>I325/D325 -1</f>
        <v>-1.9628647214854134E-2</v>
      </c>
      <c r="K325" s="36">
        <f>(C325*I325) - (C325*D325)</f>
        <v>-115.4399999999996</v>
      </c>
      <c r="L325" s="24">
        <f t="shared" ref="L325:L339" si="178">H325-A325</f>
        <v>2</v>
      </c>
      <c r="M325" s="52">
        <f>IF(J325&gt;0,1,0)</f>
        <v>0</v>
      </c>
      <c r="N325" s="24">
        <f>IF(K325&gt;0, K325, 0)</f>
        <v>0</v>
      </c>
      <c r="O325" s="17">
        <f>IF(K325&lt;0, K325, 0)</f>
        <v>-115.4399999999996</v>
      </c>
      <c r="P325" s="86"/>
      <c r="Q325" s="78"/>
      <c r="R325" s="28">
        <v>2890.96</v>
      </c>
    </row>
    <row r="326" spans="1:18">
      <c r="A326" s="6">
        <v>45314</v>
      </c>
      <c r="B326" t="s">
        <v>229</v>
      </c>
      <c r="C326" s="9">
        <v>50</v>
      </c>
      <c r="D326">
        <v>112.5</v>
      </c>
      <c r="E326" s="29">
        <v>117</v>
      </c>
      <c r="F326" s="50">
        <v>110</v>
      </c>
      <c r="G326" s="21">
        <f t="shared" si="177"/>
        <v>2.8</v>
      </c>
      <c r="H326" s="6">
        <v>45317</v>
      </c>
      <c r="I326" s="29">
        <v>114.64</v>
      </c>
      <c r="J326" s="30">
        <f t="shared" ref="J326:J339" si="179">I326/D326 -1</f>
        <v>1.9022222222222274E-2</v>
      </c>
      <c r="K326" s="35">
        <f t="shared" ref="K326:K339" si="180">(C326*I326) - (C326*D326)</f>
        <v>107</v>
      </c>
      <c r="L326" s="21">
        <f t="shared" si="178"/>
        <v>3</v>
      </c>
      <c r="M326" s="9">
        <f t="shared" ref="M326:M339" si="181">IF(J326&gt;0,1,0)</f>
        <v>1</v>
      </c>
      <c r="N326">
        <f t="shared" ref="N326:N339" si="182">IF(K326&gt;0, K326, 0)</f>
        <v>107</v>
      </c>
      <c r="O326">
        <v>0</v>
      </c>
      <c r="P326" s="86"/>
      <c r="Q326" s="78"/>
      <c r="R326" s="28">
        <v>2767.2</v>
      </c>
    </row>
    <row r="327" spans="1:18">
      <c r="A327" s="6">
        <v>45313</v>
      </c>
      <c r="B327" t="s">
        <v>577</v>
      </c>
      <c r="C327" s="9">
        <v>68</v>
      </c>
      <c r="D327">
        <v>59.15</v>
      </c>
      <c r="E327" s="29">
        <v>70</v>
      </c>
      <c r="F327" s="50">
        <v>56</v>
      </c>
      <c r="G327" s="21">
        <f t="shared" si="177"/>
        <v>4.4444444444444464</v>
      </c>
      <c r="H327" s="6">
        <v>45321</v>
      </c>
      <c r="I327" s="29">
        <v>61.41</v>
      </c>
      <c r="J327" s="30">
        <f t="shared" si="179"/>
        <v>3.8207945900253559E-2</v>
      </c>
      <c r="K327" s="35">
        <f t="shared" si="180"/>
        <v>153.68000000000029</v>
      </c>
      <c r="L327" s="21">
        <f t="shared" si="178"/>
        <v>8</v>
      </c>
      <c r="M327" s="9">
        <f t="shared" si="181"/>
        <v>1</v>
      </c>
      <c r="N327">
        <f t="shared" si="182"/>
        <v>153.68000000000029</v>
      </c>
      <c r="O327">
        <v>0</v>
      </c>
      <c r="P327" s="86"/>
      <c r="Q327" s="78"/>
    </row>
    <row r="328" spans="1:18">
      <c r="A328" s="6">
        <v>45313</v>
      </c>
      <c r="B328" t="s">
        <v>287</v>
      </c>
      <c r="C328" s="9">
        <v>104</v>
      </c>
      <c r="D328">
        <v>55.4</v>
      </c>
      <c r="E328" s="29">
        <v>60</v>
      </c>
      <c r="F328" s="50">
        <v>52</v>
      </c>
      <c r="G328" s="21">
        <f t="shared" si="177"/>
        <v>2.3529411764705892</v>
      </c>
      <c r="H328" s="6">
        <v>45315</v>
      </c>
      <c r="I328" s="29">
        <v>56.59</v>
      </c>
      <c r="J328" s="30">
        <f t="shared" si="179"/>
        <v>2.1480144404332213E-2</v>
      </c>
      <c r="K328" s="35">
        <f t="shared" si="180"/>
        <v>123.76000000000113</v>
      </c>
      <c r="L328" s="21">
        <f t="shared" si="178"/>
        <v>2</v>
      </c>
      <c r="M328" s="9">
        <f t="shared" si="181"/>
        <v>1</v>
      </c>
      <c r="N328">
        <f t="shared" si="182"/>
        <v>123.76000000000113</v>
      </c>
      <c r="O328">
        <v>0</v>
      </c>
      <c r="P328" s="86"/>
      <c r="Q328" s="78"/>
    </row>
    <row r="329" spans="1:18">
      <c r="A329" s="6">
        <v>45313</v>
      </c>
      <c r="B329" s="61" t="s">
        <v>745</v>
      </c>
      <c r="C329" s="9">
        <v>230</v>
      </c>
      <c r="D329">
        <v>23.81</v>
      </c>
      <c r="E329" s="29">
        <v>27.5</v>
      </c>
      <c r="F329" s="50">
        <v>22.5</v>
      </c>
      <c r="G329" s="21">
        <f t="shared" si="177"/>
        <v>3.8167938931297747</v>
      </c>
      <c r="H329" s="6">
        <v>45331</v>
      </c>
      <c r="I329" s="29">
        <v>26.35</v>
      </c>
      <c r="J329" s="30">
        <f t="shared" si="179"/>
        <v>0.1066778664426713</v>
      </c>
      <c r="K329" s="35">
        <f t="shared" si="180"/>
        <v>584.20000000000073</v>
      </c>
      <c r="L329" s="21">
        <f t="shared" si="178"/>
        <v>18</v>
      </c>
      <c r="M329" s="9">
        <f t="shared" si="181"/>
        <v>1</v>
      </c>
      <c r="N329">
        <f t="shared" si="182"/>
        <v>584.20000000000073</v>
      </c>
      <c r="O329">
        <v>0</v>
      </c>
      <c r="P329" s="86"/>
      <c r="Q329" s="78"/>
    </row>
    <row r="330" spans="1:18">
      <c r="A330" s="6">
        <v>45313</v>
      </c>
      <c r="B330" t="s">
        <v>229</v>
      </c>
      <c r="C330" s="9">
        <v>50</v>
      </c>
      <c r="D330">
        <v>109.76</v>
      </c>
      <c r="E330" s="29">
        <v>117</v>
      </c>
      <c r="F330" s="50">
        <v>105</v>
      </c>
      <c r="G330" s="21">
        <f t="shared" si="177"/>
        <v>2.5210084033613418</v>
      </c>
      <c r="H330" s="6">
        <v>45314</v>
      </c>
      <c r="I330" s="29">
        <v>112.56</v>
      </c>
      <c r="J330" s="30">
        <f t="shared" si="179"/>
        <v>2.5510204081632626E-2</v>
      </c>
      <c r="K330" s="35">
        <f t="shared" si="180"/>
        <v>140</v>
      </c>
      <c r="L330" s="21">
        <f t="shared" si="178"/>
        <v>1</v>
      </c>
      <c r="M330" s="9">
        <f t="shared" si="181"/>
        <v>1</v>
      </c>
      <c r="N330">
        <f t="shared" si="182"/>
        <v>140</v>
      </c>
      <c r="O330">
        <v>0</v>
      </c>
      <c r="P330" s="86"/>
      <c r="Q330" s="78"/>
    </row>
    <row r="331" spans="1:18">
      <c r="A331" s="6">
        <v>45313</v>
      </c>
      <c r="B331" t="s">
        <v>637</v>
      </c>
      <c r="C331" s="9">
        <v>40</v>
      </c>
      <c r="D331">
        <v>129.56</v>
      </c>
      <c r="E331" s="29">
        <v>150</v>
      </c>
      <c r="F331" s="50">
        <v>125</v>
      </c>
      <c r="G331" s="21">
        <f t="shared" si="177"/>
        <v>5.482456140350874</v>
      </c>
      <c r="H331" s="6">
        <v>45317</v>
      </c>
      <c r="I331" s="29">
        <v>138.72</v>
      </c>
      <c r="J331" s="30">
        <f t="shared" si="179"/>
        <v>7.0700833590614298E-2</v>
      </c>
      <c r="K331" s="35">
        <f t="shared" si="180"/>
        <v>366.40000000000055</v>
      </c>
      <c r="L331" s="21">
        <f t="shared" si="178"/>
        <v>4</v>
      </c>
      <c r="M331" s="9">
        <f t="shared" si="181"/>
        <v>1</v>
      </c>
      <c r="N331">
        <f t="shared" si="182"/>
        <v>366.40000000000055</v>
      </c>
      <c r="O331">
        <v>0</v>
      </c>
      <c r="P331" s="86"/>
      <c r="Q331" s="78"/>
      <c r="R331" s="28">
        <v>2614.88</v>
      </c>
    </row>
    <row r="332" spans="1:18">
      <c r="A332" s="6">
        <v>45309</v>
      </c>
      <c r="B332" t="s">
        <v>75</v>
      </c>
      <c r="C332" s="9">
        <v>77</v>
      </c>
      <c r="D332">
        <v>8.6</v>
      </c>
      <c r="E332" s="29">
        <v>10</v>
      </c>
      <c r="F332" s="50">
        <v>8</v>
      </c>
      <c r="G332" s="21">
        <f t="shared" ref="G332:G359" si="183" xml:space="preserve"> (E332 - F332)/(D332-F332)</f>
        <v>3.3333333333333353</v>
      </c>
      <c r="H332" s="6">
        <v>45314</v>
      </c>
      <c r="I332" s="29">
        <v>8.76</v>
      </c>
      <c r="J332" s="30">
        <f t="shared" si="179"/>
        <v>1.8604651162790642E-2</v>
      </c>
      <c r="K332" s="35">
        <f t="shared" si="180"/>
        <v>12.32000000000005</v>
      </c>
      <c r="L332" s="21">
        <f t="shared" si="178"/>
        <v>5</v>
      </c>
      <c r="M332" s="9">
        <f t="shared" si="181"/>
        <v>1</v>
      </c>
      <c r="N332">
        <f t="shared" si="182"/>
        <v>12.32000000000005</v>
      </c>
      <c r="O332">
        <v>0</v>
      </c>
      <c r="P332" s="86"/>
      <c r="Q332" s="78"/>
      <c r="R332" s="28">
        <v>2510.38</v>
      </c>
    </row>
    <row r="333" spans="1:18">
      <c r="A333" s="6">
        <v>45309</v>
      </c>
      <c r="B333" t="s">
        <v>94</v>
      </c>
      <c r="C333" s="9">
        <v>32</v>
      </c>
      <c r="D333">
        <v>188.8</v>
      </c>
      <c r="E333" s="29">
        <v>200</v>
      </c>
      <c r="F333" s="50">
        <v>185</v>
      </c>
      <c r="G333" s="21">
        <f t="shared" si="183"/>
        <v>3.9473684210526199</v>
      </c>
      <c r="H333" s="6">
        <v>45309</v>
      </c>
      <c r="I333" s="29">
        <v>191.56</v>
      </c>
      <c r="J333" s="30">
        <f t="shared" si="179"/>
        <v>1.4618644067796671E-2</v>
      </c>
      <c r="K333" s="35">
        <f t="shared" si="180"/>
        <v>88.319999999999709</v>
      </c>
      <c r="L333" s="21">
        <f t="shared" si="178"/>
        <v>0</v>
      </c>
      <c r="M333" s="9">
        <f t="shared" si="181"/>
        <v>1</v>
      </c>
      <c r="N333">
        <f t="shared" si="182"/>
        <v>88.319999999999709</v>
      </c>
      <c r="O333">
        <v>0</v>
      </c>
      <c r="P333" s="86"/>
      <c r="Q333" s="78"/>
    </row>
    <row r="334" spans="1:18">
      <c r="A334" s="6">
        <v>45307</v>
      </c>
      <c r="B334" t="s">
        <v>287</v>
      </c>
      <c r="C334" s="9">
        <v>104</v>
      </c>
      <c r="D334">
        <v>50.75</v>
      </c>
      <c r="E334" s="29">
        <v>55</v>
      </c>
      <c r="F334" s="50">
        <v>48</v>
      </c>
      <c r="G334" s="21">
        <f t="shared" si="183"/>
        <v>2.5454545454545454</v>
      </c>
      <c r="H334" s="6">
        <v>45309</v>
      </c>
      <c r="I334" s="29">
        <v>54.54</v>
      </c>
      <c r="J334" s="30">
        <f t="shared" si="179"/>
        <v>7.4679802955665009E-2</v>
      </c>
      <c r="K334" s="35">
        <f t="shared" si="180"/>
        <v>394.15999999999985</v>
      </c>
      <c r="L334" s="21">
        <f t="shared" si="178"/>
        <v>2</v>
      </c>
      <c r="M334" s="9">
        <f t="shared" si="181"/>
        <v>1</v>
      </c>
      <c r="N334">
        <f t="shared" si="182"/>
        <v>394.15999999999985</v>
      </c>
      <c r="O334">
        <v>0</v>
      </c>
      <c r="P334" s="86"/>
      <c r="Q334" s="78"/>
      <c r="R334" s="28">
        <v>1731.24</v>
      </c>
    </row>
    <row r="335" spans="1:18">
      <c r="A335" s="6">
        <v>45307</v>
      </c>
      <c r="B335" t="s">
        <v>229</v>
      </c>
      <c r="C335" s="9">
        <v>50</v>
      </c>
      <c r="D335">
        <v>106.25</v>
      </c>
      <c r="E335" s="29">
        <v>120</v>
      </c>
      <c r="F335" s="50">
        <v>100</v>
      </c>
      <c r="G335" s="21">
        <f t="shared" si="183"/>
        <v>3.2</v>
      </c>
      <c r="H335" s="6">
        <v>45309</v>
      </c>
      <c r="I335" s="29">
        <v>109.67</v>
      </c>
      <c r="J335" s="30">
        <f t="shared" si="179"/>
        <v>3.2188235294117629E-2</v>
      </c>
      <c r="K335" s="35">
        <f t="shared" si="180"/>
        <v>171</v>
      </c>
      <c r="L335" s="21">
        <f t="shared" si="178"/>
        <v>2</v>
      </c>
      <c r="M335" s="9">
        <f t="shared" si="181"/>
        <v>1</v>
      </c>
      <c r="N335">
        <f t="shared" si="182"/>
        <v>171</v>
      </c>
      <c r="O335">
        <v>0</v>
      </c>
      <c r="P335" s="86"/>
      <c r="Q335" s="78"/>
    </row>
    <row r="336" spans="1:18">
      <c r="A336" s="6">
        <v>45307</v>
      </c>
      <c r="B336" t="s">
        <v>682</v>
      </c>
      <c r="C336" s="9">
        <v>122</v>
      </c>
      <c r="D336">
        <v>42.5</v>
      </c>
      <c r="E336" s="29">
        <v>50</v>
      </c>
      <c r="F336" s="50">
        <v>40</v>
      </c>
      <c r="G336" s="21">
        <f t="shared" si="183"/>
        <v>4</v>
      </c>
      <c r="H336" s="6">
        <v>45309</v>
      </c>
      <c r="I336" s="29">
        <v>43.53</v>
      </c>
      <c r="J336" s="30">
        <f t="shared" si="179"/>
        <v>2.4235294117647133E-2</v>
      </c>
      <c r="K336" s="35">
        <f t="shared" si="180"/>
        <v>125.65999999999985</v>
      </c>
      <c r="L336" s="21">
        <f t="shared" si="178"/>
        <v>2</v>
      </c>
      <c r="M336" s="9">
        <f t="shared" si="181"/>
        <v>1</v>
      </c>
      <c r="N336">
        <f t="shared" si="182"/>
        <v>125.65999999999985</v>
      </c>
      <c r="O336">
        <v>0</v>
      </c>
      <c r="P336" s="86"/>
      <c r="Q336" s="78"/>
    </row>
    <row r="337" spans="1:19">
      <c r="A337" s="6">
        <v>45307</v>
      </c>
      <c r="B337" t="s">
        <v>94</v>
      </c>
      <c r="C337" s="9">
        <v>32</v>
      </c>
      <c r="D337">
        <v>183</v>
      </c>
      <c r="E337" s="29">
        <v>200</v>
      </c>
      <c r="F337" s="50">
        <v>180</v>
      </c>
      <c r="G337" s="21">
        <f t="shared" si="183"/>
        <v>6.666666666666667</v>
      </c>
      <c r="H337" s="6">
        <v>45309</v>
      </c>
      <c r="I337" s="29">
        <v>188.81</v>
      </c>
      <c r="J337" s="30">
        <f t="shared" si="179"/>
        <v>3.174863387978144E-2</v>
      </c>
      <c r="K337" s="35">
        <f t="shared" si="180"/>
        <v>185.92000000000007</v>
      </c>
      <c r="L337" s="21">
        <f t="shared" si="178"/>
        <v>2</v>
      </c>
      <c r="M337" s="9">
        <f t="shared" si="181"/>
        <v>1</v>
      </c>
      <c r="N337">
        <f t="shared" si="182"/>
        <v>185.92000000000007</v>
      </c>
      <c r="O337">
        <v>0</v>
      </c>
      <c r="P337" s="86"/>
      <c r="Q337" s="78"/>
      <c r="R337" s="28">
        <v>1502.62</v>
      </c>
    </row>
    <row r="338" spans="1:19">
      <c r="A338" s="6">
        <v>45301</v>
      </c>
      <c r="B338" t="s">
        <v>728</v>
      </c>
      <c r="C338" s="9">
        <v>25</v>
      </c>
      <c r="D338">
        <v>30.3</v>
      </c>
      <c r="E338" s="29">
        <v>35</v>
      </c>
      <c r="F338" s="50">
        <v>30</v>
      </c>
      <c r="G338" s="21">
        <f t="shared" si="183"/>
        <v>16.666666666666629</v>
      </c>
      <c r="H338" s="6">
        <v>45323</v>
      </c>
      <c r="I338" s="29">
        <v>30.9</v>
      </c>
      <c r="J338" s="30">
        <f t="shared" si="179"/>
        <v>1.980198019801982E-2</v>
      </c>
      <c r="K338" s="35">
        <f t="shared" si="180"/>
        <v>15</v>
      </c>
      <c r="L338" s="21">
        <f t="shared" si="178"/>
        <v>22</v>
      </c>
      <c r="M338" s="9">
        <f t="shared" si="181"/>
        <v>1</v>
      </c>
      <c r="N338">
        <f t="shared" si="182"/>
        <v>15</v>
      </c>
      <c r="O338">
        <v>0</v>
      </c>
      <c r="P338" s="86"/>
      <c r="Q338" s="78"/>
      <c r="S338" s="16">
        <v>1.05</v>
      </c>
    </row>
    <row r="339" spans="1:19">
      <c r="A339" s="6">
        <v>45301</v>
      </c>
      <c r="B339" t="s">
        <v>310</v>
      </c>
      <c r="C339" s="9">
        <v>635</v>
      </c>
      <c r="D339">
        <v>1.72</v>
      </c>
      <c r="E339" s="29">
        <v>2.1</v>
      </c>
      <c r="F339" s="50">
        <v>1.7</v>
      </c>
      <c r="G339" s="21">
        <f t="shared" si="183"/>
        <v>19.999999999999989</v>
      </c>
      <c r="H339" s="6">
        <v>45372</v>
      </c>
      <c r="I339" s="16">
        <v>1.0900000000000001</v>
      </c>
      <c r="J339" s="25">
        <f t="shared" si="179"/>
        <v>-0.36627906976744184</v>
      </c>
      <c r="K339" s="36">
        <f t="shared" si="180"/>
        <v>-400.04999999999995</v>
      </c>
      <c r="L339" s="24">
        <f t="shared" si="178"/>
        <v>71</v>
      </c>
      <c r="M339" s="52">
        <f t="shared" si="181"/>
        <v>0</v>
      </c>
      <c r="N339" s="24">
        <f t="shared" si="182"/>
        <v>0</v>
      </c>
      <c r="O339" s="17">
        <f>IF(K339&lt;0, K339, 0)</f>
        <v>-400.04999999999995</v>
      </c>
      <c r="P339" s="86"/>
      <c r="Q339" s="78"/>
      <c r="R339" s="28">
        <v>1442.42</v>
      </c>
    </row>
    <row r="340" spans="1:19">
      <c r="A340" s="6">
        <v>45301</v>
      </c>
      <c r="B340" t="s">
        <v>287</v>
      </c>
      <c r="C340" s="9">
        <v>122</v>
      </c>
      <c r="D340">
        <v>50</v>
      </c>
      <c r="E340" s="29">
        <v>55</v>
      </c>
      <c r="F340" s="50">
        <v>45</v>
      </c>
      <c r="G340" s="21">
        <f t="shared" si="183"/>
        <v>2</v>
      </c>
      <c r="H340" s="6">
        <v>45303</v>
      </c>
      <c r="I340" s="29">
        <v>50.35</v>
      </c>
      <c r="J340" s="30">
        <f>I340/D340 -1</f>
        <v>7.0000000000001172E-3</v>
      </c>
      <c r="K340" s="35">
        <f>(C340*I340) - (C340*D340)</f>
        <v>42.699999999999818</v>
      </c>
      <c r="L340" s="21">
        <f>H340-A340</f>
        <v>2</v>
      </c>
      <c r="M340" s="9">
        <f>IF(J340&gt;0,1,0)</f>
        <v>1</v>
      </c>
      <c r="N340">
        <f>IF(K340&gt;0, K340, 0)</f>
        <v>42.699999999999818</v>
      </c>
      <c r="O340">
        <v>0</v>
      </c>
      <c r="P340" s="86"/>
      <c r="Q340" s="78"/>
      <c r="R340" s="28">
        <v>1223.99</v>
      </c>
    </row>
    <row r="341" spans="1:19">
      <c r="A341" s="6">
        <v>45301</v>
      </c>
      <c r="B341" t="s">
        <v>426</v>
      </c>
      <c r="C341" s="9">
        <v>14</v>
      </c>
      <c r="D341">
        <v>383.2</v>
      </c>
      <c r="E341" s="29">
        <v>400</v>
      </c>
      <c r="F341" s="50">
        <v>375</v>
      </c>
      <c r="G341" s="21">
        <f t="shared" si="183"/>
        <v>3.0487804878048821</v>
      </c>
      <c r="H341" s="6">
        <v>45303</v>
      </c>
      <c r="I341" s="29">
        <v>388.1</v>
      </c>
      <c r="J341" s="30">
        <f>I341/D341 -1</f>
        <v>1.2787056367432159E-2</v>
      </c>
      <c r="K341" s="35">
        <f>(C341*I341) - (C341*D341)</f>
        <v>68.600000000000364</v>
      </c>
      <c r="L341" s="21">
        <f>H341-A341</f>
        <v>2</v>
      </c>
      <c r="M341" s="9">
        <f>IF(J341&gt;0,1,0)</f>
        <v>1</v>
      </c>
      <c r="N341">
        <f>IF(K341&gt;0, K341, 0)</f>
        <v>68.600000000000364</v>
      </c>
      <c r="O341">
        <v>0</v>
      </c>
      <c r="R341" s="28">
        <v>1177.73</v>
      </c>
    </row>
    <row r="342" spans="1:19">
      <c r="A342" s="6">
        <v>45300</v>
      </c>
      <c r="B342" s="22" t="s">
        <v>18</v>
      </c>
      <c r="C342" s="57">
        <v>200</v>
      </c>
      <c r="D342">
        <v>35.06</v>
      </c>
      <c r="E342" s="29">
        <v>5</v>
      </c>
      <c r="F342" s="50">
        <v>0.62</v>
      </c>
      <c r="G342" s="21">
        <f t="shared" si="183"/>
        <v>0.12717770034843204</v>
      </c>
      <c r="H342" s="6">
        <v>45502</v>
      </c>
      <c r="I342" s="16">
        <v>29.21</v>
      </c>
      <c r="J342" s="25">
        <f>I342/D342 -1</f>
        <v>-0.16685681688533949</v>
      </c>
      <c r="K342" s="36">
        <f>(C342*I342) - (C342*D342)</f>
        <v>-1170</v>
      </c>
      <c r="L342" s="24">
        <f>H342-A342</f>
        <v>202</v>
      </c>
      <c r="M342" s="52">
        <f>IF(J342&gt;0,1,0)</f>
        <v>0</v>
      </c>
      <c r="N342" s="24">
        <f>IF(K342&gt;0, K342, 0)</f>
        <v>0</v>
      </c>
      <c r="O342" s="17">
        <f>IF(K342&lt;0, K342, 0)</f>
        <v>-1170</v>
      </c>
    </row>
    <row r="343" spans="1:19">
      <c r="A343" s="6">
        <v>45300</v>
      </c>
      <c r="B343" s="61" t="s">
        <v>521</v>
      </c>
      <c r="C343" s="9">
        <v>41</v>
      </c>
      <c r="D343">
        <v>140.72</v>
      </c>
      <c r="E343" s="29">
        <v>150</v>
      </c>
      <c r="F343" s="50">
        <v>136</v>
      </c>
      <c r="G343" s="21">
        <f t="shared" si="183"/>
        <v>2.9661016949152548</v>
      </c>
      <c r="H343" s="6">
        <v>45303</v>
      </c>
      <c r="I343" s="29">
        <v>142.75</v>
      </c>
      <c r="J343" s="30">
        <f t="shared" ref="J343:J348" si="184">I343/D343 -1</f>
        <v>1.4425810119385929E-2</v>
      </c>
      <c r="K343" s="35">
        <f t="shared" ref="K343:K348" si="185">(C343*I343) - (C343*D343)</f>
        <v>83.230000000000473</v>
      </c>
      <c r="L343" s="21">
        <f t="shared" ref="L343:L348" si="186">H343-A343</f>
        <v>3</v>
      </c>
      <c r="M343" s="9">
        <f t="shared" ref="M343:M348" si="187">IF(J343&gt;0,1,0)</f>
        <v>1</v>
      </c>
      <c r="N343">
        <f t="shared" ref="N343:N348" si="188">IF(K343&gt;0, K343, 0)</f>
        <v>83.230000000000473</v>
      </c>
      <c r="O343">
        <v>0</v>
      </c>
    </row>
    <row r="344" spans="1:19">
      <c r="A344" s="6">
        <v>45300</v>
      </c>
      <c r="B344" t="s">
        <v>287</v>
      </c>
      <c r="C344" s="9">
        <v>122</v>
      </c>
      <c r="D344">
        <v>48.89</v>
      </c>
      <c r="E344" s="29">
        <v>55</v>
      </c>
      <c r="F344" s="50">
        <v>45</v>
      </c>
      <c r="G344" s="21">
        <f t="shared" si="183"/>
        <v>2.5706940874035986</v>
      </c>
      <c r="H344" s="6">
        <v>45301</v>
      </c>
      <c r="I344" s="29">
        <v>50.03</v>
      </c>
      <c r="J344" s="30">
        <f t="shared" si="184"/>
        <v>2.3317651871548328E-2</v>
      </c>
      <c r="K344" s="35">
        <f t="shared" si="185"/>
        <v>139.07999999999993</v>
      </c>
      <c r="L344" s="21">
        <f t="shared" si="186"/>
        <v>1</v>
      </c>
      <c r="M344" s="9">
        <f t="shared" si="187"/>
        <v>1</v>
      </c>
      <c r="N344">
        <f t="shared" si="188"/>
        <v>139.07999999999993</v>
      </c>
      <c r="O344">
        <v>0</v>
      </c>
      <c r="R344" s="28">
        <v>853.71</v>
      </c>
    </row>
    <row r="345" spans="1:19">
      <c r="A345" s="6">
        <v>45299</v>
      </c>
      <c r="B345" t="s">
        <v>287</v>
      </c>
      <c r="C345" s="9">
        <v>122</v>
      </c>
      <c r="D345">
        <v>47.5</v>
      </c>
      <c r="E345" s="29">
        <v>55</v>
      </c>
      <c r="F345" s="50">
        <v>45</v>
      </c>
      <c r="G345" s="21">
        <f t="shared" si="183"/>
        <v>4</v>
      </c>
      <c r="H345" s="6">
        <v>45300</v>
      </c>
      <c r="I345" s="29">
        <v>48.9</v>
      </c>
      <c r="J345" s="30">
        <f t="shared" si="184"/>
        <v>2.9473684210526319E-2</v>
      </c>
      <c r="K345" s="35">
        <f t="shared" si="185"/>
        <v>170.80000000000018</v>
      </c>
      <c r="L345" s="21">
        <f t="shared" si="186"/>
        <v>1</v>
      </c>
      <c r="M345" s="9">
        <f t="shared" si="187"/>
        <v>1</v>
      </c>
      <c r="N345">
        <f t="shared" si="188"/>
        <v>170.80000000000018</v>
      </c>
      <c r="O345">
        <v>0</v>
      </c>
    </row>
    <row r="346" spans="1:19">
      <c r="A346" s="6">
        <v>45299</v>
      </c>
      <c r="B346" t="s">
        <v>94</v>
      </c>
      <c r="C346" s="9">
        <v>30</v>
      </c>
      <c r="D346">
        <v>183.48</v>
      </c>
      <c r="E346" s="29">
        <v>200</v>
      </c>
      <c r="F346" s="50">
        <v>180</v>
      </c>
      <c r="G346" s="21">
        <f t="shared" si="183"/>
        <v>5.7471264367816257</v>
      </c>
      <c r="H346" s="6">
        <v>45303</v>
      </c>
      <c r="I346" s="29">
        <v>185.7</v>
      </c>
      <c r="J346" s="30">
        <f t="shared" si="184"/>
        <v>1.2099411379986824E-2</v>
      </c>
      <c r="K346" s="35">
        <f t="shared" si="185"/>
        <v>66.600000000000364</v>
      </c>
      <c r="L346" s="21">
        <f t="shared" si="186"/>
        <v>4</v>
      </c>
      <c r="M346" s="9">
        <f t="shared" si="187"/>
        <v>1</v>
      </c>
      <c r="N346">
        <f t="shared" si="188"/>
        <v>66.600000000000364</v>
      </c>
      <c r="O346">
        <v>0</v>
      </c>
    </row>
    <row r="347" spans="1:19">
      <c r="A347" s="6">
        <v>45299</v>
      </c>
      <c r="B347" t="s">
        <v>286</v>
      </c>
      <c r="C347" s="9">
        <v>186</v>
      </c>
      <c r="D347">
        <v>31.68</v>
      </c>
      <c r="E347" s="29">
        <v>45</v>
      </c>
      <c r="F347" s="50">
        <v>30</v>
      </c>
      <c r="G347" s="21">
        <f t="shared" si="183"/>
        <v>8.9285714285714306</v>
      </c>
      <c r="H347" s="6">
        <v>45378</v>
      </c>
      <c r="I347" s="29">
        <v>32.57</v>
      </c>
      <c r="J347" s="30">
        <f t="shared" si="184"/>
        <v>2.8093434343434254E-2</v>
      </c>
      <c r="K347" s="35">
        <f t="shared" si="185"/>
        <v>165.54000000000087</v>
      </c>
      <c r="L347" s="21">
        <f t="shared" si="186"/>
        <v>79</v>
      </c>
      <c r="M347" s="9">
        <f t="shared" si="187"/>
        <v>1</v>
      </c>
      <c r="N347">
        <f t="shared" si="188"/>
        <v>165.54000000000087</v>
      </c>
      <c r="O347">
        <v>0</v>
      </c>
    </row>
    <row r="348" spans="1:19">
      <c r="A348" s="6">
        <v>45299</v>
      </c>
      <c r="B348" t="s">
        <v>426</v>
      </c>
      <c r="C348" s="9">
        <v>14</v>
      </c>
      <c r="D348">
        <v>370.04</v>
      </c>
      <c r="E348" s="29">
        <v>400</v>
      </c>
      <c r="F348" s="50">
        <v>365</v>
      </c>
      <c r="G348" s="21">
        <f t="shared" si="183"/>
        <v>6.9444444444444162</v>
      </c>
      <c r="H348" s="6">
        <v>45301</v>
      </c>
      <c r="I348" s="29">
        <v>383.25</v>
      </c>
      <c r="J348" s="30">
        <f t="shared" si="184"/>
        <v>3.569884336828455E-2</v>
      </c>
      <c r="K348" s="35">
        <f t="shared" si="185"/>
        <v>184.9399999999996</v>
      </c>
      <c r="L348" s="21">
        <f t="shared" si="186"/>
        <v>2</v>
      </c>
      <c r="M348" s="9">
        <f t="shared" si="187"/>
        <v>1</v>
      </c>
      <c r="N348">
        <f t="shared" si="188"/>
        <v>184.9399999999996</v>
      </c>
      <c r="O348">
        <v>0</v>
      </c>
    </row>
    <row r="349" spans="1:19">
      <c r="A349" s="6">
        <v>45299</v>
      </c>
      <c r="B349" t="s">
        <v>730</v>
      </c>
      <c r="C349" s="9">
        <v>210</v>
      </c>
      <c r="D349">
        <v>27.05</v>
      </c>
      <c r="E349" s="29">
        <v>30</v>
      </c>
      <c r="F349" s="50">
        <v>26</v>
      </c>
      <c r="G349" s="21">
        <f t="shared" si="183"/>
        <v>3.8095238095238071</v>
      </c>
      <c r="H349" s="6">
        <v>45363</v>
      </c>
      <c r="I349" s="16">
        <v>25.7</v>
      </c>
      <c r="J349" s="25">
        <f t="shared" ref="J349:J356" si="189">I349/D349 -1</f>
        <v>-4.9907578558225585E-2</v>
      </c>
      <c r="K349" s="36">
        <f t="shared" ref="K349:K356" si="190">(C349*I349) - (C349*D349)</f>
        <v>-283.5</v>
      </c>
      <c r="L349" s="24">
        <f t="shared" ref="L349:L356" si="191">H349-A349</f>
        <v>64</v>
      </c>
      <c r="M349" s="52">
        <f t="shared" ref="M349:M356" si="192">IF(J349&gt;0,1,0)</f>
        <v>0</v>
      </c>
      <c r="N349" s="24">
        <f t="shared" ref="N349:N356" si="193">IF(K349&gt;0, K349, 0)</f>
        <v>0</v>
      </c>
      <c r="O349" s="17">
        <f t="shared" ref="O349:O355" si="194">IF(K349&lt;0, K349, 0)</f>
        <v>-283.5</v>
      </c>
      <c r="R349" s="28">
        <v>582.04999999999995</v>
      </c>
    </row>
    <row r="350" spans="1:19">
      <c r="A350" s="6">
        <v>45295</v>
      </c>
      <c r="B350" t="s">
        <v>286</v>
      </c>
      <c r="C350" s="9">
        <v>170</v>
      </c>
      <c r="D350">
        <v>30</v>
      </c>
      <c r="E350" s="29">
        <v>45</v>
      </c>
      <c r="F350" s="50">
        <v>25</v>
      </c>
      <c r="G350" s="21">
        <f t="shared" si="183"/>
        <v>4</v>
      </c>
      <c r="H350" s="6">
        <v>45296</v>
      </c>
      <c r="I350" s="29">
        <v>30.49</v>
      </c>
      <c r="J350" s="30">
        <f t="shared" si="189"/>
        <v>1.6333333333333311E-2</v>
      </c>
      <c r="K350" s="35">
        <f t="shared" si="190"/>
        <v>83.300000000000182</v>
      </c>
      <c r="L350" s="21">
        <f t="shared" si="191"/>
        <v>1</v>
      </c>
      <c r="M350" s="9">
        <f t="shared" si="192"/>
        <v>1</v>
      </c>
      <c r="N350">
        <f t="shared" si="193"/>
        <v>83.300000000000182</v>
      </c>
      <c r="O350">
        <f t="shared" si="194"/>
        <v>0</v>
      </c>
      <c r="R350" s="28">
        <v>470.1</v>
      </c>
    </row>
    <row r="351" spans="1:19">
      <c r="A351" s="6">
        <v>45295</v>
      </c>
      <c r="B351" t="s">
        <v>229</v>
      </c>
      <c r="C351" s="9">
        <v>50</v>
      </c>
      <c r="D351">
        <v>102.6</v>
      </c>
      <c r="E351" s="29">
        <v>120</v>
      </c>
      <c r="F351" s="50">
        <v>100</v>
      </c>
      <c r="G351" s="21">
        <f t="shared" si="183"/>
        <v>7.6923076923077094</v>
      </c>
      <c r="H351" s="6">
        <v>45296</v>
      </c>
      <c r="I351" s="29">
        <v>102.75</v>
      </c>
      <c r="J351" s="30">
        <f t="shared" si="189"/>
        <v>1.4619883040936088E-3</v>
      </c>
      <c r="K351" s="35">
        <f t="shared" si="190"/>
        <v>7.5</v>
      </c>
      <c r="L351" s="21">
        <f t="shared" si="191"/>
        <v>1</v>
      </c>
      <c r="M351" s="9">
        <f t="shared" si="192"/>
        <v>1</v>
      </c>
      <c r="N351">
        <f t="shared" si="193"/>
        <v>7.5</v>
      </c>
      <c r="O351">
        <f t="shared" si="194"/>
        <v>0</v>
      </c>
    </row>
    <row r="352" spans="1:19">
      <c r="A352" s="6">
        <v>45295</v>
      </c>
      <c r="B352" s="61" t="s">
        <v>521</v>
      </c>
      <c r="C352" s="9">
        <v>41</v>
      </c>
      <c r="D352">
        <v>138.30000000000001</v>
      </c>
      <c r="E352" s="29">
        <v>150</v>
      </c>
      <c r="F352" s="50">
        <v>136</v>
      </c>
      <c r="G352" s="21">
        <f t="shared" si="183"/>
        <v>6.0869565217391006</v>
      </c>
      <c r="H352" s="6">
        <v>45300</v>
      </c>
      <c r="I352" s="29">
        <v>140.76</v>
      </c>
      <c r="J352" s="30">
        <f t="shared" si="189"/>
        <v>1.7787418655097476E-2</v>
      </c>
      <c r="K352" s="35">
        <f t="shared" si="190"/>
        <v>100.85999999999967</v>
      </c>
      <c r="L352" s="21">
        <f t="shared" si="191"/>
        <v>5</v>
      </c>
      <c r="M352" s="9">
        <f t="shared" si="192"/>
        <v>1</v>
      </c>
      <c r="N352">
        <f t="shared" si="193"/>
        <v>100.85999999999967</v>
      </c>
      <c r="O352">
        <f t="shared" si="194"/>
        <v>0</v>
      </c>
    </row>
    <row r="353" spans="1:18">
      <c r="A353" s="6">
        <v>45295</v>
      </c>
      <c r="B353" s="22" t="s">
        <v>438</v>
      </c>
      <c r="C353" s="57">
        <v>100</v>
      </c>
      <c r="D353">
        <v>30.74</v>
      </c>
      <c r="E353" s="29">
        <v>2.5</v>
      </c>
      <c r="F353" s="50">
        <v>0.6</v>
      </c>
      <c r="G353" s="21">
        <f t="shared" si="183"/>
        <v>6.3039150630391505E-2</v>
      </c>
      <c r="H353" s="6">
        <v>45369</v>
      </c>
      <c r="I353" s="16">
        <v>29.8</v>
      </c>
      <c r="J353" s="25">
        <f t="shared" si="189"/>
        <v>-3.0579050097592653E-2</v>
      </c>
      <c r="K353" s="36">
        <f t="shared" si="190"/>
        <v>-94</v>
      </c>
      <c r="L353" s="24">
        <f t="shared" si="191"/>
        <v>74</v>
      </c>
      <c r="M353" s="52">
        <f t="shared" si="192"/>
        <v>0</v>
      </c>
      <c r="N353" s="24">
        <f t="shared" si="193"/>
        <v>0</v>
      </c>
      <c r="O353" s="17">
        <f t="shared" si="194"/>
        <v>-94</v>
      </c>
    </row>
    <row r="354" spans="1:18">
      <c r="A354" s="6">
        <v>45295</v>
      </c>
      <c r="B354" s="22" t="s">
        <v>438</v>
      </c>
      <c r="C354" s="57">
        <v>100</v>
      </c>
      <c r="D354">
        <v>1.74</v>
      </c>
      <c r="E354" s="29">
        <v>2.5</v>
      </c>
      <c r="F354" s="50">
        <v>0.6</v>
      </c>
      <c r="G354" s="21">
        <f t="shared" si="183"/>
        <v>1.6666666666666663</v>
      </c>
      <c r="H354" s="6">
        <v>45365</v>
      </c>
      <c r="I354" s="16">
        <v>1.04</v>
      </c>
      <c r="J354" s="25">
        <f t="shared" si="189"/>
        <v>-0.4022988505747126</v>
      </c>
      <c r="K354" s="36">
        <f t="shared" si="190"/>
        <v>-70</v>
      </c>
      <c r="L354" s="24">
        <f t="shared" si="191"/>
        <v>70</v>
      </c>
      <c r="M354" s="52">
        <f t="shared" si="192"/>
        <v>0</v>
      </c>
      <c r="N354" s="24">
        <f t="shared" si="193"/>
        <v>0</v>
      </c>
      <c r="O354" s="17">
        <f t="shared" si="194"/>
        <v>-70</v>
      </c>
      <c r="R354" s="28">
        <v>199.5</v>
      </c>
    </row>
    <row r="355" spans="1:18">
      <c r="A355" s="6">
        <v>45294</v>
      </c>
      <c r="B355" t="s">
        <v>296</v>
      </c>
      <c r="C355" s="9">
        <v>350</v>
      </c>
      <c r="D355">
        <v>14.39</v>
      </c>
      <c r="E355" s="29">
        <v>16</v>
      </c>
      <c r="F355" s="50">
        <v>13</v>
      </c>
      <c r="G355" s="21">
        <f t="shared" si="183"/>
        <v>2.158273381294963</v>
      </c>
      <c r="H355" s="6">
        <v>45295</v>
      </c>
      <c r="I355" s="29">
        <v>14.8</v>
      </c>
      <c r="J355" s="30">
        <f t="shared" si="189"/>
        <v>2.8492008339124464E-2</v>
      </c>
      <c r="K355" s="35">
        <f t="shared" si="190"/>
        <v>143.5</v>
      </c>
      <c r="L355" s="21">
        <f t="shared" si="191"/>
        <v>1</v>
      </c>
      <c r="M355" s="9">
        <f t="shared" si="192"/>
        <v>1</v>
      </c>
      <c r="N355">
        <f t="shared" si="193"/>
        <v>143.5</v>
      </c>
      <c r="O355">
        <f t="shared" si="194"/>
        <v>0</v>
      </c>
    </row>
    <row r="356" spans="1:18">
      <c r="A356" s="6">
        <v>45293</v>
      </c>
      <c r="B356" t="s">
        <v>232</v>
      </c>
      <c r="C356" s="9">
        <v>21</v>
      </c>
      <c r="D356">
        <v>251.51</v>
      </c>
      <c r="E356" s="29">
        <v>280</v>
      </c>
      <c r="F356" s="50">
        <v>245</v>
      </c>
      <c r="G356" s="21">
        <f t="shared" si="183"/>
        <v>5.376344086021513</v>
      </c>
      <c r="H356" s="6">
        <v>45317</v>
      </c>
      <c r="I356" s="29">
        <v>251.55</v>
      </c>
      <c r="J356" s="30">
        <f t="shared" si="189"/>
        <v>1.590394020118957E-4</v>
      </c>
      <c r="K356" s="35">
        <f t="shared" si="190"/>
        <v>0.84000000000014552</v>
      </c>
      <c r="L356" s="21">
        <f t="shared" si="191"/>
        <v>24</v>
      </c>
      <c r="M356" s="9">
        <f t="shared" si="192"/>
        <v>1</v>
      </c>
      <c r="N356">
        <f t="shared" si="193"/>
        <v>0.84000000000014552</v>
      </c>
      <c r="O356">
        <v>0</v>
      </c>
    </row>
    <row r="357" spans="1:18">
      <c r="A357" s="6">
        <v>45293</v>
      </c>
      <c r="B357" t="s">
        <v>445</v>
      </c>
      <c r="C357" s="9">
        <v>9</v>
      </c>
      <c r="D357">
        <v>107.24</v>
      </c>
      <c r="E357" s="29">
        <v>120</v>
      </c>
      <c r="F357" s="50">
        <v>106</v>
      </c>
      <c r="G357" s="21">
        <f t="shared" si="183"/>
        <v>11.290322580645208</v>
      </c>
      <c r="H357" s="6">
        <v>45446</v>
      </c>
      <c r="I357" s="16">
        <v>94.5</v>
      </c>
      <c r="J357" s="25">
        <f>I357/D357 -1</f>
        <v>-0.11879895561357701</v>
      </c>
      <c r="K357" s="36">
        <f>(C357*I357) - (C357*D357)</f>
        <v>-114.65999999999997</v>
      </c>
      <c r="L357" s="24">
        <f>H357-A357</f>
        <v>153</v>
      </c>
      <c r="M357" s="52">
        <f>IF(J357&gt;0,1,0)</f>
        <v>0</v>
      </c>
      <c r="N357" s="24">
        <f>IF(K357&gt;0, K357, 0)</f>
        <v>0</v>
      </c>
      <c r="O357" s="17">
        <f>IF(K357&lt;0, K357, 0)</f>
        <v>-114.65999999999997</v>
      </c>
    </row>
    <row r="358" spans="1:18">
      <c r="A358" s="6">
        <v>45293</v>
      </c>
      <c r="B358" t="s">
        <v>445</v>
      </c>
      <c r="C358" s="9">
        <v>16</v>
      </c>
      <c r="D358">
        <v>107.24</v>
      </c>
      <c r="E358" s="29">
        <v>120</v>
      </c>
      <c r="F358" s="50">
        <v>106</v>
      </c>
      <c r="G358" s="21">
        <f t="shared" si="183"/>
        <v>11.290322580645208</v>
      </c>
      <c r="H358" s="6">
        <v>45371</v>
      </c>
      <c r="I358" s="16">
        <v>93.4</v>
      </c>
      <c r="J358" s="25">
        <f t="shared" ref="J358:J365" si="195">I358/D358 -1</f>
        <v>-0.12905632226781039</v>
      </c>
      <c r="K358" s="36">
        <f t="shared" ref="K358:K365" si="196">(C358*I358) - (C358*D358)</f>
        <v>-221.43999999999983</v>
      </c>
      <c r="L358" s="24">
        <f t="shared" ref="L358:L365" si="197">H358-A358</f>
        <v>78</v>
      </c>
      <c r="M358" s="52">
        <f t="shared" ref="M358:M365" si="198">IF(J358&gt;0,1,0)</f>
        <v>0</v>
      </c>
      <c r="N358" s="24">
        <f t="shared" ref="N358:N365" si="199">IF(K358&gt;0, K358, 0)</f>
        <v>0</v>
      </c>
      <c r="O358" s="17">
        <f>IF(K358&lt;0, K358, 0)</f>
        <v>-221.43999999999983</v>
      </c>
    </row>
    <row r="359" spans="1:18">
      <c r="A359" s="6">
        <v>45293</v>
      </c>
      <c r="B359" t="s">
        <v>445</v>
      </c>
      <c r="C359" s="9">
        <v>25</v>
      </c>
      <c r="D359">
        <v>107.24</v>
      </c>
      <c r="E359" s="29">
        <v>120</v>
      </c>
      <c r="F359" s="50">
        <v>106</v>
      </c>
      <c r="G359" s="21">
        <f t="shared" si="183"/>
        <v>11.290322580645208</v>
      </c>
      <c r="H359" s="6">
        <v>45371</v>
      </c>
      <c r="I359" s="16">
        <v>99.8</v>
      </c>
      <c r="J359" s="25">
        <f t="shared" si="195"/>
        <v>-6.9377098097724743E-2</v>
      </c>
      <c r="K359" s="36">
        <f t="shared" si="196"/>
        <v>-186</v>
      </c>
      <c r="L359" s="24">
        <f t="shared" si="197"/>
        <v>78</v>
      </c>
      <c r="M359" s="52">
        <f t="shared" si="198"/>
        <v>0</v>
      </c>
      <c r="N359" s="24">
        <f t="shared" si="199"/>
        <v>0</v>
      </c>
      <c r="O359" s="17">
        <f>IF(K359&lt;0, K359, 0)</f>
        <v>-186</v>
      </c>
      <c r="R359" s="28">
        <v>56</v>
      </c>
    </row>
    <row r="360" spans="1:18">
      <c r="A360" s="6">
        <v>45288</v>
      </c>
      <c r="B360" t="s">
        <v>741</v>
      </c>
      <c r="C360" s="9">
        <v>29</v>
      </c>
      <c r="D360">
        <v>26.98</v>
      </c>
      <c r="E360" s="29">
        <v>35</v>
      </c>
      <c r="F360" s="50">
        <v>25</v>
      </c>
      <c r="G360" s="21">
        <f t="shared" ref="G360:G370" si="200" xml:space="preserve"> (E360 - F360)/(D360-F360)</f>
        <v>5.0505050505050493</v>
      </c>
      <c r="H360" s="6">
        <v>45334</v>
      </c>
      <c r="I360" s="29">
        <v>28.75</v>
      </c>
      <c r="J360" s="30">
        <f t="shared" si="195"/>
        <v>6.5604151223128238E-2</v>
      </c>
      <c r="K360" s="35">
        <f t="shared" si="196"/>
        <v>51.330000000000041</v>
      </c>
      <c r="L360" s="21">
        <f t="shared" si="197"/>
        <v>46</v>
      </c>
      <c r="M360" s="9">
        <f t="shared" si="198"/>
        <v>1</v>
      </c>
      <c r="N360">
        <f t="shared" si="199"/>
        <v>51.330000000000041</v>
      </c>
      <c r="O360">
        <v>0</v>
      </c>
    </row>
    <row r="361" spans="1:18">
      <c r="A361" s="6">
        <v>45288</v>
      </c>
      <c r="B361" t="s">
        <v>358</v>
      </c>
      <c r="C361" s="9">
        <v>17</v>
      </c>
      <c r="D361">
        <v>48.81</v>
      </c>
      <c r="E361" s="29">
        <v>55</v>
      </c>
      <c r="F361" s="50">
        <v>47</v>
      </c>
      <c r="G361" s="21">
        <f t="shared" si="200"/>
        <v>4.419889502762425</v>
      </c>
      <c r="H361" s="6">
        <v>45331</v>
      </c>
      <c r="I361" s="29">
        <v>50.95</v>
      </c>
      <c r="J361" s="30">
        <f t="shared" si="195"/>
        <v>4.3843474697807805E-2</v>
      </c>
      <c r="K361" s="35">
        <f t="shared" si="196"/>
        <v>36.380000000000109</v>
      </c>
      <c r="L361" s="21">
        <f t="shared" si="197"/>
        <v>43</v>
      </c>
      <c r="M361" s="9">
        <f t="shared" si="198"/>
        <v>1</v>
      </c>
      <c r="N361">
        <f t="shared" si="199"/>
        <v>36.380000000000109</v>
      </c>
      <c r="O361">
        <v>0</v>
      </c>
    </row>
    <row r="362" spans="1:18">
      <c r="A362" s="6">
        <v>45286</v>
      </c>
      <c r="B362" t="s">
        <v>75</v>
      </c>
      <c r="C362" s="9">
        <v>620</v>
      </c>
      <c r="D362">
        <v>8.99</v>
      </c>
      <c r="E362" s="29">
        <v>13</v>
      </c>
      <c r="F362" s="50">
        <v>8.3000000000000007</v>
      </c>
      <c r="G362" s="21">
        <f t="shared" si="200"/>
        <v>6.8115942028985543</v>
      </c>
      <c r="H362" s="6">
        <v>45296</v>
      </c>
      <c r="I362" s="29">
        <v>9.2799999999999994</v>
      </c>
      <c r="J362" s="30">
        <f t="shared" si="195"/>
        <v>3.2258064516129004E-2</v>
      </c>
      <c r="K362" s="35">
        <f t="shared" si="196"/>
        <v>179.79999999999927</v>
      </c>
      <c r="L362" s="21">
        <f t="shared" si="197"/>
        <v>10</v>
      </c>
      <c r="M362" s="9">
        <f t="shared" si="198"/>
        <v>1</v>
      </c>
      <c r="N362">
        <f t="shared" si="199"/>
        <v>179.79999999999927</v>
      </c>
      <c r="O362">
        <f>IF(K362&lt;0, K362, 0)</f>
        <v>0</v>
      </c>
      <c r="R362" s="28"/>
    </row>
    <row r="363" spans="1:18">
      <c r="A363" s="6">
        <v>45282</v>
      </c>
      <c r="B363" t="s">
        <v>376</v>
      </c>
      <c r="C363" s="9">
        <v>21</v>
      </c>
      <c r="D363">
        <v>43.75</v>
      </c>
      <c r="E363" s="29">
        <v>50</v>
      </c>
      <c r="F363" s="50">
        <v>42</v>
      </c>
      <c r="G363" s="21">
        <f t="shared" si="200"/>
        <v>4.5714285714285712</v>
      </c>
      <c r="H363" s="6">
        <v>45362</v>
      </c>
      <c r="I363" s="16">
        <v>41.8</v>
      </c>
      <c r="J363" s="25">
        <f t="shared" si="195"/>
        <v>-4.4571428571428595E-2</v>
      </c>
      <c r="K363" s="36">
        <f t="shared" si="196"/>
        <v>-40.950000000000045</v>
      </c>
      <c r="L363" s="24">
        <f t="shared" si="197"/>
        <v>80</v>
      </c>
      <c r="M363" s="52">
        <f t="shared" si="198"/>
        <v>0</v>
      </c>
      <c r="N363" s="24">
        <f t="shared" si="199"/>
        <v>0</v>
      </c>
      <c r="O363" s="17">
        <f>IF(K363&lt;0, K363, 0)</f>
        <v>-40.950000000000045</v>
      </c>
      <c r="R363" s="28"/>
    </row>
    <row r="364" spans="1:18">
      <c r="A364" s="6">
        <v>45281</v>
      </c>
      <c r="B364" t="s">
        <v>712</v>
      </c>
      <c r="C364" s="9">
        <v>38</v>
      </c>
      <c r="D364">
        <v>135.25</v>
      </c>
      <c r="E364" s="29">
        <v>175</v>
      </c>
      <c r="F364" s="50">
        <v>125</v>
      </c>
      <c r="G364" s="21">
        <f t="shared" si="200"/>
        <v>4.8780487804878048</v>
      </c>
      <c r="H364" s="6">
        <v>45313</v>
      </c>
      <c r="I364" s="29">
        <v>138</v>
      </c>
      <c r="J364" s="30">
        <f t="shared" si="195"/>
        <v>2.0332717190388205E-2</v>
      </c>
      <c r="K364" s="35">
        <f t="shared" si="196"/>
        <v>104.5</v>
      </c>
      <c r="L364" s="21">
        <f t="shared" si="197"/>
        <v>32</v>
      </c>
      <c r="M364" s="9">
        <f t="shared" si="198"/>
        <v>1</v>
      </c>
      <c r="N364">
        <f t="shared" si="199"/>
        <v>104.5</v>
      </c>
      <c r="O364">
        <v>0</v>
      </c>
      <c r="R364" s="28"/>
    </row>
    <row r="365" spans="1:18">
      <c r="A365" s="6">
        <v>45279</v>
      </c>
      <c r="B365" t="s">
        <v>603</v>
      </c>
      <c r="C365" s="9">
        <v>14</v>
      </c>
      <c r="D365">
        <v>43.2</v>
      </c>
      <c r="E365" s="29">
        <v>47</v>
      </c>
      <c r="F365" s="50">
        <v>42</v>
      </c>
      <c r="G365" s="21">
        <f t="shared" si="200"/>
        <v>4.1666666666666572</v>
      </c>
      <c r="H365" s="6">
        <v>45303</v>
      </c>
      <c r="I365" s="29">
        <v>47.5</v>
      </c>
      <c r="J365" s="30">
        <f t="shared" si="195"/>
        <v>9.9537037037036979E-2</v>
      </c>
      <c r="K365" s="35">
        <f t="shared" si="196"/>
        <v>60.199999999999932</v>
      </c>
      <c r="L365" s="21">
        <f t="shared" si="197"/>
        <v>24</v>
      </c>
      <c r="M365" s="9">
        <f t="shared" si="198"/>
        <v>1</v>
      </c>
      <c r="N365">
        <f t="shared" si="199"/>
        <v>60.199999999999932</v>
      </c>
      <c r="O365">
        <v>0</v>
      </c>
    </row>
    <row r="366" spans="1:18">
      <c r="A366" s="6">
        <v>45279</v>
      </c>
      <c r="B366" t="s">
        <v>18</v>
      </c>
      <c r="C366" s="9">
        <v>88</v>
      </c>
      <c r="D366">
        <v>36.36</v>
      </c>
      <c r="E366" s="29">
        <v>40</v>
      </c>
      <c r="F366" s="50">
        <v>36</v>
      </c>
      <c r="G366" s="21">
        <f xml:space="preserve"> (E366 - F366)/(D366-F366)</f>
        <v>11.111111111111128</v>
      </c>
      <c r="H366" s="6"/>
      <c r="I366" s="29"/>
      <c r="J366" s="30"/>
      <c r="K366" s="35"/>
    </row>
    <row r="367" spans="1:18">
      <c r="A367" s="6">
        <v>45279</v>
      </c>
      <c r="B367" t="s">
        <v>18</v>
      </c>
      <c r="C367" s="9">
        <v>26</v>
      </c>
      <c r="D367">
        <v>28</v>
      </c>
      <c r="E367" s="29">
        <v>40</v>
      </c>
      <c r="F367" s="50">
        <v>36</v>
      </c>
      <c r="G367" s="21">
        <f xml:space="preserve"> (E367 - F367)/(D367-F367)</f>
        <v>-0.5</v>
      </c>
      <c r="H367" s="6">
        <v>45489</v>
      </c>
      <c r="I367" s="29">
        <v>29.75</v>
      </c>
      <c r="J367" s="30">
        <f>I367/D367 -1</f>
        <v>6.25E-2</v>
      </c>
      <c r="K367" s="35">
        <f>(C367*I367) - (C367*D367)</f>
        <v>45.5</v>
      </c>
      <c r="L367" s="21">
        <f>H367-A367</f>
        <v>210</v>
      </c>
      <c r="M367" s="9">
        <f>IF(J367&gt;0,1,0)</f>
        <v>1</v>
      </c>
      <c r="N367">
        <f>IF(K367&gt;0, K367, 0)</f>
        <v>45.5</v>
      </c>
      <c r="O367">
        <v>0</v>
      </c>
    </row>
    <row r="368" spans="1:18">
      <c r="A368" s="6">
        <v>45279</v>
      </c>
      <c r="B368" t="s">
        <v>18</v>
      </c>
      <c r="C368" s="9">
        <v>14</v>
      </c>
      <c r="D368">
        <v>26.7</v>
      </c>
      <c r="E368" s="29">
        <v>40</v>
      </c>
      <c r="F368" s="50">
        <v>36</v>
      </c>
      <c r="G368" s="21">
        <f t="shared" si="200"/>
        <v>-0.43010752688172038</v>
      </c>
      <c r="H368" s="6">
        <v>45489</v>
      </c>
      <c r="I368" s="29">
        <v>29.75</v>
      </c>
      <c r="J368" s="30">
        <f>I368/D368 -1</f>
        <v>0.11423220973782766</v>
      </c>
      <c r="K368" s="35">
        <f>(C368*I368) - (C368*D368)</f>
        <v>42.699999999999989</v>
      </c>
      <c r="L368" s="21">
        <f>H368-A368</f>
        <v>210</v>
      </c>
      <c r="M368" s="9">
        <f>IF(J368&gt;0,1,0)</f>
        <v>1</v>
      </c>
      <c r="N368">
        <f>IF(K368&gt;0, K368, 0)</f>
        <v>42.699999999999989</v>
      </c>
      <c r="O368">
        <v>0</v>
      </c>
    </row>
    <row r="369" spans="1:18">
      <c r="A369" s="6">
        <v>45279</v>
      </c>
      <c r="B369" t="s">
        <v>18</v>
      </c>
      <c r="C369" s="9">
        <v>14</v>
      </c>
      <c r="D369">
        <v>36.909999999999997</v>
      </c>
      <c r="E369" s="29">
        <v>40</v>
      </c>
      <c r="F369" s="50">
        <v>36</v>
      </c>
      <c r="G369" s="21">
        <f xml:space="preserve"> (E369 - F369)/(D369-F369)</f>
        <v>4.395604395604412</v>
      </c>
      <c r="H369" s="6">
        <v>45454</v>
      </c>
      <c r="I369" s="16">
        <v>28.3</v>
      </c>
      <c r="J369" s="25">
        <f>I369/D369 -1</f>
        <v>-0.23327011649959351</v>
      </c>
      <c r="K369" s="36">
        <f>(C369*I369) - (C369*D369)</f>
        <v>-120.54000000000002</v>
      </c>
      <c r="L369" s="24">
        <f t="shared" ref="L369:L374" si="201">H369-A369</f>
        <v>175</v>
      </c>
      <c r="M369" s="52">
        <f>IF(J369&gt;0,1,0)</f>
        <v>0</v>
      </c>
      <c r="N369" s="24">
        <f>IF(K369&gt;0, K369, 0)</f>
        <v>0</v>
      </c>
      <c r="O369" s="17">
        <f>IF(K369&lt;0, K369, 0)</f>
        <v>-120.54000000000002</v>
      </c>
    </row>
    <row r="370" spans="1:18">
      <c r="A370" s="6">
        <v>45279</v>
      </c>
      <c r="B370" t="s">
        <v>18</v>
      </c>
      <c r="C370" s="9">
        <v>25</v>
      </c>
      <c r="D370">
        <v>36.909999999999997</v>
      </c>
      <c r="E370" s="29">
        <v>40</v>
      </c>
      <c r="F370" s="50">
        <v>36</v>
      </c>
      <c r="G370" s="21">
        <f t="shared" si="200"/>
        <v>4.395604395604412</v>
      </c>
      <c r="H370" s="6">
        <v>45433</v>
      </c>
      <c r="I370" s="16">
        <v>30.6</v>
      </c>
      <c r="J370" s="25">
        <f>I370/D370 -1</f>
        <v>-0.1709563803847195</v>
      </c>
      <c r="K370" s="36">
        <f>(C370*I370) - (C370*D370)</f>
        <v>-157.74999999999989</v>
      </c>
      <c r="L370" s="24">
        <f t="shared" si="201"/>
        <v>154</v>
      </c>
      <c r="M370" s="52">
        <f>IF(J370&gt;0,1,0)</f>
        <v>0</v>
      </c>
      <c r="N370" s="24">
        <f>IF(K370&gt;0, K370, 0)</f>
        <v>0</v>
      </c>
      <c r="O370" s="17">
        <f>IF(K370&lt;0, K370, 0)</f>
        <v>-157.74999999999989</v>
      </c>
    </row>
    <row r="371" spans="1:18">
      <c r="A371" s="6">
        <v>45272</v>
      </c>
      <c r="B371" s="61" t="s">
        <v>227</v>
      </c>
      <c r="C371" s="9">
        <v>8</v>
      </c>
      <c r="D371">
        <v>632.99</v>
      </c>
      <c r="E371" s="29">
        <v>700</v>
      </c>
      <c r="F371" s="50">
        <v>600</v>
      </c>
      <c r="G371" s="21">
        <f xml:space="preserve"> (E371 - F371)/(D371-F371)</f>
        <v>3.0312215822976651</v>
      </c>
      <c r="H371" s="6">
        <v>45324</v>
      </c>
      <c r="I371" s="29">
        <v>635.22</v>
      </c>
      <c r="J371" s="30">
        <f t="shared" ref="J371:J381" si="202">I371/D371 -1</f>
        <v>3.5229624480639377E-3</v>
      </c>
      <c r="K371" s="35">
        <f t="shared" ref="K371:K381" si="203">(C371*I371) - (C371*D371)</f>
        <v>17.840000000000146</v>
      </c>
      <c r="L371" s="21">
        <f t="shared" si="201"/>
        <v>52</v>
      </c>
      <c r="M371" s="9">
        <f t="shared" ref="M371:M381" si="204">IF(J371&gt;0,1,0)</f>
        <v>1</v>
      </c>
      <c r="N371">
        <f t="shared" ref="N371:N381" si="205">IF(K371&gt;0, K371, 0)</f>
        <v>17.840000000000146</v>
      </c>
      <c r="O371">
        <v>0</v>
      </c>
    </row>
    <row r="372" spans="1:18">
      <c r="A372" s="6">
        <v>45271</v>
      </c>
      <c r="B372" t="s">
        <v>719</v>
      </c>
      <c r="C372" s="9">
        <v>44</v>
      </c>
      <c r="D372">
        <v>20.69</v>
      </c>
      <c r="E372" s="29">
        <v>30</v>
      </c>
      <c r="F372" s="50">
        <v>20</v>
      </c>
      <c r="G372" s="21">
        <f t="shared" ref="G372:G381" si="206" xml:space="preserve"> (E372 - F372)/(D372-F372)</f>
        <v>14.49275362318838</v>
      </c>
      <c r="H372" s="6">
        <v>45335</v>
      </c>
      <c r="I372" s="29">
        <v>23.39</v>
      </c>
      <c r="J372" s="30">
        <f t="shared" si="202"/>
        <v>0.1304978250362494</v>
      </c>
      <c r="K372" s="35">
        <f t="shared" si="203"/>
        <v>118.80000000000007</v>
      </c>
      <c r="L372" s="21">
        <f t="shared" si="201"/>
        <v>64</v>
      </c>
      <c r="M372" s="9">
        <f t="shared" si="204"/>
        <v>1</v>
      </c>
      <c r="N372">
        <f t="shared" si="205"/>
        <v>118.80000000000007</v>
      </c>
      <c r="O372">
        <v>0</v>
      </c>
    </row>
    <row r="373" spans="1:18">
      <c r="A373" s="6">
        <v>45271</v>
      </c>
      <c r="B373" s="22" t="s">
        <v>438</v>
      </c>
      <c r="C373" s="57">
        <v>100</v>
      </c>
      <c r="D373">
        <v>2.79</v>
      </c>
      <c r="E373" s="29">
        <v>3</v>
      </c>
      <c r="F373" s="50">
        <v>0.52</v>
      </c>
      <c r="G373" s="21">
        <f t="shared" si="206"/>
        <v>1.0925110132158591</v>
      </c>
      <c r="H373" s="6">
        <v>45359</v>
      </c>
      <c r="I373" s="29">
        <v>2.85</v>
      </c>
      <c r="J373" s="30">
        <f t="shared" si="202"/>
        <v>2.1505376344086002E-2</v>
      </c>
      <c r="K373" s="35">
        <f t="shared" si="203"/>
        <v>6</v>
      </c>
      <c r="L373" s="21">
        <f t="shared" si="201"/>
        <v>88</v>
      </c>
      <c r="M373" s="9">
        <f t="shared" si="204"/>
        <v>1</v>
      </c>
      <c r="N373">
        <f t="shared" si="205"/>
        <v>6</v>
      </c>
      <c r="O373">
        <v>0</v>
      </c>
    </row>
    <row r="374" spans="1:18">
      <c r="A374" s="6">
        <v>45271</v>
      </c>
      <c r="B374" t="s">
        <v>632</v>
      </c>
      <c r="C374" s="9">
        <v>11</v>
      </c>
      <c r="D374">
        <v>84.07</v>
      </c>
      <c r="E374" s="29">
        <v>100</v>
      </c>
      <c r="F374" s="50">
        <v>80</v>
      </c>
      <c r="G374" s="21">
        <f t="shared" si="206"/>
        <v>4.9140049140049227</v>
      </c>
      <c r="H374" s="6">
        <v>45376</v>
      </c>
      <c r="I374" s="16">
        <v>66</v>
      </c>
      <c r="J374" s="25">
        <f t="shared" si="202"/>
        <v>-0.21493993100987263</v>
      </c>
      <c r="K374" s="36">
        <f t="shared" si="203"/>
        <v>-198.76999999999998</v>
      </c>
      <c r="L374" s="24">
        <f t="shared" si="201"/>
        <v>105</v>
      </c>
      <c r="M374" s="52">
        <f t="shared" si="204"/>
        <v>0</v>
      </c>
      <c r="N374" s="24">
        <f t="shared" si="205"/>
        <v>0</v>
      </c>
      <c r="O374" s="17">
        <f>IF(K374&lt;0, K374, 0)</f>
        <v>-198.76999999999998</v>
      </c>
    </row>
    <row r="375" spans="1:18">
      <c r="A375" s="6">
        <v>45260</v>
      </c>
      <c r="B375" t="s">
        <v>132</v>
      </c>
      <c r="C375" s="9">
        <v>39</v>
      </c>
      <c r="D375">
        <v>1.39</v>
      </c>
      <c r="E375" s="29">
        <v>2</v>
      </c>
      <c r="F375" s="50">
        <v>1.2</v>
      </c>
      <c r="G375" s="21">
        <f xml:space="preserve"> (E375 - F375)/(D375-F375)</f>
        <v>4.2105263157894752</v>
      </c>
      <c r="H375" s="6">
        <v>45320</v>
      </c>
      <c r="I375" s="29">
        <v>1.42</v>
      </c>
      <c r="J375" s="30">
        <f t="shared" si="202"/>
        <v>2.1582733812949728E-2</v>
      </c>
      <c r="K375" s="35">
        <f t="shared" si="203"/>
        <v>1.1700000000000017</v>
      </c>
      <c r="L375" s="21">
        <f t="shared" ref="L375:L380" si="207">H375-A375</f>
        <v>60</v>
      </c>
      <c r="M375" s="9">
        <f t="shared" si="204"/>
        <v>1</v>
      </c>
      <c r="N375">
        <f t="shared" si="205"/>
        <v>1.1700000000000017</v>
      </c>
      <c r="O375">
        <v>0</v>
      </c>
    </row>
    <row r="376" spans="1:18">
      <c r="A376" s="6">
        <v>45260</v>
      </c>
      <c r="B376" t="s">
        <v>132</v>
      </c>
      <c r="C376" s="9">
        <v>539</v>
      </c>
      <c r="D376">
        <v>1.39</v>
      </c>
      <c r="E376" s="29">
        <v>2</v>
      </c>
      <c r="F376" s="50">
        <v>1.2</v>
      </c>
      <c r="G376" s="21">
        <f t="shared" si="206"/>
        <v>4.2105263157894752</v>
      </c>
      <c r="H376" s="6">
        <v>45322</v>
      </c>
      <c r="I376" s="29">
        <v>1.75</v>
      </c>
      <c r="J376" s="30">
        <f t="shared" si="202"/>
        <v>0.25899280575539585</v>
      </c>
      <c r="K376" s="35">
        <f t="shared" si="203"/>
        <v>194.04000000000008</v>
      </c>
      <c r="L376" s="21">
        <f t="shared" si="207"/>
        <v>62</v>
      </c>
      <c r="M376" s="9">
        <f t="shared" si="204"/>
        <v>1</v>
      </c>
      <c r="N376">
        <f t="shared" si="205"/>
        <v>194.04000000000008</v>
      </c>
      <c r="O376">
        <v>0</v>
      </c>
      <c r="R376" s="28"/>
    </row>
    <row r="377" spans="1:18">
      <c r="A377" s="6">
        <v>45259</v>
      </c>
      <c r="B377" t="s">
        <v>629</v>
      </c>
      <c r="C377" s="9">
        <v>332</v>
      </c>
      <c r="D377">
        <v>2.83</v>
      </c>
      <c r="E377" s="29">
        <v>4</v>
      </c>
      <c r="F377" s="50">
        <v>2</v>
      </c>
      <c r="G377" s="21">
        <f t="shared" si="206"/>
        <v>2.4096385542168672</v>
      </c>
      <c r="H377" s="6">
        <v>45349</v>
      </c>
      <c r="I377" s="29">
        <v>3.42</v>
      </c>
      <c r="J377" s="30">
        <f t="shared" si="202"/>
        <v>0.20848056537102466</v>
      </c>
      <c r="K377" s="35">
        <f t="shared" si="203"/>
        <v>195.88</v>
      </c>
      <c r="L377" s="21">
        <f t="shared" si="207"/>
        <v>90</v>
      </c>
      <c r="M377" s="9">
        <f t="shared" si="204"/>
        <v>1</v>
      </c>
      <c r="N377">
        <f t="shared" si="205"/>
        <v>195.88</v>
      </c>
      <c r="O377">
        <v>0</v>
      </c>
    </row>
    <row r="378" spans="1:18">
      <c r="A378" s="6">
        <v>45259</v>
      </c>
      <c r="B378" t="s">
        <v>560</v>
      </c>
      <c r="C378" s="9">
        <v>37</v>
      </c>
      <c r="D378">
        <v>21.01</v>
      </c>
      <c r="E378" s="29">
        <v>22</v>
      </c>
      <c r="F378" s="50">
        <v>20</v>
      </c>
      <c r="G378" s="21">
        <f t="shared" si="206"/>
        <v>1.9801980198019771</v>
      </c>
      <c r="H378" s="6">
        <v>45299</v>
      </c>
      <c r="I378" s="29">
        <v>23.4</v>
      </c>
      <c r="J378" s="30">
        <f t="shared" si="202"/>
        <v>0.11375535459305075</v>
      </c>
      <c r="K378" s="35">
        <f t="shared" si="203"/>
        <v>88.42999999999995</v>
      </c>
      <c r="L378" s="21">
        <f t="shared" si="207"/>
        <v>40</v>
      </c>
      <c r="M378" s="9">
        <f t="shared" si="204"/>
        <v>1</v>
      </c>
      <c r="N378">
        <f t="shared" si="205"/>
        <v>88.42999999999995</v>
      </c>
      <c r="O378">
        <f>IF(K378&lt;0, K378, 0)</f>
        <v>0</v>
      </c>
    </row>
    <row r="379" spans="1:18">
      <c r="A379" s="6">
        <v>45250</v>
      </c>
      <c r="B379" t="s">
        <v>88</v>
      </c>
      <c r="C379" s="9">
        <v>98</v>
      </c>
      <c r="D379">
        <v>6.72</v>
      </c>
      <c r="E379" s="29">
        <v>7.5</v>
      </c>
      <c r="F379" s="50">
        <v>6.5</v>
      </c>
      <c r="G379" s="21">
        <f t="shared" si="206"/>
        <v>4.5454545454545503</v>
      </c>
      <c r="H379" s="6">
        <v>45299</v>
      </c>
      <c r="I379" s="29">
        <v>6.96</v>
      </c>
      <c r="J379" s="30">
        <f t="shared" si="202"/>
        <v>3.5714285714285809E-2</v>
      </c>
      <c r="K379" s="35">
        <f t="shared" si="203"/>
        <v>23.520000000000095</v>
      </c>
      <c r="L379" s="21">
        <f t="shared" si="207"/>
        <v>49</v>
      </c>
      <c r="M379" s="9">
        <f t="shared" si="204"/>
        <v>1</v>
      </c>
      <c r="N379">
        <f t="shared" si="205"/>
        <v>23.520000000000095</v>
      </c>
      <c r="O379">
        <f>IF(K379&lt;0, K379, 0)</f>
        <v>0</v>
      </c>
    </row>
    <row r="380" spans="1:18">
      <c r="A380" s="6">
        <v>45250</v>
      </c>
      <c r="B380" t="s">
        <v>38</v>
      </c>
      <c r="C380" s="9">
        <v>214</v>
      </c>
      <c r="D380">
        <v>26</v>
      </c>
      <c r="E380" s="29">
        <v>28</v>
      </c>
      <c r="F380" s="50">
        <v>25</v>
      </c>
      <c r="G380" s="21">
        <f t="shared" si="206"/>
        <v>3</v>
      </c>
      <c r="H380" s="6">
        <v>45358</v>
      </c>
      <c r="I380" s="16">
        <v>24.8</v>
      </c>
      <c r="J380" s="25">
        <f t="shared" si="202"/>
        <v>-4.6153846153846101E-2</v>
      </c>
      <c r="K380" s="36">
        <f t="shared" si="203"/>
        <v>-256.80000000000018</v>
      </c>
      <c r="L380" s="24">
        <f t="shared" si="207"/>
        <v>108</v>
      </c>
      <c r="M380" s="52">
        <f t="shared" si="204"/>
        <v>0</v>
      </c>
      <c r="N380" s="24">
        <f t="shared" si="205"/>
        <v>0</v>
      </c>
      <c r="O380" s="17">
        <f>IF(K380&lt;0, K380, 0)</f>
        <v>-256.80000000000018</v>
      </c>
    </row>
    <row r="381" spans="1:18">
      <c r="A381" s="6">
        <v>45244</v>
      </c>
      <c r="B381" t="s">
        <v>677</v>
      </c>
      <c r="C381" s="9">
        <v>5</v>
      </c>
      <c r="D381">
        <v>46.09</v>
      </c>
      <c r="E381" s="29">
        <v>70</v>
      </c>
      <c r="F381" s="50">
        <v>45</v>
      </c>
      <c r="G381" s="21">
        <f t="shared" si="206"/>
        <v>22.935779816513691</v>
      </c>
      <c r="H381" s="6">
        <v>45399</v>
      </c>
      <c r="I381" s="16">
        <v>13.2</v>
      </c>
      <c r="J381" s="25">
        <f t="shared" si="202"/>
        <v>-0.71360381861575184</v>
      </c>
      <c r="K381" s="36">
        <f t="shared" si="203"/>
        <v>-164.45000000000002</v>
      </c>
      <c r="L381" s="24">
        <f>H381-A381</f>
        <v>155</v>
      </c>
      <c r="M381" s="52">
        <f t="shared" si="204"/>
        <v>0</v>
      </c>
      <c r="N381" s="24">
        <f t="shared" si="205"/>
        <v>0</v>
      </c>
      <c r="O381" s="17">
        <f>IF(K381&lt;0, K381, 0)</f>
        <v>-164.45000000000002</v>
      </c>
    </row>
    <row r="382" spans="1:18">
      <c r="A382" s="6">
        <v>45244</v>
      </c>
      <c r="B382" t="s">
        <v>677</v>
      </c>
      <c r="C382" s="9">
        <v>4</v>
      </c>
      <c r="D382">
        <v>178.83</v>
      </c>
      <c r="E382" s="29">
        <v>70</v>
      </c>
      <c r="F382" s="50">
        <v>45</v>
      </c>
      <c r="G382" s="21">
        <f t="shared" ref="G382:G416" si="208" xml:space="preserve"> (E382 - F382)/(D382-F382)</f>
        <v>0.18680415452439661</v>
      </c>
      <c r="J382" s="30"/>
      <c r="K382" s="38"/>
      <c r="L382" s="37"/>
      <c r="N382" s="38"/>
      <c r="R382" s="28"/>
    </row>
    <row r="383" spans="1:18">
      <c r="A383" s="6">
        <v>45243</v>
      </c>
      <c r="B383" s="61" t="s">
        <v>428</v>
      </c>
      <c r="C383" s="9">
        <v>23</v>
      </c>
      <c r="D383">
        <v>39.5</v>
      </c>
      <c r="E383" s="29">
        <v>45</v>
      </c>
      <c r="F383" s="50">
        <v>38</v>
      </c>
      <c r="G383" s="21">
        <f t="shared" si="208"/>
        <v>4.666666666666667</v>
      </c>
      <c r="H383" s="6">
        <v>45408</v>
      </c>
      <c r="I383" s="29">
        <v>40.25</v>
      </c>
      <c r="J383" s="30">
        <f>I383/D383 -1</f>
        <v>1.8987341772152E-2</v>
      </c>
      <c r="K383" s="35">
        <f>(C383*I383) - (C383*D383)</f>
        <v>17.25</v>
      </c>
      <c r="L383" s="21">
        <f>H383-A383</f>
        <v>165</v>
      </c>
      <c r="M383" s="9">
        <f>IF(J383&gt;0,1,0)</f>
        <v>1</v>
      </c>
      <c r="N383">
        <f>IF(K383&gt;0, K383, 0)</f>
        <v>17.25</v>
      </c>
      <c r="O383">
        <v>0</v>
      </c>
      <c r="R383" s="28"/>
    </row>
    <row r="384" spans="1:18">
      <c r="A384" s="6">
        <v>45218</v>
      </c>
      <c r="B384" t="s">
        <v>81</v>
      </c>
      <c r="C384" s="9">
        <v>8</v>
      </c>
      <c r="D384">
        <v>88.67</v>
      </c>
      <c r="E384" s="29">
        <v>100</v>
      </c>
      <c r="F384" s="50">
        <v>86</v>
      </c>
      <c r="G384" s="21">
        <f t="shared" si="208"/>
        <v>5.243445692883892</v>
      </c>
      <c r="H384" s="6">
        <v>45337</v>
      </c>
      <c r="I384" s="16">
        <v>82</v>
      </c>
      <c r="J384" s="25">
        <f>I384/D384 -1</f>
        <v>-7.5222735987368949E-2</v>
      </c>
      <c r="K384" s="36">
        <f>(C384*I384) - (C384*D384)</f>
        <v>-53.360000000000014</v>
      </c>
      <c r="L384" s="24">
        <f>H384-A384</f>
        <v>119</v>
      </c>
      <c r="M384" s="52">
        <f>IF(J384&gt;0,1,0)</f>
        <v>0</v>
      </c>
      <c r="N384" s="24">
        <f>IF(K384&gt;0, K384, 0)</f>
        <v>0</v>
      </c>
      <c r="O384" s="17">
        <f>IF(K384&lt;0, K384, 0)</f>
        <v>-53.360000000000014</v>
      </c>
      <c r="R384" s="28"/>
    </row>
    <row r="385" spans="1:18">
      <c r="A385" s="6">
        <v>45216</v>
      </c>
      <c r="B385" t="s">
        <v>364</v>
      </c>
      <c r="C385" s="9">
        <v>1370</v>
      </c>
      <c r="D385">
        <v>3.79</v>
      </c>
      <c r="E385" s="29">
        <v>5</v>
      </c>
      <c r="F385" s="50">
        <v>1.5</v>
      </c>
      <c r="G385" s="21">
        <f t="shared" si="208"/>
        <v>1.5283842794759825</v>
      </c>
      <c r="H385" s="6"/>
      <c r="I385" s="16"/>
      <c r="J385" s="25"/>
      <c r="K385" s="36"/>
      <c r="L385" s="24"/>
      <c r="M385" s="52"/>
      <c r="N385" s="24"/>
      <c r="O385" s="17"/>
      <c r="R385" s="28"/>
    </row>
    <row r="386" spans="1:18">
      <c r="A386" s="6">
        <v>45216</v>
      </c>
      <c r="B386" t="s">
        <v>364</v>
      </c>
      <c r="C386" s="9">
        <v>43</v>
      </c>
      <c r="D386">
        <v>3.8</v>
      </c>
      <c r="E386" s="29">
        <v>5</v>
      </c>
      <c r="F386" s="50">
        <v>1.5</v>
      </c>
      <c r="G386" s="21">
        <f xml:space="preserve"> (E386 - F386)/(D386-F386)</f>
        <v>1.5217391304347827</v>
      </c>
      <c r="H386" s="6">
        <v>45467</v>
      </c>
      <c r="I386" s="16">
        <v>1.2</v>
      </c>
      <c r="J386" s="25">
        <f>I386/D386 -1</f>
        <v>-0.68421052631578949</v>
      </c>
      <c r="K386" s="36">
        <f>(C386*I386) - (C386*D386)</f>
        <v>-111.80000000000001</v>
      </c>
      <c r="L386" s="24">
        <f>H386-A386</f>
        <v>251</v>
      </c>
      <c r="M386" s="52">
        <f>IF(J386&gt;0,1,0)</f>
        <v>0</v>
      </c>
      <c r="N386" s="24">
        <f>IF(K386&gt;0, K386, 0)</f>
        <v>0</v>
      </c>
      <c r="O386" s="17">
        <f>IF(K386&lt;0, K386, 0)</f>
        <v>-111.80000000000001</v>
      </c>
      <c r="R386" s="28"/>
    </row>
    <row r="387" spans="1:18">
      <c r="A387" s="6">
        <v>45216</v>
      </c>
      <c r="B387" t="s">
        <v>364</v>
      </c>
      <c r="C387" s="9">
        <v>123</v>
      </c>
      <c r="D387">
        <v>3.89</v>
      </c>
      <c r="E387" s="29">
        <v>5</v>
      </c>
      <c r="F387" s="50">
        <v>3.8</v>
      </c>
      <c r="G387" s="21">
        <f t="shared" si="208"/>
        <v>13.333333333333291</v>
      </c>
      <c r="H387" s="6">
        <v>45355</v>
      </c>
      <c r="I387" s="16">
        <v>2.5</v>
      </c>
      <c r="J387" s="25">
        <f>I387/D387 -1</f>
        <v>-0.35732647814910024</v>
      </c>
      <c r="K387" s="36">
        <f>(C387*I387) - (C387*D387)</f>
        <v>-170.97000000000003</v>
      </c>
      <c r="L387" s="24">
        <f>H387-A387</f>
        <v>139</v>
      </c>
      <c r="M387" s="52">
        <f>IF(J387&gt;0,1,0)</f>
        <v>0</v>
      </c>
      <c r="N387" s="24">
        <f>IF(K387&gt;0, K387, 0)</f>
        <v>0</v>
      </c>
      <c r="O387" s="17">
        <f>IF(K387&lt;0, K387, 0)</f>
        <v>-170.97000000000003</v>
      </c>
      <c r="R387" s="28"/>
    </row>
    <row r="388" spans="1:18">
      <c r="A388" s="6">
        <v>45162</v>
      </c>
      <c r="B388" s="22" t="s">
        <v>533</v>
      </c>
      <c r="C388" s="57">
        <v>119</v>
      </c>
      <c r="D388">
        <v>93.57</v>
      </c>
      <c r="E388" s="29">
        <v>100</v>
      </c>
      <c r="F388" s="50">
        <v>85</v>
      </c>
      <c r="G388" s="21">
        <f xml:space="preserve"> (E388 - F388)/(D388-F388)</f>
        <v>1.7502917152858823</v>
      </c>
      <c r="H388" s="6"/>
      <c r="I388" s="16"/>
      <c r="J388" s="25"/>
      <c r="K388" s="36"/>
      <c r="L388" s="24"/>
      <c r="M388" s="52"/>
      <c r="N388" s="24"/>
      <c r="O388" s="17"/>
      <c r="R388" s="28"/>
    </row>
    <row r="389" spans="1:18">
      <c r="A389" s="6">
        <v>45162</v>
      </c>
      <c r="B389" s="22" t="s">
        <v>533</v>
      </c>
      <c r="C389" s="57">
        <v>15</v>
      </c>
      <c r="D389">
        <v>93.57</v>
      </c>
      <c r="E389" s="29">
        <v>100</v>
      </c>
      <c r="F389" s="50">
        <v>85</v>
      </c>
      <c r="G389" s="21">
        <f t="shared" si="208"/>
        <v>1.7502917152858823</v>
      </c>
      <c r="H389" s="6">
        <v>45468</v>
      </c>
      <c r="I389" s="16">
        <v>28</v>
      </c>
      <c r="J389" s="25">
        <f>I389/D389 -1</f>
        <v>-0.70075879021053755</v>
      </c>
      <c r="K389" s="36">
        <f>(C389*I389) - (C389*D389)</f>
        <v>-983.55</v>
      </c>
      <c r="L389" s="24">
        <f>H389-A389</f>
        <v>306</v>
      </c>
      <c r="M389" s="52">
        <f>IF(J389&gt;0,1,0)</f>
        <v>0</v>
      </c>
      <c r="N389" s="24">
        <f>IF(K389&gt;0, K389, 0)</f>
        <v>0</v>
      </c>
      <c r="O389" s="17">
        <f>IF(K389&lt;0, K389, 0)</f>
        <v>-983.55</v>
      </c>
      <c r="R389" s="28"/>
    </row>
    <row r="390" spans="1:18">
      <c r="A390" s="6">
        <v>45162</v>
      </c>
      <c r="B390" s="22" t="s">
        <v>533</v>
      </c>
      <c r="C390" s="57">
        <v>8</v>
      </c>
      <c r="D390">
        <v>93.57</v>
      </c>
      <c r="E390" s="29">
        <v>100</v>
      </c>
      <c r="F390" s="50">
        <v>85</v>
      </c>
      <c r="G390" s="21">
        <f t="shared" si="208"/>
        <v>1.7502917152858823</v>
      </c>
      <c r="H390" s="6">
        <v>45412</v>
      </c>
      <c r="I390" s="16">
        <v>58.7</v>
      </c>
      <c r="J390" s="25">
        <f>I390/D390 -1</f>
        <v>-0.37266217804851975</v>
      </c>
      <c r="K390" s="36">
        <f>(C390*I390) - (C390*D390)</f>
        <v>-278.95999999999992</v>
      </c>
      <c r="L390" s="24">
        <f>H390-A390</f>
        <v>250</v>
      </c>
      <c r="M390" s="52">
        <f>IF(J390&gt;0,1,0)</f>
        <v>0</v>
      </c>
      <c r="N390" s="24">
        <f>IF(K390&gt;0, K390, 0)</f>
        <v>0</v>
      </c>
      <c r="O390" s="17">
        <f>IF(K390&lt;0, K390, 0)</f>
        <v>-278.95999999999992</v>
      </c>
    </row>
    <row r="391" spans="1:18">
      <c r="A391" s="6">
        <v>45161</v>
      </c>
      <c r="B391" t="s">
        <v>672</v>
      </c>
      <c r="C391" s="9">
        <v>100</v>
      </c>
      <c r="D391">
        <v>207.28</v>
      </c>
      <c r="E391" s="29">
        <v>220</v>
      </c>
      <c r="F391" s="50">
        <v>197</v>
      </c>
      <c r="G391" s="21">
        <f t="shared" si="208"/>
        <v>2.2373540856031124</v>
      </c>
      <c r="H391" s="6">
        <v>45327</v>
      </c>
      <c r="I391" s="16">
        <v>197.5</v>
      </c>
      <c r="J391" s="25">
        <f>I391/D391 -1</f>
        <v>-4.7182554998070225E-2</v>
      </c>
      <c r="K391" s="36">
        <f>(C391*I391) - (C391*D391)</f>
        <v>-978</v>
      </c>
      <c r="L391" s="24">
        <f>H391-A391</f>
        <v>166</v>
      </c>
      <c r="M391" s="52">
        <f>IF(J391&gt;0,1,0)</f>
        <v>0</v>
      </c>
      <c r="N391" s="24">
        <f>IF(K391&gt;0, K391, 0)</f>
        <v>0</v>
      </c>
      <c r="O391" s="17">
        <f>IF(K391&lt;0, K391, 0)</f>
        <v>-978</v>
      </c>
    </row>
    <row r="392" spans="1:18">
      <c r="A392" s="6">
        <v>45159</v>
      </c>
      <c r="B392" s="22" t="s">
        <v>311</v>
      </c>
      <c r="C392" s="57">
        <v>100</v>
      </c>
      <c r="D392">
        <v>9.09</v>
      </c>
      <c r="E392" s="29">
        <v>3</v>
      </c>
      <c r="F392" s="50">
        <v>0.8</v>
      </c>
      <c r="G392" s="21">
        <f xml:space="preserve"> (E392 - F392)/(D392-F392)</f>
        <v>0.2653799758745477</v>
      </c>
      <c r="H392" s="6"/>
      <c r="I392" s="16"/>
      <c r="J392" s="25"/>
      <c r="K392" s="36"/>
      <c r="L392" s="24"/>
      <c r="M392" s="52"/>
      <c r="N392" s="24"/>
      <c r="O392" s="17"/>
    </row>
    <row r="393" spans="1:18">
      <c r="A393" s="6">
        <v>45159</v>
      </c>
      <c r="B393" s="22" t="s">
        <v>311</v>
      </c>
      <c r="C393" s="57">
        <v>200</v>
      </c>
      <c r="D393">
        <v>5.09</v>
      </c>
      <c r="E393" s="29">
        <v>3</v>
      </c>
      <c r="F393" s="50">
        <v>0.8</v>
      </c>
      <c r="G393" s="21">
        <f xml:space="preserve"> (E393 - F393)/(D393-F393)</f>
        <v>0.51282051282051289</v>
      </c>
      <c r="H393" s="6">
        <v>45555</v>
      </c>
      <c r="I393" s="16">
        <v>1.26</v>
      </c>
      <c r="J393" s="25">
        <f t="shared" ref="J393:J399" si="209">I393/D393 -1</f>
        <v>-0.75245579567779963</v>
      </c>
      <c r="K393" s="36">
        <f t="shared" ref="K393:K399" si="210">(C393*I393) - (C393*D393)</f>
        <v>-766</v>
      </c>
      <c r="L393" s="24">
        <f t="shared" ref="L393:L399" si="211">H393-A393</f>
        <v>396</v>
      </c>
      <c r="M393" s="52">
        <f t="shared" ref="M393:M399" si="212">IF(J393&gt;0,1,0)</f>
        <v>0</v>
      </c>
      <c r="N393" s="24">
        <f t="shared" ref="N393:N399" si="213">IF(K393&gt;0, K393, 0)</f>
        <v>0</v>
      </c>
      <c r="O393" s="17">
        <f t="shared" ref="O393:O400" si="214">IF(K393&lt;0, K393, 0)</f>
        <v>-766</v>
      </c>
    </row>
    <row r="394" spans="1:18">
      <c r="A394" s="6">
        <v>45159</v>
      </c>
      <c r="B394" s="22" t="s">
        <v>311</v>
      </c>
      <c r="C394" s="57">
        <v>200</v>
      </c>
      <c r="D394">
        <v>5.09</v>
      </c>
      <c r="E394" s="29">
        <v>3</v>
      </c>
      <c r="F394" s="50">
        <v>0.8</v>
      </c>
      <c r="G394" s="21">
        <f t="shared" si="208"/>
        <v>0.51282051282051289</v>
      </c>
      <c r="H394" s="6">
        <v>45555</v>
      </c>
      <c r="I394" s="16">
        <v>1.25</v>
      </c>
      <c r="J394" s="25">
        <f t="shared" si="209"/>
        <v>-0.75442043222003929</v>
      </c>
      <c r="K394" s="36">
        <f t="shared" si="210"/>
        <v>-768</v>
      </c>
      <c r="L394" s="24">
        <f t="shared" si="211"/>
        <v>396</v>
      </c>
      <c r="M394" s="52">
        <f t="shared" si="212"/>
        <v>0</v>
      </c>
      <c r="N394" s="24">
        <f t="shared" si="213"/>
        <v>0</v>
      </c>
      <c r="O394" s="17">
        <f t="shared" si="214"/>
        <v>-768</v>
      </c>
    </row>
    <row r="395" spans="1:18">
      <c r="A395" s="6">
        <v>45142</v>
      </c>
      <c r="B395" s="55" t="s">
        <v>284</v>
      </c>
      <c r="C395" s="57">
        <v>100</v>
      </c>
      <c r="D395">
        <v>35.43</v>
      </c>
      <c r="E395" s="29">
        <v>45</v>
      </c>
      <c r="F395" s="50">
        <v>30</v>
      </c>
      <c r="G395" s="21">
        <f t="shared" si="208"/>
        <v>2.7624309392265194</v>
      </c>
      <c r="H395" s="6">
        <v>45345</v>
      </c>
      <c r="I395" s="16">
        <v>29.42</v>
      </c>
      <c r="J395" s="25">
        <f t="shared" si="209"/>
        <v>-0.16963025684448207</v>
      </c>
      <c r="K395" s="36">
        <f t="shared" si="210"/>
        <v>-601</v>
      </c>
      <c r="L395" s="24">
        <f t="shared" si="211"/>
        <v>203</v>
      </c>
      <c r="M395" s="52">
        <f t="shared" si="212"/>
        <v>0</v>
      </c>
      <c r="N395" s="24">
        <f t="shared" si="213"/>
        <v>0</v>
      </c>
      <c r="O395" s="17">
        <f t="shared" si="214"/>
        <v>-601</v>
      </c>
    </row>
    <row r="396" spans="1:18">
      <c r="A396" s="6">
        <v>45141</v>
      </c>
      <c r="B396" s="22" t="s">
        <v>165</v>
      </c>
      <c r="C396" s="57">
        <v>600</v>
      </c>
      <c r="D396">
        <v>12.25</v>
      </c>
      <c r="E396" s="29">
        <v>3.45</v>
      </c>
      <c r="F396" s="75">
        <v>0.45</v>
      </c>
      <c r="G396" s="21">
        <f t="shared" si="208"/>
        <v>0.25423728813559321</v>
      </c>
      <c r="H396" s="6">
        <v>45489</v>
      </c>
      <c r="I396" s="29">
        <v>12.9</v>
      </c>
      <c r="J396" s="30">
        <f t="shared" si="209"/>
        <v>5.3061224489795888E-2</v>
      </c>
      <c r="K396" s="35">
        <f t="shared" si="210"/>
        <v>390</v>
      </c>
      <c r="L396" s="21">
        <f t="shared" si="211"/>
        <v>348</v>
      </c>
      <c r="M396" s="9">
        <f t="shared" si="212"/>
        <v>1</v>
      </c>
      <c r="N396">
        <f t="shared" si="213"/>
        <v>390</v>
      </c>
      <c r="O396">
        <f t="shared" si="214"/>
        <v>0</v>
      </c>
    </row>
    <row r="397" spans="1:18">
      <c r="A397" s="6">
        <v>45139</v>
      </c>
      <c r="B397" s="22" t="s">
        <v>63</v>
      </c>
      <c r="C397" s="57">
        <v>100</v>
      </c>
      <c r="D397">
        <v>4.4400000000000004</v>
      </c>
      <c r="E397" s="29">
        <v>7.5</v>
      </c>
      <c r="F397" s="50">
        <v>1.25</v>
      </c>
      <c r="G397" s="21">
        <f t="shared" si="208"/>
        <v>1.959247648902821</v>
      </c>
      <c r="H397" s="6">
        <v>45293</v>
      </c>
      <c r="I397" s="29">
        <v>5</v>
      </c>
      <c r="J397" s="30">
        <f t="shared" si="209"/>
        <v>0.12612612612612595</v>
      </c>
      <c r="K397" s="35">
        <f t="shared" si="210"/>
        <v>55.999999999999943</v>
      </c>
      <c r="L397" s="21">
        <f t="shared" si="211"/>
        <v>154</v>
      </c>
      <c r="M397" s="9">
        <f t="shared" si="212"/>
        <v>1</v>
      </c>
      <c r="N397">
        <f t="shared" si="213"/>
        <v>55.999999999999943</v>
      </c>
      <c r="O397">
        <f t="shared" si="214"/>
        <v>0</v>
      </c>
    </row>
    <row r="398" spans="1:18">
      <c r="A398" s="6">
        <v>45083</v>
      </c>
      <c r="B398" s="22" t="s">
        <v>374</v>
      </c>
      <c r="C398" s="57">
        <v>100</v>
      </c>
      <c r="D398">
        <v>19.02</v>
      </c>
      <c r="E398" s="29">
        <v>10</v>
      </c>
      <c r="F398" s="50">
        <v>1.7</v>
      </c>
      <c r="G398" s="21">
        <f t="shared" si="208"/>
        <v>0.47921478060046191</v>
      </c>
      <c r="H398" s="6">
        <v>45583</v>
      </c>
      <c r="I398" s="16">
        <v>8.19</v>
      </c>
      <c r="J398" s="25">
        <f t="shared" si="209"/>
        <v>-0.56940063091482651</v>
      </c>
      <c r="K398" s="36">
        <f t="shared" si="210"/>
        <v>-1083</v>
      </c>
      <c r="L398" s="24">
        <f t="shared" si="211"/>
        <v>500</v>
      </c>
      <c r="M398" s="52">
        <f t="shared" si="212"/>
        <v>0</v>
      </c>
      <c r="N398" s="24">
        <f t="shared" si="213"/>
        <v>0</v>
      </c>
      <c r="O398" s="17">
        <f t="shared" si="214"/>
        <v>-1083</v>
      </c>
    </row>
    <row r="399" spans="1:18">
      <c r="A399" s="6">
        <v>45082</v>
      </c>
      <c r="B399" s="22" t="s">
        <v>165</v>
      </c>
      <c r="C399" s="57">
        <v>400</v>
      </c>
      <c r="D399">
        <v>2.4</v>
      </c>
      <c r="E399" s="29">
        <v>3.45</v>
      </c>
      <c r="F399" s="75">
        <v>0.4</v>
      </c>
      <c r="G399" s="21">
        <f t="shared" si="208"/>
        <v>1.5250000000000001</v>
      </c>
      <c r="H399" s="6">
        <v>45429</v>
      </c>
      <c r="I399" s="16">
        <v>0.05</v>
      </c>
      <c r="J399" s="25">
        <f t="shared" si="209"/>
        <v>-0.97916666666666663</v>
      </c>
      <c r="K399" s="36">
        <f t="shared" si="210"/>
        <v>-940</v>
      </c>
      <c r="L399" s="24">
        <f t="shared" si="211"/>
        <v>347</v>
      </c>
      <c r="M399" s="52">
        <f t="shared" si="212"/>
        <v>0</v>
      </c>
      <c r="N399" s="24">
        <f t="shared" si="213"/>
        <v>0</v>
      </c>
      <c r="O399" s="17">
        <f t="shared" si="214"/>
        <v>-940</v>
      </c>
      <c r="R399" s="28"/>
    </row>
    <row r="400" spans="1:18">
      <c r="A400" s="6">
        <v>44991</v>
      </c>
      <c r="B400" s="1" t="s">
        <v>231</v>
      </c>
      <c r="C400" s="9">
        <v>21</v>
      </c>
      <c r="D400">
        <v>66.33</v>
      </c>
      <c r="E400" s="29">
        <v>100</v>
      </c>
      <c r="F400" s="50">
        <v>66</v>
      </c>
      <c r="G400" s="21">
        <f t="shared" si="208"/>
        <v>103.03030303030356</v>
      </c>
      <c r="H400" s="6">
        <v>45356</v>
      </c>
      <c r="I400" s="16">
        <v>58.11</v>
      </c>
      <c r="J400" s="25">
        <f t="shared" ref="J400:J408" si="215">I400/D400 -1</f>
        <v>-0.12392582541836272</v>
      </c>
      <c r="K400" s="36">
        <f t="shared" ref="K400:K408" si="216">(C400*I400) - (C400*D400)</f>
        <v>-172.62000000000012</v>
      </c>
      <c r="L400" s="24">
        <f t="shared" ref="L400:L408" si="217">H400-A400</f>
        <v>365</v>
      </c>
      <c r="M400" s="52">
        <f t="shared" ref="M400:M408" si="218">IF(J400&gt;0,1,0)</f>
        <v>0</v>
      </c>
      <c r="N400" s="24">
        <f t="shared" ref="N400:N408" si="219">IF(K400&gt;0, K400, 0)</f>
        <v>0</v>
      </c>
      <c r="O400" s="17">
        <f t="shared" si="214"/>
        <v>-172.62000000000012</v>
      </c>
      <c r="R400" s="28"/>
    </row>
    <row r="401" spans="1:19">
      <c r="A401" s="6">
        <v>44991</v>
      </c>
      <c r="B401" s="1" t="s">
        <v>231</v>
      </c>
      <c r="C401" s="9">
        <v>6</v>
      </c>
      <c r="D401">
        <v>53.51</v>
      </c>
      <c r="E401" s="29">
        <v>100</v>
      </c>
      <c r="F401" s="50">
        <v>66</v>
      </c>
      <c r="G401" s="21">
        <f t="shared" si="208"/>
        <v>-2.7221777421937547</v>
      </c>
      <c r="H401" s="6">
        <v>45302</v>
      </c>
      <c r="I401" s="29">
        <v>61.22</v>
      </c>
      <c r="J401" s="30">
        <f t="shared" si="215"/>
        <v>0.14408521771631477</v>
      </c>
      <c r="K401" s="35">
        <f t="shared" si="216"/>
        <v>46.259999999999991</v>
      </c>
      <c r="L401" s="21">
        <f t="shared" si="217"/>
        <v>311</v>
      </c>
      <c r="M401" s="9">
        <f t="shared" si="218"/>
        <v>1</v>
      </c>
      <c r="N401">
        <f t="shared" si="219"/>
        <v>46.259999999999991</v>
      </c>
      <c r="O401">
        <v>0</v>
      </c>
      <c r="R401" s="28"/>
    </row>
    <row r="402" spans="1:19">
      <c r="A402" s="6">
        <v>44991</v>
      </c>
      <c r="B402" s="1" t="s">
        <v>231</v>
      </c>
      <c r="C402" s="9">
        <v>98</v>
      </c>
      <c r="D402">
        <v>64.89</v>
      </c>
      <c r="E402" s="29">
        <v>100</v>
      </c>
      <c r="F402" s="50">
        <v>66</v>
      </c>
      <c r="G402" s="21">
        <f t="shared" si="208"/>
        <v>-30.630630630630645</v>
      </c>
      <c r="H402" s="6">
        <v>45372</v>
      </c>
      <c r="I402" s="29">
        <v>66.349999999999994</v>
      </c>
      <c r="J402" s="30">
        <f t="shared" si="215"/>
        <v>2.2499614732624407E-2</v>
      </c>
      <c r="K402" s="35">
        <f t="shared" si="216"/>
        <v>143.07999999999902</v>
      </c>
      <c r="L402" s="21">
        <f t="shared" si="217"/>
        <v>381</v>
      </c>
      <c r="M402" s="9">
        <f t="shared" si="218"/>
        <v>1</v>
      </c>
      <c r="N402">
        <f t="shared" si="219"/>
        <v>143.07999999999902</v>
      </c>
      <c r="O402">
        <v>0</v>
      </c>
    </row>
    <row r="403" spans="1:19">
      <c r="A403" s="6">
        <v>44965</v>
      </c>
      <c r="B403" s="1" t="s">
        <v>447</v>
      </c>
      <c r="C403" s="9">
        <v>67</v>
      </c>
      <c r="D403">
        <v>223.18</v>
      </c>
      <c r="E403" s="29">
        <v>250</v>
      </c>
      <c r="F403" s="50">
        <v>200</v>
      </c>
      <c r="G403" s="21">
        <f xml:space="preserve"> (E403 - F403)/(D403-F403)</f>
        <v>2.1570319240724758</v>
      </c>
      <c r="H403" s="6"/>
      <c r="I403" s="29"/>
      <c r="J403" s="30"/>
      <c r="K403" s="35"/>
    </row>
    <row r="404" spans="1:19">
      <c r="A404" s="6">
        <v>44965</v>
      </c>
      <c r="B404" s="1" t="s">
        <v>447</v>
      </c>
      <c r="C404" s="9">
        <v>32</v>
      </c>
      <c r="D404">
        <v>64</v>
      </c>
      <c r="E404" s="29">
        <v>250</v>
      </c>
      <c r="F404" s="50">
        <v>200</v>
      </c>
      <c r="G404" s="21">
        <f xml:space="preserve"> (E404 - F404)/(D404-F404)</f>
        <v>-0.36764705882352944</v>
      </c>
      <c r="H404" s="6">
        <v>45621</v>
      </c>
      <c r="I404" s="29">
        <v>71</v>
      </c>
      <c r="J404" s="30">
        <f>I404/D404 -1</f>
        <v>0.109375</v>
      </c>
      <c r="K404" s="35">
        <f>(C404*I404) - (C404*D404)</f>
        <v>224</v>
      </c>
      <c r="L404" s="21">
        <f>H404-A404</f>
        <v>656</v>
      </c>
      <c r="M404" s="9">
        <f>IF(J404&gt;0,1,0)</f>
        <v>1</v>
      </c>
      <c r="N404">
        <f>IF(K404&gt;0, K404, 0)</f>
        <v>224</v>
      </c>
      <c r="O404">
        <v>0</v>
      </c>
    </row>
    <row r="405" spans="1:19">
      <c r="A405" s="6">
        <v>44965</v>
      </c>
      <c r="B405" s="1" t="s">
        <v>447</v>
      </c>
      <c r="C405" s="9">
        <v>15</v>
      </c>
      <c r="D405">
        <v>106.24</v>
      </c>
      <c r="E405" s="29">
        <v>250</v>
      </c>
      <c r="F405" s="50">
        <v>200</v>
      </c>
      <c r="G405" s="21">
        <f xml:space="preserve"> (E405 - F405)/(D405-F405)</f>
        <v>-0.53327645051194539</v>
      </c>
      <c r="H405" s="6">
        <v>45489</v>
      </c>
      <c r="I405" s="29">
        <v>116.22</v>
      </c>
      <c r="J405" s="30">
        <f>I405/D405 -1</f>
        <v>9.3938253012048278E-2</v>
      </c>
      <c r="K405" s="35">
        <f>(C405*I405) - (C405*D405)</f>
        <v>149.70000000000005</v>
      </c>
      <c r="L405" s="21">
        <f>H405-A405</f>
        <v>524</v>
      </c>
      <c r="M405" s="9">
        <f>IF(J405&gt;0,1,0)</f>
        <v>1</v>
      </c>
      <c r="N405">
        <f>IF(K405&gt;0, K405, 0)</f>
        <v>149.70000000000005</v>
      </c>
      <c r="O405">
        <v>0</v>
      </c>
    </row>
    <row r="406" spans="1:19">
      <c r="A406" s="6">
        <v>44965</v>
      </c>
      <c r="B406" s="1" t="s">
        <v>447</v>
      </c>
      <c r="C406" s="9">
        <v>3</v>
      </c>
      <c r="D406">
        <v>202.76</v>
      </c>
      <c r="E406" s="29">
        <v>250</v>
      </c>
      <c r="F406" s="50">
        <v>200</v>
      </c>
      <c r="G406" s="21">
        <f t="shared" si="208"/>
        <v>18.115942028985568</v>
      </c>
      <c r="H406" s="6">
        <v>45392</v>
      </c>
      <c r="I406" s="16">
        <v>120</v>
      </c>
      <c r="J406" s="25">
        <f t="shared" si="215"/>
        <v>-0.40816729137897023</v>
      </c>
      <c r="K406" s="36">
        <f t="shared" si="216"/>
        <v>-248.27999999999997</v>
      </c>
      <c r="L406" s="24">
        <f t="shared" si="217"/>
        <v>427</v>
      </c>
      <c r="M406" s="52">
        <f t="shared" si="218"/>
        <v>0</v>
      </c>
      <c r="N406" s="24">
        <f t="shared" si="219"/>
        <v>0</v>
      </c>
      <c r="O406" s="17">
        <f>IF(K406&lt;0, K406, 0)</f>
        <v>-248.27999999999997</v>
      </c>
    </row>
    <row r="407" spans="1:19">
      <c r="A407" s="6">
        <v>45261</v>
      </c>
      <c r="B407" s="1" t="s">
        <v>447</v>
      </c>
      <c r="C407" s="9">
        <v>22</v>
      </c>
      <c r="D407">
        <v>107.98</v>
      </c>
      <c r="E407" s="29">
        <v>250</v>
      </c>
      <c r="F407" s="50">
        <v>200</v>
      </c>
      <c r="G407" s="21">
        <f t="shared" si="208"/>
        <v>-0.54336013910019565</v>
      </c>
      <c r="H407" s="6">
        <v>45302</v>
      </c>
      <c r="I407" s="29">
        <v>131.87</v>
      </c>
      <c r="J407" s="30">
        <f t="shared" si="215"/>
        <v>0.2212446749398036</v>
      </c>
      <c r="K407" s="35">
        <f t="shared" si="216"/>
        <v>525.58000000000038</v>
      </c>
      <c r="L407" s="21">
        <f t="shared" si="217"/>
        <v>41</v>
      </c>
      <c r="M407" s="9">
        <f t="shared" si="218"/>
        <v>1</v>
      </c>
      <c r="N407">
        <f t="shared" si="219"/>
        <v>525.58000000000038</v>
      </c>
      <c r="O407">
        <v>0</v>
      </c>
    </row>
    <row r="408" spans="1:19">
      <c r="A408" s="6">
        <v>44965</v>
      </c>
      <c r="B408" s="1" t="s">
        <v>447</v>
      </c>
      <c r="C408" s="9">
        <v>2</v>
      </c>
      <c r="D408">
        <v>226.26</v>
      </c>
      <c r="E408" s="29">
        <v>250</v>
      </c>
      <c r="F408" s="50">
        <v>200</v>
      </c>
      <c r="G408" s="21">
        <f t="shared" si="208"/>
        <v>1.9040365575019047</v>
      </c>
      <c r="H408" s="6">
        <v>45398</v>
      </c>
      <c r="I408" s="16">
        <v>109.4</v>
      </c>
      <c r="J408" s="25">
        <f t="shared" si="215"/>
        <v>-0.51648545920622291</v>
      </c>
      <c r="K408" s="36">
        <f t="shared" si="216"/>
        <v>-233.71999999999997</v>
      </c>
      <c r="L408" s="24">
        <f t="shared" si="217"/>
        <v>433</v>
      </c>
      <c r="M408" s="52">
        <f t="shared" si="218"/>
        <v>0</v>
      </c>
      <c r="N408" s="24">
        <f t="shared" si="219"/>
        <v>0</v>
      </c>
      <c r="O408" s="17">
        <f>IF(K408&lt;0, K408, 0)</f>
        <v>-233.71999999999997</v>
      </c>
    </row>
    <row r="409" spans="1:19">
      <c r="A409" s="6">
        <v>44965</v>
      </c>
      <c r="B409" s="1" t="s">
        <v>447</v>
      </c>
      <c r="C409" s="9">
        <v>7</v>
      </c>
      <c r="D409">
        <v>223.18</v>
      </c>
      <c r="E409" s="29">
        <v>250</v>
      </c>
      <c r="F409" s="50">
        <v>200</v>
      </c>
      <c r="G409" s="21">
        <f xml:space="preserve"> (E409 - F409)/(D409-F409)</f>
        <v>2.1570319240724758</v>
      </c>
      <c r="H409" s="6">
        <v>45468</v>
      </c>
      <c r="I409" s="16">
        <v>101.85</v>
      </c>
      <c r="J409" s="25">
        <f t="shared" ref="J409:J416" si="220">I409/D409 -1</f>
        <v>-0.54364190339636176</v>
      </c>
      <c r="K409" s="36">
        <f t="shared" ref="K409:K416" si="221">(C409*I409) - (C409*D409)</f>
        <v>-849.31000000000006</v>
      </c>
      <c r="L409" s="24">
        <f t="shared" ref="L409:L416" si="222">H409-A409</f>
        <v>503</v>
      </c>
      <c r="M409" s="52">
        <f t="shared" ref="M409:M416" si="223">IF(J409&gt;0,1,0)</f>
        <v>0</v>
      </c>
      <c r="N409" s="24">
        <f t="shared" ref="N409:N416" si="224">IF(K409&gt;0, K409, 0)</f>
        <v>0</v>
      </c>
      <c r="O409" s="17">
        <f>IF(K409&lt;0, K409, 0)</f>
        <v>-849.31000000000006</v>
      </c>
    </row>
    <row r="410" spans="1:19">
      <c r="A410" s="6">
        <v>44965</v>
      </c>
      <c r="B410" s="1" t="s">
        <v>447</v>
      </c>
      <c r="C410" s="9">
        <v>5</v>
      </c>
      <c r="D410">
        <v>223.18</v>
      </c>
      <c r="E410" s="29">
        <v>250</v>
      </c>
      <c r="F410" s="50">
        <v>200</v>
      </c>
      <c r="G410" s="21">
        <f xml:space="preserve"> (E410 - F410)/(D410-F410)</f>
        <v>2.1570319240724758</v>
      </c>
      <c r="H410" s="6">
        <v>45468</v>
      </c>
      <c r="I410" s="16">
        <v>102.5</v>
      </c>
      <c r="J410" s="25">
        <f t="shared" si="220"/>
        <v>-0.54072945604444844</v>
      </c>
      <c r="K410" s="36">
        <f t="shared" si="221"/>
        <v>-603.40000000000009</v>
      </c>
      <c r="L410" s="24">
        <f t="shared" si="222"/>
        <v>503</v>
      </c>
      <c r="M410" s="52">
        <f t="shared" si="223"/>
        <v>0</v>
      </c>
      <c r="N410" s="24">
        <f t="shared" si="224"/>
        <v>0</v>
      </c>
      <c r="O410" s="17">
        <f>IF(K410&lt;0, K410, 0)</f>
        <v>-603.40000000000009</v>
      </c>
    </row>
    <row r="411" spans="1:19">
      <c r="A411" s="6">
        <v>44960</v>
      </c>
      <c r="B411" s="55" t="s">
        <v>284</v>
      </c>
      <c r="C411" s="57">
        <v>160</v>
      </c>
      <c r="D411">
        <v>41.33</v>
      </c>
      <c r="E411" s="29">
        <v>45</v>
      </c>
      <c r="F411" s="50">
        <v>30</v>
      </c>
      <c r="G411" s="21">
        <f t="shared" si="208"/>
        <v>1.3239187996469552</v>
      </c>
      <c r="H411" s="6">
        <v>45495</v>
      </c>
      <c r="I411" s="29">
        <v>41.4</v>
      </c>
      <c r="J411" s="30">
        <f t="shared" si="220"/>
        <v>1.6936849745947669E-3</v>
      </c>
      <c r="K411" s="35">
        <f t="shared" si="221"/>
        <v>11.200000000000728</v>
      </c>
      <c r="L411" s="21">
        <f t="shared" si="222"/>
        <v>535</v>
      </c>
      <c r="M411" s="9">
        <f t="shared" si="223"/>
        <v>1</v>
      </c>
      <c r="N411">
        <f t="shared" si="224"/>
        <v>11.200000000000728</v>
      </c>
      <c r="O411">
        <v>0</v>
      </c>
      <c r="R411" s="29"/>
    </row>
    <row r="412" spans="1:19">
      <c r="A412" s="6">
        <v>44960</v>
      </c>
      <c r="B412" s="55" t="s">
        <v>284</v>
      </c>
      <c r="C412" s="57">
        <v>40</v>
      </c>
      <c r="D412">
        <v>41.33</v>
      </c>
      <c r="E412" s="29">
        <v>45</v>
      </c>
      <c r="F412" s="50">
        <v>30</v>
      </c>
      <c r="G412" s="21">
        <f t="shared" si="208"/>
        <v>1.3239187996469552</v>
      </c>
      <c r="H412" s="6">
        <v>45425</v>
      </c>
      <c r="I412" s="16">
        <v>36.6</v>
      </c>
      <c r="J412" s="25">
        <f t="shared" si="220"/>
        <v>-0.11444471328332928</v>
      </c>
      <c r="K412" s="36">
        <f t="shared" si="221"/>
        <v>-189.19999999999982</v>
      </c>
      <c r="L412" s="24">
        <f t="shared" si="222"/>
        <v>465</v>
      </c>
      <c r="M412" s="52">
        <f t="shared" si="223"/>
        <v>0</v>
      </c>
      <c r="N412" s="24">
        <f t="shared" si="224"/>
        <v>0</v>
      </c>
      <c r="O412" s="17">
        <f>IF(K412&lt;0, K412, 0)</f>
        <v>-189.19999999999982</v>
      </c>
      <c r="R412" s="28"/>
    </row>
    <row r="413" spans="1:19">
      <c r="A413" s="6">
        <v>44944</v>
      </c>
      <c r="B413" s="1" t="s">
        <v>48</v>
      </c>
      <c r="C413" s="9">
        <v>50</v>
      </c>
      <c r="D413">
        <v>91.47</v>
      </c>
      <c r="E413" s="29">
        <v>92</v>
      </c>
      <c r="F413" s="50">
        <v>90</v>
      </c>
      <c r="G413" s="21">
        <f t="shared" si="208"/>
        <v>1.3605442176870759</v>
      </c>
      <c r="H413" s="6">
        <v>45344</v>
      </c>
      <c r="I413" s="16">
        <v>80</v>
      </c>
      <c r="J413" s="25">
        <f t="shared" si="220"/>
        <v>-0.12539630479938779</v>
      </c>
      <c r="K413" s="36">
        <f t="shared" si="221"/>
        <v>-573.5</v>
      </c>
      <c r="L413" s="24">
        <f t="shared" si="222"/>
        <v>400</v>
      </c>
      <c r="M413" s="52">
        <f t="shared" si="223"/>
        <v>0</v>
      </c>
      <c r="N413" s="24">
        <f t="shared" si="224"/>
        <v>0</v>
      </c>
      <c r="O413" s="17">
        <f>IF(K413&lt;0, K413, 0)</f>
        <v>-573.5</v>
      </c>
      <c r="R413" s="28"/>
    </row>
    <row r="414" spans="1:19">
      <c r="A414" s="6">
        <v>44944</v>
      </c>
      <c r="B414" s="1" t="s">
        <v>48</v>
      </c>
      <c r="C414" s="9">
        <v>50</v>
      </c>
      <c r="D414">
        <v>91.47</v>
      </c>
      <c r="E414" s="29">
        <v>92</v>
      </c>
      <c r="F414" s="50">
        <v>90</v>
      </c>
      <c r="G414" s="21">
        <f t="shared" si="208"/>
        <v>1.3605442176870759</v>
      </c>
      <c r="H414" s="6">
        <v>45365</v>
      </c>
      <c r="I414" s="16">
        <v>83.55</v>
      </c>
      <c r="J414" s="25">
        <f t="shared" si="220"/>
        <v>-8.6585765824860661E-2</v>
      </c>
      <c r="K414" s="36">
        <f t="shared" si="221"/>
        <v>-396</v>
      </c>
      <c r="L414" s="24">
        <f t="shared" si="222"/>
        <v>421</v>
      </c>
      <c r="M414" s="52">
        <f t="shared" si="223"/>
        <v>0</v>
      </c>
      <c r="N414" s="24">
        <f t="shared" si="224"/>
        <v>0</v>
      </c>
      <c r="O414" s="17">
        <f>IF(K414&lt;0, K414, 0)</f>
        <v>-396</v>
      </c>
    </row>
    <row r="415" spans="1:19">
      <c r="A415" s="6">
        <v>44944</v>
      </c>
      <c r="B415" s="55" t="s">
        <v>377</v>
      </c>
      <c r="C415" s="57">
        <v>500</v>
      </c>
      <c r="D415">
        <v>33.61</v>
      </c>
      <c r="E415" s="29">
        <v>9</v>
      </c>
      <c r="F415" s="50">
        <v>1.1299999999999999</v>
      </c>
      <c r="G415" s="21">
        <f t="shared" si="208"/>
        <v>0.24230295566502466</v>
      </c>
      <c r="H415" s="6">
        <v>45496</v>
      </c>
      <c r="I415" s="16">
        <v>29.5</v>
      </c>
      <c r="J415" s="25">
        <f t="shared" si="220"/>
        <v>-0.12228503421600712</v>
      </c>
      <c r="K415" s="36">
        <f t="shared" si="221"/>
        <v>-2055</v>
      </c>
      <c r="L415" s="24">
        <f t="shared" si="222"/>
        <v>552</v>
      </c>
      <c r="M415" s="52">
        <f t="shared" si="223"/>
        <v>0</v>
      </c>
      <c r="N415" s="24">
        <f t="shared" si="224"/>
        <v>0</v>
      </c>
      <c r="O415" s="17">
        <f>IF(K415&lt;0, K415, 0)</f>
        <v>-2055</v>
      </c>
    </row>
    <row r="416" spans="1:19">
      <c r="A416" s="6">
        <v>44931</v>
      </c>
      <c r="B416" s="1" t="s">
        <v>447</v>
      </c>
      <c r="C416" s="9">
        <v>100</v>
      </c>
      <c r="D416">
        <v>157.69999999999999</v>
      </c>
      <c r="E416" s="29">
        <v>250</v>
      </c>
      <c r="F416" s="50">
        <v>200</v>
      </c>
      <c r="G416" s="21">
        <f t="shared" si="208"/>
        <v>-1.1820330969267137</v>
      </c>
      <c r="H416" s="6">
        <v>45338</v>
      </c>
      <c r="I416" s="16">
        <v>131.87</v>
      </c>
      <c r="J416" s="25">
        <f t="shared" si="220"/>
        <v>-0.16379201014584643</v>
      </c>
      <c r="K416" s="36">
        <f t="shared" si="221"/>
        <v>-2582.9999999999982</v>
      </c>
      <c r="L416" s="24">
        <f t="shared" si="222"/>
        <v>407</v>
      </c>
      <c r="M416" s="52">
        <f t="shared" si="223"/>
        <v>0</v>
      </c>
      <c r="N416" s="24">
        <f t="shared" si="224"/>
        <v>0</v>
      </c>
      <c r="O416" s="17">
        <f>IF(K416&lt;0, K416, 0)</f>
        <v>-2582.9999999999982</v>
      </c>
      <c r="S416" s="16">
        <v>0.42</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0605E-CA40-4102-866C-C3FEB500000B}">
  <dimension ref="A1:R632"/>
  <sheetViews>
    <sheetView topLeftCell="A265" zoomScale="85" zoomScaleNormal="85" workbookViewId="0">
      <selection activeCell="B292" sqref="B292"/>
    </sheetView>
  </sheetViews>
  <sheetFormatPr defaultRowHeight="15"/>
  <cols>
    <col min="1" max="1" width="10.7109375" bestFit="1" customWidth="1"/>
    <col min="2" max="2" width="9.7109375" bestFit="1" customWidth="1"/>
    <col min="7" max="7" width="9.28515625" style="20" customWidth="1"/>
    <col min="8" max="8" width="11.7109375" customWidth="1"/>
    <col min="10" max="10" width="9.140625" style="7"/>
    <col min="11" max="11" width="10.85546875" style="21" bestFit="1" customWidth="1"/>
    <col min="12" max="12" width="9" style="21" customWidth="1"/>
    <col min="13" max="13" width="4.42578125" style="9" bestFit="1" customWidth="1"/>
    <col min="14" max="14" width="10.28515625" customWidth="1"/>
    <col min="15" max="15" width="13.42578125" bestFit="1" customWidth="1"/>
    <col min="16" max="16" width="5" bestFit="1" customWidth="1"/>
    <col min="17" max="17" width="8" bestFit="1" customWidth="1"/>
  </cols>
  <sheetData>
    <row r="1" spans="1:18">
      <c r="A1" s="6"/>
      <c r="B1" s="16">
        <v>-19781</v>
      </c>
      <c r="J1" s="7" t="s">
        <v>318</v>
      </c>
      <c r="K1" s="21" t="s">
        <v>320</v>
      </c>
      <c r="L1" s="21" t="s">
        <v>321</v>
      </c>
      <c r="M1" s="9" t="s">
        <v>363</v>
      </c>
      <c r="N1" t="s">
        <v>367</v>
      </c>
      <c r="O1" t="s">
        <v>319</v>
      </c>
      <c r="R1" s="16"/>
    </row>
    <row r="2" spans="1:18">
      <c r="D2" t="s">
        <v>7</v>
      </c>
      <c r="E2" t="s">
        <v>78</v>
      </c>
      <c r="F2" t="s">
        <v>77</v>
      </c>
      <c r="G2" s="20" t="s">
        <v>79</v>
      </c>
      <c r="I2" t="s">
        <v>9</v>
      </c>
      <c r="J2" s="30">
        <f>AVERAGE(J3:J632)</f>
        <v>3.7581226723457345E-2</v>
      </c>
      <c r="K2" s="35">
        <f>AVERAGE(K3:K632)</f>
        <v>31.141344537815069</v>
      </c>
      <c r="L2" s="37">
        <f>AVERAGE(L3:L632)</f>
        <v>20.109427609427609</v>
      </c>
      <c r="M2" s="58">
        <f>SUM(M3:M632)/632</f>
        <v>0.70253164556962022</v>
      </c>
      <c r="N2" s="35">
        <f>SUM(K3:K632)</f>
        <v>18529.099999999966</v>
      </c>
      <c r="O2" s="85">
        <f>AVERAGE(N3:N632)/(AVERAGE(O3:O632) * -1)</f>
        <v>1.3480488181428549</v>
      </c>
      <c r="P2" s="86">
        <v>4929</v>
      </c>
      <c r="Q2" s="78">
        <f>(N2-P2) * 0.1</f>
        <v>1360.0099999999966</v>
      </c>
      <c r="R2">
        <f>(Q2/8)*100</f>
        <v>17000.124999999956</v>
      </c>
    </row>
    <row r="3" spans="1:18">
      <c r="G3" s="21"/>
      <c r="J3" s="30"/>
      <c r="K3" s="38"/>
      <c r="L3" s="37"/>
      <c r="N3" s="38"/>
    </row>
    <row r="4" spans="1:18">
      <c r="A4" s="6">
        <v>45288</v>
      </c>
      <c r="B4" t="s">
        <v>741</v>
      </c>
      <c r="C4" s="9">
        <v>29</v>
      </c>
      <c r="D4">
        <v>26.98</v>
      </c>
      <c r="E4" s="29">
        <v>35</v>
      </c>
      <c r="F4" s="50">
        <v>25</v>
      </c>
      <c r="G4" s="21">
        <f t="shared" ref="G4:G11" si="0" xml:space="preserve"> (E4 - F4)/(D4-F4)</f>
        <v>5.0505050505050493</v>
      </c>
      <c r="J4" s="30"/>
      <c r="K4" s="38"/>
      <c r="L4" s="37"/>
      <c r="N4" s="38"/>
    </row>
    <row r="5" spans="1:18">
      <c r="A5" s="6">
        <v>45288</v>
      </c>
      <c r="B5" t="s">
        <v>358</v>
      </c>
      <c r="C5" s="9">
        <v>17</v>
      </c>
      <c r="D5">
        <v>48.81</v>
      </c>
      <c r="E5" s="29">
        <v>55</v>
      </c>
      <c r="F5" s="50">
        <v>47</v>
      </c>
      <c r="G5" s="21">
        <f t="shared" si="0"/>
        <v>4.419889502762425</v>
      </c>
      <c r="J5" s="30"/>
      <c r="K5" s="38"/>
      <c r="L5" s="37"/>
      <c r="N5" s="38"/>
    </row>
    <row r="6" spans="1:18">
      <c r="A6" s="6">
        <v>45286</v>
      </c>
      <c r="B6" t="s">
        <v>131</v>
      </c>
      <c r="C6" s="9">
        <v>32</v>
      </c>
      <c r="D6">
        <v>162.5</v>
      </c>
      <c r="E6" s="29">
        <v>170</v>
      </c>
      <c r="F6" s="50">
        <v>160</v>
      </c>
      <c r="G6" s="21">
        <f t="shared" si="0"/>
        <v>4</v>
      </c>
      <c r="H6" s="6">
        <v>45289</v>
      </c>
      <c r="I6" s="29">
        <v>163.55000000000001</v>
      </c>
      <c r="J6" s="30">
        <f>I6/D6 -1</f>
        <v>6.4615384615385185E-3</v>
      </c>
      <c r="K6" s="35">
        <f>(C6*I6) - (C6*D6)</f>
        <v>33.600000000000364</v>
      </c>
      <c r="L6" s="21">
        <f>H6-A6</f>
        <v>3</v>
      </c>
      <c r="M6" s="9">
        <f>IF(J6&gt;0,1,0)</f>
        <v>1</v>
      </c>
      <c r="N6">
        <f>IF(K6&gt;0, K6, 0)</f>
        <v>33.600000000000364</v>
      </c>
      <c r="O6">
        <f>IF(K6&lt;0, K6, 0)</f>
        <v>0</v>
      </c>
      <c r="R6" s="64">
        <v>18529.099999999999</v>
      </c>
    </row>
    <row r="7" spans="1:18">
      <c r="A7" s="6">
        <v>45286</v>
      </c>
      <c r="B7" t="s">
        <v>426</v>
      </c>
      <c r="C7" s="9">
        <v>16</v>
      </c>
      <c r="D7">
        <v>375.1</v>
      </c>
      <c r="E7" s="29">
        <v>400</v>
      </c>
      <c r="F7" s="50">
        <v>364</v>
      </c>
      <c r="G7" s="21">
        <f t="shared" si="0"/>
        <v>3.2432432432432368</v>
      </c>
      <c r="H7" s="6">
        <v>45289</v>
      </c>
      <c r="I7" s="29">
        <v>376.04</v>
      </c>
      <c r="J7" s="30">
        <f>I7/D7 -1</f>
        <v>2.5059984004265345E-3</v>
      </c>
      <c r="K7" s="35">
        <f>(C7*I7) - (C7*D7)</f>
        <v>15.039999999999964</v>
      </c>
      <c r="L7" s="21">
        <f>H7-A7</f>
        <v>3</v>
      </c>
      <c r="M7" s="9">
        <f>IF(J7&gt;0,1,0)</f>
        <v>1</v>
      </c>
      <c r="N7">
        <f>IF(K7&gt;0, K7, 0)</f>
        <v>15.039999999999964</v>
      </c>
      <c r="O7">
        <f>IF(K7&lt;0, K7, 0)</f>
        <v>0</v>
      </c>
    </row>
    <row r="8" spans="1:18">
      <c r="A8" s="6">
        <v>45286</v>
      </c>
      <c r="B8" t="s">
        <v>229</v>
      </c>
      <c r="C8" s="9">
        <v>50</v>
      </c>
      <c r="D8">
        <v>105.75</v>
      </c>
      <c r="E8" s="29">
        <v>120</v>
      </c>
      <c r="F8" s="50">
        <v>100</v>
      </c>
      <c r="G8" s="21">
        <f t="shared" si="0"/>
        <v>3.4782608695652173</v>
      </c>
      <c r="H8" s="6">
        <v>45289</v>
      </c>
      <c r="I8" s="16">
        <v>105.43</v>
      </c>
      <c r="J8" s="25">
        <f>I8/D8 -1</f>
        <v>-3.0260047281323033E-3</v>
      </c>
      <c r="K8" s="36">
        <f>(C8*I8) - (C8*D8)</f>
        <v>-16</v>
      </c>
      <c r="L8" s="24">
        <f>H8-A8</f>
        <v>3</v>
      </c>
      <c r="M8" s="52">
        <f>IF(J8&gt;0,1,0)</f>
        <v>0</v>
      </c>
      <c r="N8" s="24">
        <f>IF(K8&gt;0, K8, 0)</f>
        <v>0</v>
      </c>
      <c r="O8" s="17">
        <f>IF(K8&lt;0, K8, 0)</f>
        <v>-16</v>
      </c>
    </row>
    <row r="9" spans="1:18">
      <c r="A9" s="6">
        <v>45286</v>
      </c>
      <c r="B9" t="s">
        <v>470</v>
      </c>
      <c r="C9" s="9">
        <v>37</v>
      </c>
      <c r="D9">
        <v>138.5</v>
      </c>
      <c r="E9" s="29">
        <v>150</v>
      </c>
      <c r="F9" s="50">
        <v>134</v>
      </c>
      <c r="G9" s="21">
        <f t="shared" si="0"/>
        <v>3.5555555555555554</v>
      </c>
      <c r="H9" s="6">
        <v>45289</v>
      </c>
      <c r="I9" s="29">
        <v>139.97999999999999</v>
      </c>
      <c r="J9" s="30">
        <f>I9/D9 -1</f>
        <v>1.0685920577617303E-2</v>
      </c>
      <c r="K9" s="35">
        <f>(C9*I9) - (C9*D9)</f>
        <v>54.759999999999309</v>
      </c>
      <c r="L9" s="21">
        <f>H9-A9</f>
        <v>3</v>
      </c>
      <c r="M9" s="9">
        <f>IF(J9&gt;0,1,0)</f>
        <v>1</v>
      </c>
      <c r="N9">
        <f>IF(K9&gt;0, K9, 0)</f>
        <v>54.759999999999309</v>
      </c>
      <c r="O9">
        <f>IF(K9&lt;0, K9, 0)</f>
        <v>0</v>
      </c>
    </row>
    <row r="10" spans="1:18">
      <c r="A10" s="6">
        <v>45286</v>
      </c>
      <c r="B10" t="s">
        <v>445</v>
      </c>
      <c r="C10" s="9">
        <v>50</v>
      </c>
      <c r="D10">
        <v>108</v>
      </c>
      <c r="E10" s="29">
        <v>120</v>
      </c>
      <c r="F10" s="50">
        <v>104</v>
      </c>
      <c r="G10" s="21">
        <f t="shared" si="0"/>
        <v>4</v>
      </c>
      <c r="H10" s="6">
        <v>45289</v>
      </c>
      <c r="I10" s="29">
        <v>108.57</v>
      </c>
      <c r="J10" s="30">
        <f>I10/D10 -1</f>
        <v>5.2777777777777146E-3</v>
      </c>
      <c r="K10" s="35">
        <f>(C10*I10) - (C10*D10)</f>
        <v>28.5</v>
      </c>
      <c r="L10" s="21">
        <f>H10-A10</f>
        <v>3</v>
      </c>
      <c r="M10" s="9">
        <f>IF(J10&gt;0,1,0)</f>
        <v>1</v>
      </c>
      <c r="N10">
        <f>IF(K10&gt;0, K10, 0)</f>
        <v>28.5</v>
      </c>
      <c r="O10">
        <f>IF(K10&lt;0, K10, 0)</f>
        <v>0</v>
      </c>
    </row>
    <row r="11" spans="1:18">
      <c r="A11" s="6">
        <v>45286</v>
      </c>
      <c r="B11" t="s">
        <v>75</v>
      </c>
      <c r="C11" s="9">
        <v>620</v>
      </c>
      <c r="D11">
        <v>8.99</v>
      </c>
      <c r="E11" s="29">
        <v>13</v>
      </c>
      <c r="F11" s="50">
        <v>8.3000000000000007</v>
      </c>
      <c r="G11" s="21">
        <f t="shared" si="0"/>
        <v>6.8115942028985543</v>
      </c>
      <c r="J11" s="30"/>
      <c r="K11" s="38"/>
      <c r="L11" s="37"/>
      <c r="N11" s="38"/>
      <c r="R11" s="28">
        <v>18288.88</v>
      </c>
    </row>
    <row r="12" spans="1:18">
      <c r="A12" s="6">
        <v>45282</v>
      </c>
      <c r="B12" t="s">
        <v>376</v>
      </c>
      <c r="C12" s="9">
        <v>21</v>
      </c>
      <c r="D12">
        <v>43.75</v>
      </c>
      <c r="E12" s="29">
        <v>50</v>
      </c>
      <c r="F12" s="50">
        <v>42</v>
      </c>
      <c r="G12" s="21">
        <f xml:space="preserve"> (E12 - F12)/(D12-F12)</f>
        <v>4.5714285714285712</v>
      </c>
      <c r="J12" s="30"/>
      <c r="K12" s="38"/>
      <c r="L12" s="37"/>
      <c r="N12" s="38"/>
      <c r="R12" s="28">
        <v>18011.2</v>
      </c>
    </row>
    <row r="13" spans="1:18">
      <c r="A13" s="6">
        <v>45281</v>
      </c>
      <c r="B13" t="s">
        <v>358</v>
      </c>
      <c r="C13" s="9">
        <v>120</v>
      </c>
      <c r="D13">
        <v>48</v>
      </c>
      <c r="E13" s="29">
        <v>55</v>
      </c>
      <c r="F13" s="50">
        <v>47</v>
      </c>
      <c r="G13" s="21">
        <f xml:space="preserve"> (E13 - F13)/(D13-F13)</f>
        <v>8</v>
      </c>
      <c r="H13" s="6">
        <v>45282</v>
      </c>
      <c r="I13" s="29">
        <v>48.73</v>
      </c>
      <c r="J13" s="30">
        <f>I13/D13 -1</f>
        <v>1.5208333333333268E-2</v>
      </c>
      <c r="K13" s="35">
        <f>(C13*I13) - (C13*D13)</f>
        <v>87.599999999999454</v>
      </c>
      <c r="L13" s="21">
        <f>H13-A13</f>
        <v>1</v>
      </c>
      <c r="M13" s="9">
        <f>IF(J13&gt;0,1,0)</f>
        <v>1</v>
      </c>
      <c r="N13">
        <f>IF(K13&gt;0, K13, 0)</f>
        <v>87.599999999999454</v>
      </c>
      <c r="O13">
        <f>IF(K13&lt;0, K13, 0)</f>
        <v>0</v>
      </c>
    </row>
    <row r="14" spans="1:18">
      <c r="A14" s="6">
        <v>45281</v>
      </c>
      <c r="B14" s="61" t="s">
        <v>131</v>
      </c>
      <c r="C14" s="9">
        <v>32</v>
      </c>
      <c r="D14">
        <v>160.19</v>
      </c>
      <c r="E14" s="29">
        <v>170</v>
      </c>
      <c r="F14" s="50">
        <v>160</v>
      </c>
      <c r="G14" s="21">
        <f xml:space="preserve"> (E14 - F14)/(D14-F14)</f>
        <v>52.63157894736905</v>
      </c>
      <c r="H14" s="6">
        <v>45282</v>
      </c>
      <c r="I14" s="29">
        <v>162.09</v>
      </c>
      <c r="J14" s="30">
        <f>I14/D14 -1</f>
        <v>1.1860915163243613E-2</v>
      </c>
      <c r="K14" s="35">
        <f>(C14*I14) - (C14*D14)</f>
        <v>60.800000000000182</v>
      </c>
      <c r="L14" s="21">
        <f>H14-A14</f>
        <v>1</v>
      </c>
      <c r="M14" s="9">
        <f>IF(J14&gt;0,1,0)</f>
        <v>1</v>
      </c>
      <c r="N14">
        <f>IF(K14&gt;0, K14, 0)</f>
        <v>60.800000000000182</v>
      </c>
      <c r="O14">
        <f>IF(K14&lt;0, K14, 0)</f>
        <v>0</v>
      </c>
    </row>
    <row r="15" spans="1:18">
      <c r="A15" s="6">
        <v>45281</v>
      </c>
      <c r="B15" t="s">
        <v>733</v>
      </c>
      <c r="C15" s="9">
        <v>79</v>
      </c>
      <c r="D15">
        <v>74.83</v>
      </c>
      <c r="E15" s="29">
        <v>80</v>
      </c>
      <c r="F15" s="50">
        <v>70</v>
      </c>
      <c r="G15" s="21">
        <f xml:space="preserve"> (E15 - F15)/(D15-F15)</f>
        <v>2.0703933747412018</v>
      </c>
      <c r="H15" s="6">
        <v>45282</v>
      </c>
      <c r="I15" s="29">
        <v>75.75</v>
      </c>
      <c r="J15" s="30">
        <f>I15/D15 -1</f>
        <v>1.2294534277696112E-2</v>
      </c>
      <c r="K15" s="35">
        <f>(C15*I15) - (C15*D15)</f>
        <v>72.680000000000291</v>
      </c>
      <c r="L15" s="21">
        <f>H15-A15</f>
        <v>1</v>
      </c>
      <c r="M15" s="9">
        <f>IF(J15&gt;0,1,0)</f>
        <v>1</v>
      </c>
      <c r="N15">
        <f>IF(K15&gt;0, K15, 0)</f>
        <v>72.680000000000291</v>
      </c>
      <c r="O15">
        <f>IF(K15&lt;0, K15, 0)</f>
        <v>0</v>
      </c>
    </row>
    <row r="16" spans="1:18">
      <c r="A16" s="6">
        <v>45281</v>
      </c>
      <c r="B16" t="s">
        <v>712</v>
      </c>
      <c r="C16" s="9">
        <v>38</v>
      </c>
      <c r="D16">
        <v>135.25</v>
      </c>
      <c r="E16" s="29">
        <v>175</v>
      </c>
      <c r="F16" s="50">
        <v>125</v>
      </c>
      <c r="G16" s="21">
        <f xml:space="preserve"> (E16 - F16)/(D16-F16)</f>
        <v>4.8780487804878048</v>
      </c>
      <c r="J16" s="30"/>
      <c r="K16" s="38"/>
      <c r="L16" s="37"/>
      <c r="N16" s="38"/>
      <c r="R16" s="28">
        <v>17621.939999999999</v>
      </c>
    </row>
    <row r="17" spans="1:18">
      <c r="A17" s="6">
        <v>45280</v>
      </c>
      <c r="B17" t="s">
        <v>310</v>
      </c>
      <c r="C17" s="9">
        <v>388</v>
      </c>
      <c r="D17">
        <v>2.0099999999999998</v>
      </c>
      <c r="E17" s="29">
        <v>2.8</v>
      </c>
      <c r="F17" s="50">
        <v>1.8</v>
      </c>
      <c r="G17" s="21">
        <f t="shared" ref="G17:G23" si="1" xml:space="preserve"> (E17 - F17)/(D17-F17)</f>
        <v>4.7619047619047663</v>
      </c>
      <c r="H17" s="6">
        <v>45286</v>
      </c>
      <c r="I17" s="29">
        <v>2.1</v>
      </c>
      <c r="J17" s="30">
        <f>I17/D17 -1</f>
        <v>4.4776119402985204E-2</v>
      </c>
      <c r="K17" s="35">
        <f>(C17*I17) - (C17*D17)</f>
        <v>34.920000000000186</v>
      </c>
      <c r="L17" s="21">
        <f>H17-A17</f>
        <v>6</v>
      </c>
      <c r="M17" s="9">
        <f>IF(J17&gt;0,1,0)</f>
        <v>1</v>
      </c>
      <c r="N17">
        <f>IF(K17&gt;0, K17, 0)</f>
        <v>34.920000000000186</v>
      </c>
      <c r="O17">
        <f>IF(K17&lt;0, K17, 0)</f>
        <v>0</v>
      </c>
    </row>
    <row r="18" spans="1:18">
      <c r="A18" s="6">
        <v>45280</v>
      </c>
      <c r="B18" t="s">
        <v>232</v>
      </c>
      <c r="C18" s="9">
        <v>46</v>
      </c>
      <c r="D18">
        <v>250.02</v>
      </c>
      <c r="E18" s="29">
        <v>280</v>
      </c>
      <c r="F18" s="50">
        <v>240</v>
      </c>
      <c r="G18" s="21">
        <f t="shared" si="1"/>
        <v>3.992015968063868</v>
      </c>
      <c r="H18" s="6">
        <v>45289</v>
      </c>
      <c r="I18" s="29">
        <v>252.97</v>
      </c>
      <c r="J18" s="30">
        <f>I18/D18 -1</f>
        <v>1.1799056075513903E-2</v>
      </c>
      <c r="K18" s="35">
        <f>(C18*I18) - (C18*D18)</f>
        <v>135.70000000000073</v>
      </c>
      <c r="L18" s="21">
        <f>H18-A18</f>
        <v>9</v>
      </c>
      <c r="M18" s="9">
        <f>IF(J18&gt;0,1,0)</f>
        <v>1</v>
      </c>
      <c r="N18">
        <f>IF(K18&gt;0, K18, 0)</f>
        <v>135.70000000000073</v>
      </c>
      <c r="O18">
        <f>IF(K18&lt;0, K18, 0)</f>
        <v>0</v>
      </c>
      <c r="R18" s="28">
        <v>17607.990000000002</v>
      </c>
    </row>
    <row r="19" spans="1:18">
      <c r="A19" s="6">
        <v>45279</v>
      </c>
      <c r="B19" t="s">
        <v>603</v>
      </c>
      <c r="C19" s="9">
        <v>14</v>
      </c>
      <c r="D19">
        <v>43.2</v>
      </c>
      <c r="E19" s="29">
        <v>47</v>
      </c>
      <c r="F19" s="50">
        <v>42</v>
      </c>
      <c r="G19" s="21">
        <f t="shared" si="1"/>
        <v>4.1666666666666572</v>
      </c>
      <c r="J19" s="30"/>
      <c r="K19" s="38"/>
      <c r="L19" s="37"/>
      <c r="N19" s="38"/>
    </row>
    <row r="20" spans="1:18">
      <c r="A20" s="6">
        <v>45279</v>
      </c>
      <c r="B20" t="s">
        <v>18</v>
      </c>
      <c r="C20" s="9">
        <v>92</v>
      </c>
      <c r="D20">
        <v>38.119999999999997</v>
      </c>
      <c r="E20" s="29">
        <v>40</v>
      </c>
      <c r="F20" s="50">
        <v>36</v>
      </c>
      <c r="G20" s="21">
        <f t="shared" si="1"/>
        <v>1.8867924528301909</v>
      </c>
      <c r="J20" s="30"/>
      <c r="K20" s="38"/>
      <c r="L20" s="37"/>
      <c r="N20" s="38"/>
    </row>
    <row r="21" spans="1:18">
      <c r="A21" s="6">
        <v>45279</v>
      </c>
      <c r="B21" t="s">
        <v>287</v>
      </c>
      <c r="C21" s="9">
        <v>113</v>
      </c>
      <c r="D21">
        <v>50.83</v>
      </c>
      <c r="E21" s="29">
        <v>60</v>
      </c>
      <c r="F21" s="50">
        <v>46</v>
      </c>
      <c r="G21" s="21">
        <f t="shared" si="1"/>
        <v>2.898550724637682</v>
      </c>
      <c r="H21" s="6">
        <v>45289</v>
      </c>
      <c r="I21" s="16">
        <v>50.7</v>
      </c>
      <c r="J21" s="25">
        <f>I21/D21 -1</f>
        <v>-2.5575447570331811E-3</v>
      </c>
      <c r="K21" s="36">
        <f>(C21*I21) - (C21*D21)</f>
        <v>-14.6899999999996</v>
      </c>
      <c r="L21" s="24">
        <f>H21-A21</f>
        <v>10</v>
      </c>
      <c r="M21" s="52">
        <f>IF(J21&gt;0,1,0)</f>
        <v>0</v>
      </c>
      <c r="N21" s="24">
        <f>IF(K21&gt;0, K21, 0)</f>
        <v>0</v>
      </c>
      <c r="O21" s="17">
        <f>IF(K21&lt;0, K21, 0)</f>
        <v>-14.6899999999996</v>
      </c>
    </row>
    <row r="22" spans="1:18">
      <c r="A22" s="6">
        <v>45279</v>
      </c>
      <c r="B22" t="s">
        <v>316</v>
      </c>
      <c r="C22" s="9">
        <v>7</v>
      </c>
      <c r="D22">
        <v>493.55</v>
      </c>
      <c r="E22" s="29">
        <v>600</v>
      </c>
      <c r="F22" s="50">
        <v>450</v>
      </c>
      <c r="G22" s="21">
        <f t="shared" si="1"/>
        <v>3.4443168771526973</v>
      </c>
      <c r="H22" s="6">
        <v>45289</v>
      </c>
      <c r="I22" s="16">
        <v>486.88</v>
      </c>
      <c r="J22" s="25">
        <f>I22/D22 -1</f>
        <v>-1.3514334920474158E-2</v>
      </c>
      <c r="K22" s="36">
        <f>(C22*I22) - (C22*D22)</f>
        <v>-46.690000000000055</v>
      </c>
      <c r="L22" s="24">
        <f>H22-A22</f>
        <v>10</v>
      </c>
      <c r="M22" s="52">
        <f>IF(J22&gt;0,1,0)</f>
        <v>0</v>
      </c>
      <c r="N22" s="24">
        <f>IF(K22&gt;0, K22, 0)</f>
        <v>0</v>
      </c>
      <c r="O22" s="17">
        <f>IF(K22&lt;0, K22, 0)</f>
        <v>-46.690000000000055</v>
      </c>
    </row>
    <row r="23" spans="1:18">
      <c r="A23" s="6">
        <v>45279</v>
      </c>
      <c r="B23" t="s">
        <v>728</v>
      </c>
      <c r="C23" s="9">
        <v>160</v>
      </c>
      <c r="D23">
        <v>34.020000000000003</v>
      </c>
      <c r="E23" s="29">
        <v>40</v>
      </c>
      <c r="F23" s="75">
        <v>32</v>
      </c>
      <c r="G23" s="21">
        <f t="shared" si="1"/>
        <v>3.9603960396039541</v>
      </c>
      <c r="H23" s="6">
        <v>45281</v>
      </c>
      <c r="I23" s="16">
        <v>33.25</v>
      </c>
      <c r="J23" s="25">
        <f>I23/D23 -1</f>
        <v>-2.2633744855967142E-2</v>
      </c>
      <c r="K23" s="36">
        <f>(C23*I23) - (C23*D23)</f>
        <v>-123.20000000000073</v>
      </c>
      <c r="L23" s="24">
        <f>H23-A23</f>
        <v>2</v>
      </c>
      <c r="M23" s="52">
        <f>IF(J23&gt;0,1,0)</f>
        <v>0</v>
      </c>
      <c r="N23" s="24">
        <f>IF(K23&gt;0, K23, 0)</f>
        <v>0</v>
      </c>
      <c r="O23" s="17">
        <f>IF(K23&lt;0, K23, 0)</f>
        <v>-123.20000000000073</v>
      </c>
      <c r="R23" s="28">
        <v>17436.11</v>
      </c>
    </row>
    <row r="24" spans="1:18">
      <c r="A24" s="6">
        <v>45278</v>
      </c>
      <c r="B24" t="s">
        <v>602</v>
      </c>
      <c r="C24" s="9">
        <v>9</v>
      </c>
      <c r="D24">
        <v>99.05</v>
      </c>
      <c r="E24" s="29">
        <v>110</v>
      </c>
      <c r="F24" s="50">
        <v>96</v>
      </c>
      <c r="G24" s="21">
        <f t="shared" ref="G24:G31" si="2" xml:space="preserve"> (E24 - F24)/(D24-F24)</f>
        <v>4.5901639344262337</v>
      </c>
      <c r="H24" s="6">
        <v>45280</v>
      </c>
      <c r="I24" s="29">
        <v>101.97</v>
      </c>
      <c r="J24" s="30">
        <f t="shared" ref="J24:J41" si="3">I24/D24 -1</f>
        <v>2.9480060575467038E-2</v>
      </c>
      <c r="K24" s="35">
        <f t="shared" ref="K24:K41" si="4">(C24*I24) - (C24*D24)</f>
        <v>26.280000000000086</v>
      </c>
      <c r="L24" s="21">
        <f t="shared" ref="L24:L41" si="5">H24-A24</f>
        <v>2</v>
      </c>
      <c r="M24" s="9">
        <f t="shared" ref="M24:M41" si="6">IF(J24&gt;0,1,0)</f>
        <v>1</v>
      </c>
      <c r="N24">
        <f t="shared" ref="N24:N41" si="7">IF(K24&gt;0, K24, 0)</f>
        <v>26.280000000000086</v>
      </c>
      <c r="O24">
        <f t="shared" ref="O24:O41" si="8">IF(K24&lt;0, K24, 0)</f>
        <v>0</v>
      </c>
    </row>
    <row r="25" spans="1:18">
      <c r="A25" s="6">
        <v>45278</v>
      </c>
      <c r="B25" t="s">
        <v>426</v>
      </c>
      <c r="C25" s="9">
        <v>14</v>
      </c>
      <c r="D25">
        <v>370.78</v>
      </c>
      <c r="E25" s="29">
        <v>400</v>
      </c>
      <c r="F25" s="50">
        <v>364</v>
      </c>
      <c r="G25" s="21">
        <f t="shared" si="2"/>
        <v>5.3097345132743579</v>
      </c>
      <c r="H25" s="6">
        <v>45282</v>
      </c>
      <c r="I25" s="29">
        <v>374.5</v>
      </c>
      <c r="J25" s="30">
        <f t="shared" si="3"/>
        <v>1.0032903608608867E-2</v>
      </c>
      <c r="K25" s="35">
        <f t="shared" si="4"/>
        <v>52.079999999999927</v>
      </c>
      <c r="L25" s="21">
        <f t="shared" si="5"/>
        <v>4</v>
      </c>
      <c r="M25" s="9">
        <f t="shared" si="6"/>
        <v>1</v>
      </c>
      <c r="N25">
        <f t="shared" si="7"/>
        <v>52.079999999999927</v>
      </c>
      <c r="O25">
        <f t="shared" si="8"/>
        <v>0</v>
      </c>
    </row>
    <row r="26" spans="1:18">
      <c r="A26" s="6">
        <v>45278</v>
      </c>
      <c r="B26" t="s">
        <v>287</v>
      </c>
      <c r="C26" s="9">
        <v>113</v>
      </c>
      <c r="D26">
        <v>49.64</v>
      </c>
      <c r="E26" s="29">
        <v>60</v>
      </c>
      <c r="F26" s="50">
        <v>46</v>
      </c>
      <c r="G26" s="21">
        <f t="shared" si="2"/>
        <v>3.8461538461538454</v>
      </c>
      <c r="H26" s="6">
        <v>45279</v>
      </c>
      <c r="I26" s="29">
        <v>50.85</v>
      </c>
      <c r="J26" s="30">
        <f t="shared" si="3"/>
        <v>2.4375503626107964E-2</v>
      </c>
      <c r="K26" s="35">
        <f t="shared" si="4"/>
        <v>136.73000000000047</v>
      </c>
      <c r="L26" s="21">
        <f t="shared" si="5"/>
        <v>1</v>
      </c>
      <c r="M26" s="9">
        <f t="shared" si="6"/>
        <v>1</v>
      </c>
      <c r="N26">
        <f t="shared" si="7"/>
        <v>136.73000000000047</v>
      </c>
      <c r="O26">
        <f t="shared" si="8"/>
        <v>0</v>
      </c>
    </row>
    <row r="27" spans="1:18">
      <c r="A27" s="6">
        <v>45278</v>
      </c>
      <c r="B27" t="s">
        <v>229</v>
      </c>
      <c r="C27" s="9">
        <v>50</v>
      </c>
      <c r="D27">
        <v>104.89</v>
      </c>
      <c r="E27" s="29">
        <v>120</v>
      </c>
      <c r="F27" s="50">
        <v>100</v>
      </c>
      <c r="G27" s="21">
        <f t="shared" si="2"/>
        <v>4.0899795501022487</v>
      </c>
      <c r="H27" s="6">
        <v>45282</v>
      </c>
      <c r="I27" s="29">
        <v>106.31</v>
      </c>
      <c r="J27" s="30">
        <f t="shared" si="3"/>
        <v>1.353799218228624E-2</v>
      </c>
      <c r="K27" s="35">
        <f t="shared" si="4"/>
        <v>71</v>
      </c>
      <c r="L27" s="21">
        <f t="shared" si="5"/>
        <v>4</v>
      </c>
      <c r="M27" s="9">
        <f t="shared" si="6"/>
        <v>1</v>
      </c>
      <c r="N27">
        <f t="shared" si="7"/>
        <v>71</v>
      </c>
      <c r="O27">
        <f t="shared" si="8"/>
        <v>0</v>
      </c>
    </row>
    <row r="28" spans="1:18">
      <c r="A28" s="6">
        <v>45278</v>
      </c>
      <c r="B28" t="s">
        <v>67</v>
      </c>
      <c r="C28" s="9">
        <v>32</v>
      </c>
      <c r="D28">
        <v>155.30000000000001</v>
      </c>
      <c r="E28" s="29">
        <v>170</v>
      </c>
      <c r="F28" s="50">
        <v>150</v>
      </c>
      <c r="G28" s="21">
        <f t="shared" si="2"/>
        <v>3.7735849056603694</v>
      </c>
      <c r="H28" s="6">
        <v>45281</v>
      </c>
      <c r="I28" s="29">
        <v>156</v>
      </c>
      <c r="J28" s="30">
        <f t="shared" si="3"/>
        <v>4.5074050225368811E-3</v>
      </c>
      <c r="K28" s="35">
        <f t="shared" si="4"/>
        <v>22.399999999999636</v>
      </c>
      <c r="L28" s="21">
        <f t="shared" si="5"/>
        <v>3</v>
      </c>
      <c r="M28" s="9">
        <f t="shared" si="6"/>
        <v>1</v>
      </c>
      <c r="N28">
        <f t="shared" si="7"/>
        <v>22.399999999999636</v>
      </c>
      <c r="O28">
        <f t="shared" si="8"/>
        <v>0</v>
      </c>
    </row>
    <row r="29" spans="1:18">
      <c r="A29" s="6">
        <v>45278</v>
      </c>
      <c r="B29" t="s">
        <v>740</v>
      </c>
      <c r="C29" s="9">
        <v>104</v>
      </c>
      <c r="D29">
        <v>53.6</v>
      </c>
      <c r="E29" s="29">
        <v>60</v>
      </c>
      <c r="F29" s="50">
        <v>52</v>
      </c>
      <c r="G29" s="21">
        <f t="shared" si="2"/>
        <v>4.9999999999999956</v>
      </c>
      <c r="H29" s="6">
        <v>45280</v>
      </c>
      <c r="I29" s="29">
        <v>55</v>
      </c>
      <c r="J29" s="30">
        <f t="shared" si="3"/>
        <v>2.6119402985074647E-2</v>
      </c>
      <c r="K29" s="35">
        <f t="shared" si="4"/>
        <v>145.59999999999945</v>
      </c>
      <c r="L29" s="21">
        <f t="shared" si="5"/>
        <v>2</v>
      </c>
      <c r="M29" s="9">
        <f t="shared" si="6"/>
        <v>1</v>
      </c>
      <c r="N29">
        <f t="shared" si="7"/>
        <v>145.59999999999945</v>
      </c>
      <c r="O29">
        <f t="shared" si="8"/>
        <v>0</v>
      </c>
    </row>
    <row r="30" spans="1:18">
      <c r="A30" s="6">
        <v>45278</v>
      </c>
      <c r="B30" t="s">
        <v>70</v>
      </c>
      <c r="C30" s="9">
        <v>44</v>
      </c>
      <c r="D30">
        <v>131.83000000000001</v>
      </c>
      <c r="E30" s="29">
        <v>140</v>
      </c>
      <c r="F30" s="50">
        <v>130</v>
      </c>
      <c r="G30" s="21">
        <f t="shared" si="2"/>
        <v>5.4644808743169024</v>
      </c>
      <c r="H30" s="6">
        <v>45281</v>
      </c>
      <c r="I30" s="29">
        <v>132.05000000000001</v>
      </c>
      <c r="J30" s="30">
        <f t="shared" si="3"/>
        <v>1.6688158992641533E-3</v>
      </c>
      <c r="K30" s="35">
        <f t="shared" si="4"/>
        <v>9.680000000000291</v>
      </c>
      <c r="L30" s="21">
        <f t="shared" si="5"/>
        <v>3</v>
      </c>
      <c r="M30" s="9">
        <f t="shared" si="6"/>
        <v>1</v>
      </c>
      <c r="N30">
        <f t="shared" si="7"/>
        <v>9.680000000000291</v>
      </c>
      <c r="O30">
        <f t="shared" si="8"/>
        <v>0</v>
      </c>
    </row>
    <row r="31" spans="1:18">
      <c r="A31" s="6">
        <v>45278</v>
      </c>
      <c r="B31" t="s">
        <v>733</v>
      </c>
      <c r="C31" s="9">
        <v>79</v>
      </c>
      <c r="D31">
        <v>73.510000000000005</v>
      </c>
      <c r="E31" s="29">
        <v>80</v>
      </c>
      <c r="F31" s="50">
        <v>70</v>
      </c>
      <c r="G31" s="21">
        <f t="shared" si="2"/>
        <v>2.849002849002845</v>
      </c>
      <c r="H31" s="6">
        <v>45281</v>
      </c>
      <c r="I31" s="29">
        <v>74.84</v>
      </c>
      <c r="J31" s="30">
        <f t="shared" si="3"/>
        <v>1.8092776492994123E-2</v>
      </c>
      <c r="K31" s="35">
        <f t="shared" si="4"/>
        <v>105.07000000000062</v>
      </c>
      <c r="L31" s="21">
        <f t="shared" si="5"/>
        <v>3</v>
      </c>
      <c r="M31" s="9">
        <f t="shared" si="6"/>
        <v>1</v>
      </c>
      <c r="N31">
        <f t="shared" si="7"/>
        <v>105.07000000000062</v>
      </c>
      <c r="O31">
        <f t="shared" si="8"/>
        <v>0</v>
      </c>
      <c r="R31" s="28">
        <v>17065.150000000001</v>
      </c>
    </row>
    <row r="32" spans="1:18">
      <c r="A32" s="6">
        <v>45275</v>
      </c>
      <c r="B32" t="s">
        <v>730</v>
      </c>
      <c r="C32" s="9">
        <v>28</v>
      </c>
      <c r="D32">
        <v>28</v>
      </c>
      <c r="E32" s="29">
        <v>30</v>
      </c>
      <c r="F32" s="50">
        <v>26</v>
      </c>
      <c r="G32" s="21">
        <f t="shared" ref="G32:G39" si="9" xml:space="preserve"> (E32 - F32)/(D32-F32)</f>
        <v>2</v>
      </c>
      <c r="H32" s="6">
        <v>45286</v>
      </c>
      <c r="I32" s="29">
        <v>28.92</v>
      </c>
      <c r="J32" s="30">
        <f t="shared" si="3"/>
        <v>3.2857142857142918E-2</v>
      </c>
      <c r="K32" s="35">
        <f t="shared" si="4"/>
        <v>25.759999999999991</v>
      </c>
      <c r="L32" s="21">
        <f t="shared" si="5"/>
        <v>11</v>
      </c>
      <c r="M32" s="9">
        <f t="shared" si="6"/>
        <v>1</v>
      </c>
      <c r="N32">
        <f t="shared" si="7"/>
        <v>25.759999999999991</v>
      </c>
      <c r="O32">
        <f t="shared" si="8"/>
        <v>0</v>
      </c>
      <c r="R32" s="28">
        <v>16777.62</v>
      </c>
    </row>
    <row r="33" spans="1:18">
      <c r="A33" s="6">
        <v>45274</v>
      </c>
      <c r="B33" t="s">
        <v>508</v>
      </c>
      <c r="C33" s="9">
        <v>14</v>
      </c>
      <c r="D33">
        <v>331</v>
      </c>
      <c r="E33" s="29">
        <v>350</v>
      </c>
      <c r="F33" s="50">
        <v>318</v>
      </c>
      <c r="G33" s="21">
        <f t="shared" si="9"/>
        <v>2.4615384615384617</v>
      </c>
      <c r="H33" s="6">
        <v>45275</v>
      </c>
      <c r="I33" s="29">
        <v>335.99</v>
      </c>
      <c r="J33" s="30">
        <f t="shared" si="3"/>
        <v>1.5075528700906338E-2</v>
      </c>
      <c r="K33" s="35">
        <f t="shared" si="4"/>
        <v>69.860000000000582</v>
      </c>
      <c r="L33" s="21">
        <f t="shared" si="5"/>
        <v>1</v>
      </c>
      <c r="M33" s="9">
        <f t="shared" si="6"/>
        <v>1</v>
      </c>
      <c r="N33">
        <f t="shared" si="7"/>
        <v>69.860000000000582</v>
      </c>
      <c r="O33">
        <f t="shared" si="8"/>
        <v>0</v>
      </c>
    </row>
    <row r="34" spans="1:18">
      <c r="A34" s="6">
        <v>45274</v>
      </c>
      <c r="B34" t="s">
        <v>733</v>
      </c>
      <c r="C34" s="9">
        <v>79</v>
      </c>
      <c r="D34">
        <v>72.2</v>
      </c>
      <c r="E34" s="29">
        <v>80</v>
      </c>
      <c r="F34" s="50">
        <v>70</v>
      </c>
      <c r="G34" s="21">
        <f t="shared" si="9"/>
        <v>4.5454545454545396</v>
      </c>
      <c r="H34" s="6">
        <v>45278</v>
      </c>
      <c r="I34" s="29">
        <v>73.55</v>
      </c>
      <c r="J34" s="30">
        <f t="shared" si="3"/>
        <v>1.8698060941828132E-2</v>
      </c>
      <c r="K34" s="35">
        <f t="shared" si="4"/>
        <v>106.64999999999964</v>
      </c>
      <c r="L34" s="21">
        <f t="shared" si="5"/>
        <v>4</v>
      </c>
      <c r="M34" s="9">
        <f t="shared" si="6"/>
        <v>1</v>
      </c>
      <c r="N34">
        <f t="shared" si="7"/>
        <v>106.64999999999964</v>
      </c>
      <c r="O34">
        <f t="shared" si="8"/>
        <v>0</v>
      </c>
    </row>
    <row r="35" spans="1:18">
      <c r="A35" s="6">
        <v>45274</v>
      </c>
      <c r="B35" t="s">
        <v>286</v>
      </c>
      <c r="C35" s="9">
        <v>140</v>
      </c>
      <c r="D35">
        <v>42.2</v>
      </c>
      <c r="E35" s="29">
        <v>45</v>
      </c>
      <c r="F35" s="50">
        <v>40</v>
      </c>
      <c r="G35" s="21">
        <f t="shared" si="9"/>
        <v>2.2727272727272698</v>
      </c>
      <c r="H35" s="6">
        <v>45286</v>
      </c>
      <c r="I35" s="29">
        <v>43.75</v>
      </c>
      <c r="J35" s="30">
        <f t="shared" si="3"/>
        <v>3.6729857819905121E-2</v>
      </c>
      <c r="K35" s="35">
        <f t="shared" si="4"/>
        <v>217</v>
      </c>
      <c r="L35" s="21">
        <f t="shared" si="5"/>
        <v>12</v>
      </c>
      <c r="M35" s="9">
        <f t="shared" si="6"/>
        <v>1</v>
      </c>
      <c r="N35">
        <f t="shared" si="7"/>
        <v>217</v>
      </c>
      <c r="O35">
        <f t="shared" si="8"/>
        <v>0</v>
      </c>
    </row>
    <row r="36" spans="1:18">
      <c r="A36" s="6">
        <v>45274</v>
      </c>
      <c r="B36" t="s">
        <v>70</v>
      </c>
      <c r="C36" s="9">
        <v>44</v>
      </c>
      <c r="D36">
        <v>129.12</v>
      </c>
      <c r="E36" s="29">
        <v>140</v>
      </c>
      <c r="F36" s="50">
        <v>125</v>
      </c>
      <c r="G36" s="21">
        <f t="shared" si="9"/>
        <v>3.6407766990291224</v>
      </c>
      <c r="H36" s="6">
        <v>45278</v>
      </c>
      <c r="I36" s="29">
        <v>131.84</v>
      </c>
      <c r="J36" s="30">
        <f t="shared" si="3"/>
        <v>2.1065675340768308E-2</v>
      </c>
      <c r="K36" s="35">
        <f t="shared" si="4"/>
        <v>119.67999999999938</v>
      </c>
      <c r="L36" s="21">
        <f t="shared" si="5"/>
        <v>4</v>
      </c>
      <c r="M36" s="9">
        <f t="shared" si="6"/>
        <v>1</v>
      </c>
      <c r="N36">
        <f t="shared" si="7"/>
        <v>119.67999999999938</v>
      </c>
      <c r="O36">
        <f t="shared" si="8"/>
        <v>0</v>
      </c>
    </row>
    <row r="37" spans="1:18">
      <c r="A37" s="6">
        <v>45274</v>
      </c>
      <c r="B37" t="s">
        <v>87</v>
      </c>
      <c r="C37" s="9">
        <v>23</v>
      </c>
      <c r="D37">
        <v>251.33</v>
      </c>
      <c r="E37" s="29">
        <v>275</v>
      </c>
      <c r="F37" s="50">
        <v>225</v>
      </c>
      <c r="G37" s="21">
        <f t="shared" si="9"/>
        <v>1.898974553740979</v>
      </c>
      <c r="H37" s="6">
        <v>45275</v>
      </c>
      <c r="I37" s="29">
        <v>252.9</v>
      </c>
      <c r="J37" s="30">
        <f t="shared" si="3"/>
        <v>6.2467671985040329E-3</v>
      </c>
      <c r="K37" s="35">
        <f t="shared" si="4"/>
        <v>36.109999999999673</v>
      </c>
      <c r="L37" s="21">
        <f t="shared" si="5"/>
        <v>1</v>
      </c>
      <c r="M37" s="9">
        <f t="shared" si="6"/>
        <v>1</v>
      </c>
      <c r="N37">
        <f t="shared" si="7"/>
        <v>36.109999999999673</v>
      </c>
      <c r="O37">
        <f t="shared" si="8"/>
        <v>0</v>
      </c>
      <c r="R37" s="28">
        <v>16458.599999999999</v>
      </c>
    </row>
    <row r="38" spans="1:18">
      <c r="A38" s="6">
        <v>45273</v>
      </c>
      <c r="B38" t="s">
        <v>287</v>
      </c>
      <c r="C38" s="9">
        <v>116</v>
      </c>
      <c r="D38">
        <v>48.51</v>
      </c>
      <c r="E38" s="29">
        <v>55</v>
      </c>
      <c r="F38" s="50">
        <v>45</v>
      </c>
      <c r="G38" s="21">
        <f t="shared" si="9"/>
        <v>2.8490028490028507</v>
      </c>
      <c r="H38" s="6">
        <v>45275</v>
      </c>
      <c r="I38" s="29">
        <v>49.37</v>
      </c>
      <c r="J38" s="30">
        <f t="shared" si="3"/>
        <v>1.7728303442589244E-2</v>
      </c>
      <c r="K38" s="35">
        <f t="shared" si="4"/>
        <v>99.760000000000218</v>
      </c>
      <c r="L38" s="21">
        <f t="shared" si="5"/>
        <v>2</v>
      </c>
      <c r="M38" s="9">
        <f t="shared" si="6"/>
        <v>1</v>
      </c>
      <c r="N38">
        <f t="shared" si="7"/>
        <v>99.760000000000218</v>
      </c>
      <c r="O38">
        <f t="shared" si="8"/>
        <v>0</v>
      </c>
    </row>
    <row r="39" spans="1:18">
      <c r="A39" s="6">
        <v>45273</v>
      </c>
      <c r="B39" t="s">
        <v>316</v>
      </c>
      <c r="C39" s="9">
        <v>7</v>
      </c>
      <c r="D39">
        <v>477.66</v>
      </c>
      <c r="E39" s="29">
        <v>500</v>
      </c>
      <c r="F39" s="50">
        <v>450</v>
      </c>
      <c r="G39" s="21">
        <f t="shared" si="9"/>
        <v>1.8076644974692682</v>
      </c>
      <c r="H39" s="6">
        <v>45279</v>
      </c>
      <c r="I39" s="29">
        <v>493.75</v>
      </c>
      <c r="J39" s="30">
        <f t="shared" si="3"/>
        <v>3.3685047942050739E-2</v>
      </c>
      <c r="K39" s="35">
        <f t="shared" si="4"/>
        <v>112.62999999999965</v>
      </c>
      <c r="L39" s="21">
        <f t="shared" si="5"/>
        <v>6</v>
      </c>
      <c r="M39" s="9">
        <f t="shared" si="6"/>
        <v>1</v>
      </c>
      <c r="N39">
        <f t="shared" si="7"/>
        <v>112.62999999999965</v>
      </c>
      <c r="O39">
        <f t="shared" si="8"/>
        <v>0</v>
      </c>
    </row>
    <row r="40" spans="1:18">
      <c r="A40" s="6">
        <v>45272</v>
      </c>
      <c r="B40" t="s">
        <v>229</v>
      </c>
      <c r="C40" s="9">
        <v>33</v>
      </c>
      <c r="D40">
        <v>103.4</v>
      </c>
      <c r="E40" s="29">
        <v>110</v>
      </c>
      <c r="F40" s="50">
        <v>100</v>
      </c>
      <c r="G40" s="21">
        <f xml:space="preserve"> (E40 - F40)/(D40-F40)</f>
        <v>2.9411764705882302</v>
      </c>
      <c r="H40" s="6">
        <v>45275</v>
      </c>
      <c r="I40" s="29">
        <v>103.81</v>
      </c>
      <c r="J40" s="30">
        <f t="shared" si="3"/>
        <v>3.9651837524177225E-3</v>
      </c>
      <c r="K40" s="35">
        <f t="shared" si="4"/>
        <v>13.529999999999745</v>
      </c>
      <c r="L40" s="21">
        <f t="shared" si="5"/>
        <v>3</v>
      </c>
      <c r="M40" s="9">
        <f t="shared" si="6"/>
        <v>1</v>
      </c>
      <c r="N40">
        <f t="shared" si="7"/>
        <v>13.529999999999745</v>
      </c>
      <c r="O40">
        <f t="shared" si="8"/>
        <v>0</v>
      </c>
      <c r="R40" s="28">
        <v>15612.15</v>
      </c>
    </row>
    <row r="41" spans="1:18">
      <c r="A41" s="6">
        <v>45272</v>
      </c>
      <c r="B41" t="s">
        <v>316</v>
      </c>
      <c r="C41" s="9">
        <v>5</v>
      </c>
      <c r="D41">
        <v>462.75</v>
      </c>
      <c r="E41" s="29">
        <v>500</v>
      </c>
      <c r="F41" s="50">
        <v>450</v>
      </c>
      <c r="G41" s="21">
        <f xml:space="preserve"> (E41 - F41)/(D41-F41)</f>
        <v>3.9215686274509802</v>
      </c>
      <c r="H41" s="6">
        <v>45273</v>
      </c>
      <c r="I41" s="29">
        <v>477.73</v>
      </c>
      <c r="J41" s="30">
        <f t="shared" si="3"/>
        <v>3.2371690977849754E-2</v>
      </c>
      <c r="K41" s="35">
        <f t="shared" si="4"/>
        <v>74.900000000000091</v>
      </c>
      <c r="L41" s="21">
        <f t="shared" si="5"/>
        <v>1</v>
      </c>
      <c r="M41" s="9">
        <f t="shared" si="6"/>
        <v>1</v>
      </c>
      <c r="N41">
        <f t="shared" si="7"/>
        <v>74.900000000000091</v>
      </c>
      <c r="O41">
        <f t="shared" si="8"/>
        <v>0</v>
      </c>
    </row>
    <row r="42" spans="1:18">
      <c r="A42" s="6">
        <v>45272</v>
      </c>
      <c r="B42" s="61" t="s">
        <v>227</v>
      </c>
      <c r="C42" s="9">
        <v>8</v>
      </c>
      <c r="D42">
        <v>632.99</v>
      </c>
      <c r="E42" s="29">
        <v>700</v>
      </c>
      <c r="F42" s="50">
        <v>600</v>
      </c>
      <c r="G42" s="21">
        <f xml:space="preserve"> (E42 - F42)/(D42-F42)</f>
        <v>3.0312215822976651</v>
      </c>
      <c r="J42" s="30"/>
      <c r="K42" s="38"/>
      <c r="L42" s="37"/>
      <c r="N42" s="38"/>
    </row>
    <row r="43" spans="1:18">
      <c r="A43" s="6">
        <v>45272</v>
      </c>
      <c r="B43" t="s">
        <v>287</v>
      </c>
      <c r="C43" s="9">
        <v>116</v>
      </c>
      <c r="D43">
        <v>46.97</v>
      </c>
      <c r="E43" s="29">
        <v>50</v>
      </c>
      <c r="F43" s="50">
        <v>45</v>
      </c>
      <c r="G43" s="21">
        <f xml:space="preserve"> (E43 - F43)/(D43-F43)</f>
        <v>2.5380710659898491</v>
      </c>
      <c r="H43" s="6">
        <v>45273</v>
      </c>
      <c r="I43" s="29">
        <v>48.52</v>
      </c>
      <c r="J43" s="30">
        <f>I43/D43 -1</f>
        <v>3.299978709814777E-2</v>
      </c>
      <c r="K43" s="35">
        <f>(C43*I43) - (C43*D43)</f>
        <v>179.80000000000109</v>
      </c>
      <c r="L43" s="21">
        <f>H43-A43</f>
        <v>1</v>
      </c>
      <c r="M43" s="9">
        <f>IF(J43&gt;0,1,0)</f>
        <v>1</v>
      </c>
      <c r="N43">
        <f>IF(K43&gt;0, K43, 0)</f>
        <v>179.80000000000109</v>
      </c>
      <c r="O43">
        <f>IF(K43&lt;0, K43, 0)</f>
        <v>0</v>
      </c>
      <c r="R43" s="28">
        <v>15036.25</v>
      </c>
    </row>
    <row r="44" spans="1:18">
      <c r="A44" s="6">
        <v>45271</v>
      </c>
      <c r="B44" t="s">
        <v>719</v>
      </c>
      <c r="C44" s="9">
        <v>44</v>
      </c>
      <c r="D44">
        <v>20.69</v>
      </c>
      <c r="E44" s="29">
        <v>30</v>
      </c>
      <c r="F44" s="50">
        <v>20</v>
      </c>
      <c r="G44" s="21">
        <f t="shared" ref="G44:G51" si="10" xml:space="preserve"> (E44 - F44)/(D44-F44)</f>
        <v>14.49275362318838</v>
      </c>
      <c r="J44" s="30"/>
      <c r="K44" s="38"/>
      <c r="L44" s="37"/>
      <c r="N44" s="38"/>
    </row>
    <row r="45" spans="1:18">
      <c r="A45" s="6">
        <v>45271</v>
      </c>
      <c r="B45" s="22" t="s">
        <v>438</v>
      </c>
      <c r="C45" s="57">
        <v>100</v>
      </c>
      <c r="D45">
        <v>1.04</v>
      </c>
      <c r="E45" s="29">
        <v>3</v>
      </c>
      <c r="F45" s="50">
        <v>0.52</v>
      </c>
      <c r="G45" s="21">
        <f xml:space="preserve"> (E45 - F45)/(D45-F45)</f>
        <v>4.7692307692307692</v>
      </c>
      <c r="H45" s="6">
        <v>45274</v>
      </c>
      <c r="I45" s="29">
        <v>2.2599999999999998</v>
      </c>
      <c r="J45" s="30">
        <f>I45/D45 -1</f>
        <v>1.1730769230769229</v>
      </c>
      <c r="K45" s="35">
        <f>(C45*I45) - (C45*D45)</f>
        <v>121.99999999999997</v>
      </c>
      <c r="L45" s="21">
        <f>H45-A45</f>
        <v>3</v>
      </c>
      <c r="M45" s="9">
        <f>IF(J45&gt;0,1,0)</f>
        <v>1</v>
      </c>
      <c r="N45">
        <f>IF(K45&gt;0, K45, 0)</f>
        <v>121.99999999999997</v>
      </c>
      <c r="O45">
        <f>IF(K45&lt;0, K45, 0)</f>
        <v>0</v>
      </c>
    </row>
    <row r="46" spans="1:18">
      <c r="A46" s="6">
        <v>45271</v>
      </c>
      <c r="B46" s="22" t="s">
        <v>438</v>
      </c>
      <c r="C46" s="57">
        <v>100</v>
      </c>
      <c r="D46">
        <v>1.04</v>
      </c>
      <c r="E46" s="29">
        <v>3</v>
      </c>
      <c r="F46" s="50">
        <v>0.52</v>
      </c>
      <c r="G46" s="21">
        <f t="shared" si="10"/>
        <v>4.7692307692307692</v>
      </c>
      <c r="J46" s="30"/>
      <c r="K46" s="38"/>
      <c r="L46" s="37"/>
      <c r="N46" s="38"/>
    </row>
    <row r="47" spans="1:18">
      <c r="A47" s="6">
        <v>45271</v>
      </c>
      <c r="B47" t="s">
        <v>632</v>
      </c>
      <c r="C47" s="9">
        <v>10</v>
      </c>
      <c r="D47">
        <v>85</v>
      </c>
      <c r="E47" s="29">
        <v>100</v>
      </c>
      <c r="F47" s="50">
        <v>80</v>
      </c>
      <c r="G47" s="21">
        <f t="shared" si="10"/>
        <v>4</v>
      </c>
      <c r="J47" s="30"/>
      <c r="K47" s="38"/>
      <c r="L47" s="37"/>
      <c r="N47" s="38"/>
    </row>
    <row r="48" spans="1:18">
      <c r="A48" s="6">
        <v>45271</v>
      </c>
      <c r="B48" s="61" t="s">
        <v>358</v>
      </c>
      <c r="C48" s="9">
        <v>113</v>
      </c>
      <c r="D48">
        <v>48.78</v>
      </c>
      <c r="E48" s="29">
        <v>55</v>
      </c>
      <c r="F48" s="50">
        <v>47</v>
      </c>
      <c r="G48" s="21">
        <f t="shared" si="10"/>
        <v>4.4943820224719069</v>
      </c>
      <c r="H48" s="6">
        <v>45275</v>
      </c>
      <c r="I48" s="29">
        <v>48.9</v>
      </c>
      <c r="J48" s="30">
        <f t="shared" ref="J48:J63" si="11">I48/D48 -1</f>
        <v>2.4600246002459691E-3</v>
      </c>
      <c r="K48" s="35">
        <f t="shared" ref="K48:K63" si="12">(C48*I48) - (C48*D48)</f>
        <v>13.559999999999491</v>
      </c>
      <c r="L48" s="21">
        <f t="shared" ref="L48:L63" si="13">H48-A48</f>
        <v>4</v>
      </c>
      <c r="M48" s="9">
        <f t="shared" ref="M48:M63" si="14">IF(J48&gt;0,1,0)</f>
        <v>1</v>
      </c>
      <c r="N48">
        <f t="shared" ref="N48:N63" si="15">IF(K48&gt;0, K48, 0)</f>
        <v>13.559999999999491</v>
      </c>
      <c r="O48">
        <f t="shared" ref="O48:O63" si="16">IF(K48&lt;0, K48, 0)</f>
        <v>0</v>
      </c>
    </row>
    <row r="49" spans="1:18">
      <c r="A49" s="6">
        <v>45271</v>
      </c>
      <c r="B49" s="61" t="s">
        <v>227</v>
      </c>
      <c r="C49" s="9">
        <v>8</v>
      </c>
      <c r="D49">
        <v>619.5</v>
      </c>
      <c r="E49" s="29">
        <v>700</v>
      </c>
      <c r="F49" s="50">
        <v>600</v>
      </c>
      <c r="G49" s="21">
        <f t="shared" si="10"/>
        <v>5.1282051282051286</v>
      </c>
      <c r="H49" s="6">
        <v>45272</v>
      </c>
      <c r="I49" s="29">
        <v>633</v>
      </c>
      <c r="J49" s="30">
        <f t="shared" si="11"/>
        <v>2.1791767554479424E-2</v>
      </c>
      <c r="K49" s="35">
        <f t="shared" si="12"/>
        <v>108</v>
      </c>
      <c r="L49" s="21">
        <f t="shared" si="13"/>
        <v>1</v>
      </c>
      <c r="M49" s="9">
        <f t="shared" si="14"/>
        <v>1</v>
      </c>
      <c r="N49">
        <f t="shared" si="15"/>
        <v>108</v>
      </c>
      <c r="O49">
        <f t="shared" si="16"/>
        <v>0</v>
      </c>
    </row>
    <row r="50" spans="1:18">
      <c r="A50" s="6">
        <v>45271</v>
      </c>
      <c r="B50" t="s">
        <v>730</v>
      </c>
      <c r="C50" s="9">
        <v>199</v>
      </c>
      <c r="D50">
        <v>26.2</v>
      </c>
      <c r="E50" s="29">
        <v>28</v>
      </c>
      <c r="F50" s="50">
        <v>26</v>
      </c>
      <c r="G50" s="21">
        <f t="shared" si="10"/>
        <v>10.000000000000036</v>
      </c>
      <c r="H50" s="6">
        <v>45273</v>
      </c>
      <c r="I50" s="29">
        <v>27.24</v>
      </c>
      <c r="J50" s="30">
        <f t="shared" si="11"/>
        <v>3.969465648854964E-2</v>
      </c>
      <c r="K50" s="35">
        <f t="shared" si="12"/>
        <v>206.95999999999913</v>
      </c>
      <c r="L50" s="21">
        <f t="shared" si="13"/>
        <v>2</v>
      </c>
      <c r="M50" s="9">
        <f t="shared" si="14"/>
        <v>1</v>
      </c>
      <c r="N50">
        <f t="shared" si="15"/>
        <v>206.95999999999913</v>
      </c>
      <c r="O50">
        <f t="shared" si="16"/>
        <v>0</v>
      </c>
    </row>
    <row r="51" spans="1:18">
      <c r="A51" s="6">
        <v>45271</v>
      </c>
      <c r="B51" t="s">
        <v>286</v>
      </c>
      <c r="C51" s="9">
        <v>140</v>
      </c>
      <c r="D51">
        <v>41.06</v>
      </c>
      <c r="E51" s="29">
        <v>45</v>
      </c>
      <c r="F51" s="50">
        <v>40</v>
      </c>
      <c r="G51" s="21">
        <f t="shared" si="10"/>
        <v>4.7169811320754613</v>
      </c>
      <c r="H51" s="6">
        <v>45274</v>
      </c>
      <c r="I51" s="29">
        <v>42.2</v>
      </c>
      <c r="J51" s="30">
        <f t="shared" si="11"/>
        <v>2.7764247442766621E-2</v>
      </c>
      <c r="K51" s="35">
        <f t="shared" si="12"/>
        <v>159.59999999999945</v>
      </c>
      <c r="L51" s="21">
        <f t="shared" si="13"/>
        <v>3</v>
      </c>
      <c r="M51" s="9">
        <f t="shared" si="14"/>
        <v>1</v>
      </c>
      <c r="N51">
        <f t="shared" si="15"/>
        <v>159.59999999999945</v>
      </c>
      <c r="O51">
        <f t="shared" si="16"/>
        <v>0</v>
      </c>
      <c r="R51" s="28">
        <v>14696.58</v>
      </c>
    </row>
    <row r="52" spans="1:18">
      <c r="A52" s="6">
        <v>45268</v>
      </c>
      <c r="B52" t="s">
        <v>516</v>
      </c>
      <c r="C52" s="9">
        <v>10</v>
      </c>
      <c r="D52">
        <v>59.16</v>
      </c>
      <c r="E52" s="29">
        <v>57</v>
      </c>
      <c r="F52" s="50">
        <v>53</v>
      </c>
      <c r="G52" s="21">
        <f t="shared" ref="G52:G63" si="17" xml:space="preserve"> (E52 - F52)/(D52-F52)</f>
        <v>0.64935064935064968</v>
      </c>
      <c r="H52" s="6">
        <v>45275</v>
      </c>
      <c r="I52" s="29">
        <v>64</v>
      </c>
      <c r="J52" s="30">
        <f t="shared" si="11"/>
        <v>8.1812035158891128E-2</v>
      </c>
      <c r="K52" s="35">
        <f t="shared" si="12"/>
        <v>48.400000000000091</v>
      </c>
      <c r="L52" s="21">
        <f t="shared" si="13"/>
        <v>7</v>
      </c>
      <c r="M52" s="9">
        <f t="shared" si="14"/>
        <v>1</v>
      </c>
      <c r="N52">
        <f t="shared" si="15"/>
        <v>48.400000000000091</v>
      </c>
      <c r="O52">
        <f t="shared" si="16"/>
        <v>0</v>
      </c>
      <c r="R52" s="28">
        <v>14524.38</v>
      </c>
    </row>
    <row r="53" spans="1:18">
      <c r="A53" s="6">
        <v>45267</v>
      </c>
      <c r="B53" t="s">
        <v>697</v>
      </c>
      <c r="C53" s="9">
        <v>30</v>
      </c>
      <c r="D53">
        <v>23.97</v>
      </c>
      <c r="E53" s="29">
        <v>27</v>
      </c>
      <c r="F53" s="50">
        <v>23</v>
      </c>
      <c r="G53" s="21">
        <f t="shared" si="17"/>
        <v>4.1237113402061905</v>
      </c>
      <c r="H53" s="6">
        <v>45278</v>
      </c>
      <c r="I53" s="29">
        <v>26.01</v>
      </c>
      <c r="J53" s="30">
        <f t="shared" si="11"/>
        <v>8.5106382978723527E-2</v>
      </c>
      <c r="K53" s="35">
        <f t="shared" si="12"/>
        <v>61.200000000000159</v>
      </c>
      <c r="L53" s="21">
        <f t="shared" si="13"/>
        <v>11</v>
      </c>
      <c r="M53" s="9">
        <f t="shared" si="14"/>
        <v>1</v>
      </c>
      <c r="N53">
        <f t="shared" si="15"/>
        <v>61.200000000000159</v>
      </c>
      <c r="O53">
        <f t="shared" si="16"/>
        <v>0</v>
      </c>
    </row>
    <row r="54" spans="1:18">
      <c r="A54" s="6">
        <v>45267</v>
      </c>
      <c r="B54" t="s">
        <v>439</v>
      </c>
      <c r="C54" s="9">
        <v>45</v>
      </c>
      <c r="D54">
        <v>127.73</v>
      </c>
      <c r="E54" s="29">
        <v>140</v>
      </c>
      <c r="F54" s="75">
        <v>123</v>
      </c>
      <c r="G54" s="21">
        <f t="shared" si="17"/>
        <v>3.594080338266382</v>
      </c>
      <c r="H54" s="6">
        <v>45268</v>
      </c>
      <c r="I54" s="29">
        <v>128.75</v>
      </c>
      <c r="J54" s="30">
        <f t="shared" si="11"/>
        <v>7.985594613638014E-3</v>
      </c>
      <c r="K54" s="35">
        <f t="shared" si="12"/>
        <v>45.899999999999636</v>
      </c>
      <c r="L54" s="21">
        <f t="shared" si="13"/>
        <v>1</v>
      </c>
      <c r="M54" s="9">
        <f t="shared" si="14"/>
        <v>1</v>
      </c>
      <c r="N54">
        <f t="shared" si="15"/>
        <v>45.899999999999636</v>
      </c>
      <c r="O54">
        <f t="shared" si="16"/>
        <v>0</v>
      </c>
      <c r="R54" s="28">
        <v>13801.46</v>
      </c>
    </row>
    <row r="55" spans="1:18">
      <c r="A55" s="6">
        <v>45266</v>
      </c>
      <c r="B55" t="s">
        <v>227</v>
      </c>
      <c r="C55" s="9">
        <v>8</v>
      </c>
      <c r="D55">
        <v>597.36</v>
      </c>
      <c r="E55" s="29">
        <v>650</v>
      </c>
      <c r="F55" s="50">
        <v>590</v>
      </c>
      <c r="G55" s="21">
        <f t="shared" si="17"/>
        <v>8.1521739130434625</v>
      </c>
      <c r="H55" s="6">
        <v>45268</v>
      </c>
      <c r="I55" s="29">
        <v>609.9</v>
      </c>
      <c r="J55" s="30">
        <f t="shared" si="11"/>
        <v>2.0992366412213581E-2</v>
      </c>
      <c r="K55" s="35">
        <f t="shared" si="12"/>
        <v>100.31999999999971</v>
      </c>
      <c r="L55" s="21">
        <f t="shared" si="13"/>
        <v>2</v>
      </c>
      <c r="M55" s="9">
        <f t="shared" si="14"/>
        <v>1</v>
      </c>
      <c r="N55">
        <f t="shared" si="15"/>
        <v>100.31999999999971</v>
      </c>
      <c r="O55">
        <f t="shared" si="16"/>
        <v>0</v>
      </c>
    </row>
    <row r="56" spans="1:18">
      <c r="A56" s="6">
        <v>45266</v>
      </c>
      <c r="B56" t="s">
        <v>316</v>
      </c>
      <c r="C56" s="9">
        <v>5</v>
      </c>
      <c r="D56">
        <v>447.29</v>
      </c>
      <c r="E56" s="29">
        <v>500</v>
      </c>
      <c r="F56" s="50">
        <v>430</v>
      </c>
      <c r="G56" s="21">
        <f t="shared" si="17"/>
        <v>4.0485829959514126</v>
      </c>
      <c r="H56" s="6">
        <v>45272</v>
      </c>
      <c r="I56" s="29">
        <v>463</v>
      </c>
      <c r="J56" s="30">
        <f t="shared" si="11"/>
        <v>3.5122627378211035E-2</v>
      </c>
      <c r="K56" s="35">
        <f t="shared" si="12"/>
        <v>78.549999999999727</v>
      </c>
      <c r="L56" s="21">
        <f t="shared" si="13"/>
        <v>6</v>
      </c>
      <c r="M56" s="9">
        <f t="shared" si="14"/>
        <v>1</v>
      </c>
      <c r="N56">
        <f t="shared" si="15"/>
        <v>78.549999999999727</v>
      </c>
      <c r="O56">
        <f t="shared" si="16"/>
        <v>0</v>
      </c>
    </row>
    <row r="57" spans="1:18">
      <c r="A57" s="6">
        <v>45266</v>
      </c>
      <c r="B57" t="s">
        <v>616</v>
      </c>
      <c r="C57" s="9">
        <v>100</v>
      </c>
      <c r="D57">
        <v>53</v>
      </c>
      <c r="E57" s="29">
        <v>60</v>
      </c>
      <c r="F57" s="50">
        <v>51</v>
      </c>
      <c r="G57" s="21">
        <f t="shared" si="17"/>
        <v>4.5</v>
      </c>
      <c r="H57" s="6">
        <v>45268</v>
      </c>
      <c r="I57" s="29">
        <v>55.4</v>
      </c>
      <c r="J57" s="30">
        <f t="shared" si="11"/>
        <v>4.5283018867924518E-2</v>
      </c>
      <c r="K57" s="35">
        <f t="shared" si="12"/>
        <v>240</v>
      </c>
      <c r="L57" s="21">
        <f t="shared" si="13"/>
        <v>2</v>
      </c>
      <c r="M57" s="9">
        <f t="shared" si="14"/>
        <v>1</v>
      </c>
      <c r="N57">
        <f t="shared" si="15"/>
        <v>240</v>
      </c>
      <c r="O57">
        <f t="shared" si="16"/>
        <v>0</v>
      </c>
      <c r="R57" s="28">
        <v>13450.89</v>
      </c>
    </row>
    <row r="58" spans="1:18">
      <c r="A58" s="6">
        <v>45265</v>
      </c>
      <c r="B58" t="s">
        <v>733</v>
      </c>
      <c r="C58" s="9">
        <v>79</v>
      </c>
      <c r="D58">
        <v>69.75</v>
      </c>
      <c r="E58" s="29">
        <v>80</v>
      </c>
      <c r="F58" s="50">
        <v>68</v>
      </c>
      <c r="G58" s="21">
        <f t="shared" si="17"/>
        <v>6.8571428571428568</v>
      </c>
      <c r="H58" s="6">
        <v>45274</v>
      </c>
      <c r="I58" s="29">
        <v>72.22</v>
      </c>
      <c r="J58" s="30">
        <f t="shared" si="11"/>
        <v>3.5412186379928379E-2</v>
      </c>
      <c r="K58" s="35">
        <f t="shared" si="12"/>
        <v>195.13000000000011</v>
      </c>
      <c r="L58" s="21">
        <f t="shared" si="13"/>
        <v>9</v>
      </c>
      <c r="M58" s="9">
        <f t="shared" si="14"/>
        <v>1</v>
      </c>
      <c r="N58">
        <f t="shared" si="15"/>
        <v>195.13000000000011</v>
      </c>
      <c r="O58">
        <f t="shared" si="16"/>
        <v>0</v>
      </c>
    </row>
    <row r="59" spans="1:18">
      <c r="A59" s="6">
        <v>45265</v>
      </c>
      <c r="B59" t="s">
        <v>508</v>
      </c>
      <c r="C59" s="9">
        <v>9</v>
      </c>
      <c r="D59">
        <v>316.7</v>
      </c>
      <c r="E59" s="29">
        <v>350</v>
      </c>
      <c r="F59" s="50">
        <v>310</v>
      </c>
      <c r="G59" s="21">
        <f t="shared" si="17"/>
        <v>5.9701492537313534</v>
      </c>
      <c r="H59" s="6">
        <v>45268</v>
      </c>
      <c r="I59" s="29">
        <v>333</v>
      </c>
      <c r="J59" s="30">
        <f t="shared" si="11"/>
        <v>5.1468266498263304E-2</v>
      </c>
      <c r="K59" s="35">
        <f t="shared" si="12"/>
        <v>146.70000000000027</v>
      </c>
      <c r="L59" s="21">
        <f t="shared" si="13"/>
        <v>3</v>
      </c>
      <c r="M59" s="9">
        <f t="shared" si="14"/>
        <v>1</v>
      </c>
      <c r="N59">
        <f t="shared" si="15"/>
        <v>146.70000000000027</v>
      </c>
      <c r="O59">
        <f t="shared" si="16"/>
        <v>0</v>
      </c>
      <c r="R59" s="28">
        <v>13233.19</v>
      </c>
    </row>
    <row r="60" spans="1:18">
      <c r="A60" s="6">
        <v>45264</v>
      </c>
      <c r="B60" t="s">
        <v>255</v>
      </c>
      <c r="C60" s="9">
        <v>46</v>
      </c>
      <c r="D60">
        <v>17.600000000000001</v>
      </c>
      <c r="E60" s="29">
        <v>25</v>
      </c>
      <c r="F60" s="50">
        <v>16.5</v>
      </c>
      <c r="G60" s="21">
        <f t="shared" si="17"/>
        <v>7.7272727272727169</v>
      </c>
      <c r="H60" s="6">
        <v>45267</v>
      </c>
      <c r="I60" s="29">
        <v>19.18</v>
      </c>
      <c r="J60" s="30">
        <f t="shared" si="11"/>
        <v>8.9772727272727115E-2</v>
      </c>
      <c r="K60" s="35">
        <f t="shared" si="12"/>
        <v>72.67999999999995</v>
      </c>
      <c r="L60" s="21">
        <f t="shared" si="13"/>
        <v>3</v>
      </c>
      <c r="M60" s="9">
        <f t="shared" si="14"/>
        <v>1</v>
      </c>
      <c r="N60">
        <f t="shared" si="15"/>
        <v>72.67999999999995</v>
      </c>
      <c r="O60">
        <f t="shared" si="16"/>
        <v>0</v>
      </c>
    </row>
    <row r="61" spans="1:18">
      <c r="A61" s="6">
        <v>45264</v>
      </c>
      <c r="B61" t="s">
        <v>286</v>
      </c>
      <c r="C61" s="9">
        <v>140</v>
      </c>
      <c r="D61">
        <v>39.85</v>
      </c>
      <c r="E61" s="29">
        <v>45</v>
      </c>
      <c r="F61" s="50">
        <v>39</v>
      </c>
      <c r="G61" s="21">
        <f t="shared" si="17"/>
        <v>7.058823529411753</v>
      </c>
      <c r="H61" s="6">
        <v>45271</v>
      </c>
      <c r="I61" s="29">
        <v>41.08</v>
      </c>
      <c r="J61" s="30">
        <f t="shared" si="11"/>
        <v>3.0865746549560757E-2</v>
      </c>
      <c r="K61" s="35">
        <f t="shared" si="12"/>
        <v>172.19999999999982</v>
      </c>
      <c r="L61" s="21">
        <f t="shared" si="13"/>
        <v>7</v>
      </c>
      <c r="M61" s="9">
        <f t="shared" si="14"/>
        <v>1</v>
      </c>
      <c r="N61">
        <f t="shared" si="15"/>
        <v>172.19999999999982</v>
      </c>
      <c r="O61">
        <f t="shared" si="16"/>
        <v>0</v>
      </c>
    </row>
    <row r="62" spans="1:18">
      <c r="A62" s="6">
        <v>45264</v>
      </c>
      <c r="B62" t="s">
        <v>129</v>
      </c>
      <c r="C62" s="9">
        <v>9</v>
      </c>
      <c r="D62">
        <v>597.1</v>
      </c>
      <c r="E62" s="29">
        <v>625</v>
      </c>
      <c r="F62" s="50">
        <v>590</v>
      </c>
      <c r="G62" s="21">
        <f t="shared" si="17"/>
        <v>4.9295774647887169</v>
      </c>
      <c r="H62" s="6">
        <v>45266</v>
      </c>
      <c r="I62" s="29">
        <v>608.20000000000005</v>
      </c>
      <c r="J62" s="30">
        <f t="shared" si="11"/>
        <v>1.8589850946240105E-2</v>
      </c>
      <c r="K62" s="35">
        <f t="shared" si="12"/>
        <v>99.899999999999636</v>
      </c>
      <c r="L62" s="21">
        <f t="shared" si="13"/>
        <v>2</v>
      </c>
      <c r="M62" s="9">
        <f t="shared" si="14"/>
        <v>1</v>
      </c>
      <c r="N62">
        <f t="shared" si="15"/>
        <v>99.899999999999636</v>
      </c>
      <c r="O62">
        <f t="shared" si="16"/>
        <v>0</v>
      </c>
    </row>
    <row r="63" spans="1:18">
      <c r="A63" s="6">
        <v>45264</v>
      </c>
      <c r="B63" s="61" t="s">
        <v>303</v>
      </c>
      <c r="C63" s="9">
        <v>23</v>
      </c>
      <c r="D63">
        <v>227.1</v>
      </c>
      <c r="E63" s="29">
        <v>240</v>
      </c>
      <c r="F63" s="50">
        <v>224</v>
      </c>
      <c r="G63" s="21">
        <f t="shared" si="17"/>
        <v>5.1612903225806548</v>
      </c>
      <c r="H63" s="6">
        <v>45266</v>
      </c>
      <c r="I63" s="29">
        <v>232.12</v>
      </c>
      <c r="J63" s="30">
        <f t="shared" si="11"/>
        <v>2.2104799647732376E-2</v>
      </c>
      <c r="K63" s="35">
        <f t="shared" si="12"/>
        <v>115.46000000000004</v>
      </c>
      <c r="L63" s="21">
        <f t="shared" si="13"/>
        <v>2</v>
      </c>
      <c r="M63" s="9">
        <f t="shared" si="14"/>
        <v>1</v>
      </c>
      <c r="N63">
        <f t="shared" si="15"/>
        <v>115.46000000000004</v>
      </c>
      <c r="O63">
        <f t="shared" si="16"/>
        <v>0</v>
      </c>
      <c r="R63" s="28">
        <v>13167.19</v>
      </c>
    </row>
    <row r="64" spans="1:18">
      <c r="A64" s="6">
        <v>45260</v>
      </c>
      <c r="B64" t="s">
        <v>132</v>
      </c>
      <c r="C64" s="9">
        <v>564</v>
      </c>
      <c r="D64">
        <v>1.4</v>
      </c>
      <c r="E64" s="29">
        <v>2</v>
      </c>
      <c r="F64" s="50">
        <v>1.2</v>
      </c>
      <c r="G64" s="21">
        <f t="shared" ref="G64:G70" si="18" xml:space="preserve"> (E64 - F64)/(D64-F64)</f>
        <v>4.0000000000000009</v>
      </c>
      <c r="J64" s="30"/>
      <c r="K64" s="38"/>
      <c r="L64" s="37"/>
      <c r="N64" s="38"/>
      <c r="R64" s="28">
        <v>13106.94</v>
      </c>
    </row>
    <row r="65" spans="1:18">
      <c r="A65" s="6">
        <v>45260</v>
      </c>
      <c r="B65" t="s">
        <v>296</v>
      </c>
      <c r="C65" s="9">
        <v>117</v>
      </c>
      <c r="D65">
        <v>16.3</v>
      </c>
      <c r="E65" s="29">
        <v>20</v>
      </c>
      <c r="F65" s="50">
        <v>15.8</v>
      </c>
      <c r="G65" s="21">
        <f t="shared" si="18"/>
        <v>8.3999999999999986</v>
      </c>
      <c r="H65" s="6">
        <v>45266</v>
      </c>
      <c r="I65" s="29">
        <v>16.32</v>
      </c>
      <c r="J65" s="30">
        <f>I65/D65 -1</f>
        <v>1.2269938650306678E-3</v>
      </c>
      <c r="K65" s="35">
        <f>(C65*I65) - (C65*D65)</f>
        <v>2.3399999999999181</v>
      </c>
      <c r="L65" s="21">
        <f>H65-A65</f>
        <v>6</v>
      </c>
      <c r="M65" s="9">
        <f>IF(J65&gt;0,1,0)</f>
        <v>1</v>
      </c>
      <c r="N65">
        <f>IF(K65&gt;0, K65, 0)</f>
        <v>2.3399999999999181</v>
      </c>
      <c r="O65">
        <f>IF(K65&lt;0, K65, 0)</f>
        <v>0</v>
      </c>
      <c r="R65" s="28">
        <v>12812.14</v>
      </c>
    </row>
    <row r="66" spans="1:18">
      <c r="A66" s="6">
        <v>45259</v>
      </c>
      <c r="B66" t="s">
        <v>629</v>
      </c>
      <c r="C66" s="9">
        <v>325</v>
      </c>
      <c r="D66">
        <v>2.84</v>
      </c>
      <c r="E66" s="29">
        <v>4</v>
      </c>
      <c r="F66" s="50">
        <v>2</v>
      </c>
      <c r="G66" s="21">
        <f t="shared" si="18"/>
        <v>2.3809523809523814</v>
      </c>
      <c r="J66" s="30"/>
      <c r="K66" s="38"/>
      <c r="L66" s="37"/>
      <c r="N66" s="38"/>
    </row>
    <row r="67" spans="1:18">
      <c r="A67" s="6">
        <v>45259</v>
      </c>
      <c r="B67" t="s">
        <v>560</v>
      </c>
      <c r="C67" s="9">
        <v>37</v>
      </c>
      <c r="D67">
        <v>21.01</v>
      </c>
      <c r="E67" s="29">
        <v>22</v>
      </c>
      <c r="F67" s="50">
        <v>20</v>
      </c>
      <c r="G67" s="21">
        <f t="shared" si="18"/>
        <v>1.9801980198019771</v>
      </c>
      <c r="J67" s="30"/>
      <c r="K67" s="38"/>
      <c r="L67" s="37"/>
      <c r="N67" s="38"/>
    </row>
    <row r="68" spans="1:18">
      <c r="A68" s="6">
        <v>45259</v>
      </c>
      <c r="B68" t="s">
        <v>287</v>
      </c>
      <c r="C68" s="9">
        <v>116</v>
      </c>
      <c r="D68">
        <v>45.65</v>
      </c>
      <c r="E68" s="29">
        <v>50</v>
      </c>
      <c r="F68" s="50">
        <v>43</v>
      </c>
      <c r="G68" s="21">
        <f t="shared" si="18"/>
        <v>2.6415094339622658</v>
      </c>
      <c r="H68" s="6">
        <v>45272</v>
      </c>
      <c r="I68" s="29">
        <v>46.97</v>
      </c>
      <c r="J68" s="30">
        <f t="shared" ref="J68:J73" si="19">I68/D68 -1</f>
        <v>2.8915662650602414E-2</v>
      </c>
      <c r="K68" s="35">
        <f t="shared" ref="K68:K73" si="20">(C68*I68) - (C68*D68)</f>
        <v>153.11999999999989</v>
      </c>
      <c r="L68" s="21">
        <f t="shared" ref="L68:L73" si="21">H68-A68</f>
        <v>13</v>
      </c>
      <c r="M68" s="9">
        <f t="shared" ref="M68:M73" si="22">IF(J68&gt;0,1,0)</f>
        <v>1</v>
      </c>
      <c r="N68">
        <f t="shared" ref="N68:N73" si="23">IF(K68&gt;0, K68, 0)</f>
        <v>153.11999999999989</v>
      </c>
      <c r="O68">
        <f t="shared" ref="O68:O73" si="24">IF(K68&lt;0, K68, 0)</f>
        <v>0</v>
      </c>
    </row>
    <row r="69" spans="1:18">
      <c r="A69" s="6">
        <v>45259</v>
      </c>
      <c r="B69" t="s">
        <v>439</v>
      </c>
      <c r="C69" s="9">
        <v>45</v>
      </c>
      <c r="D69">
        <v>123.65</v>
      </c>
      <c r="E69" s="29">
        <v>130</v>
      </c>
      <c r="F69" s="50">
        <v>120</v>
      </c>
      <c r="G69" s="21">
        <f t="shared" si="18"/>
        <v>2.7397260273972561</v>
      </c>
      <c r="H69" s="6">
        <v>45267</v>
      </c>
      <c r="I69" s="29">
        <v>127.74</v>
      </c>
      <c r="J69" s="30">
        <f t="shared" si="19"/>
        <v>3.3077234128588762E-2</v>
      </c>
      <c r="K69" s="35">
        <f t="shared" si="20"/>
        <v>184.05000000000018</v>
      </c>
      <c r="L69" s="21">
        <f t="shared" si="21"/>
        <v>8</v>
      </c>
      <c r="M69" s="9">
        <f t="shared" si="22"/>
        <v>1</v>
      </c>
      <c r="N69">
        <f t="shared" si="23"/>
        <v>184.05000000000018</v>
      </c>
      <c r="O69">
        <f t="shared" si="24"/>
        <v>0</v>
      </c>
    </row>
    <row r="70" spans="1:18">
      <c r="A70" s="6">
        <v>45259</v>
      </c>
      <c r="B70" t="s">
        <v>559</v>
      </c>
      <c r="C70" s="9">
        <v>26</v>
      </c>
      <c r="D70">
        <v>215.55</v>
      </c>
      <c r="E70" s="29">
        <v>220</v>
      </c>
      <c r="F70" s="50">
        <v>210</v>
      </c>
      <c r="G70" s="21">
        <f t="shared" si="18"/>
        <v>1.8018018018017981</v>
      </c>
      <c r="H70" s="6">
        <v>45260</v>
      </c>
      <c r="I70" s="29">
        <v>217.3</v>
      </c>
      <c r="J70" s="30">
        <f t="shared" si="19"/>
        <v>8.1187659475758789E-3</v>
      </c>
      <c r="K70" s="35">
        <f t="shared" si="20"/>
        <v>45.5</v>
      </c>
      <c r="L70" s="21">
        <f t="shared" si="21"/>
        <v>1</v>
      </c>
      <c r="M70" s="9">
        <f t="shared" si="22"/>
        <v>1</v>
      </c>
      <c r="N70">
        <f t="shared" si="23"/>
        <v>45.5</v>
      </c>
      <c r="O70">
        <f t="shared" si="24"/>
        <v>0</v>
      </c>
      <c r="R70" s="28">
        <v>12383.04</v>
      </c>
    </row>
    <row r="71" spans="1:18">
      <c r="A71" s="6">
        <v>45258</v>
      </c>
      <c r="B71" t="s">
        <v>70</v>
      </c>
      <c r="C71" s="9">
        <v>44</v>
      </c>
      <c r="D71">
        <v>126.5</v>
      </c>
      <c r="E71" s="29">
        <v>140</v>
      </c>
      <c r="F71" s="50">
        <v>120</v>
      </c>
      <c r="G71" s="21">
        <f t="shared" ref="G71:G82" si="25" xml:space="preserve"> (E71 - F71)/(D71-F71)</f>
        <v>3.0769230769230771</v>
      </c>
      <c r="H71" s="6">
        <v>45274</v>
      </c>
      <c r="I71" s="29">
        <v>129.16999999999999</v>
      </c>
      <c r="J71" s="30">
        <f t="shared" si="19"/>
        <v>2.11067193675889E-2</v>
      </c>
      <c r="K71" s="35">
        <f t="shared" si="20"/>
        <v>117.47999999999956</v>
      </c>
      <c r="L71" s="21">
        <f t="shared" si="21"/>
        <v>16</v>
      </c>
      <c r="M71" s="9">
        <f t="shared" si="22"/>
        <v>1</v>
      </c>
      <c r="N71">
        <f t="shared" si="23"/>
        <v>117.47999999999956</v>
      </c>
      <c r="O71">
        <f t="shared" si="24"/>
        <v>0</v>
      </c>
    </row>
    <row r="72" spans="1:18">
      <c r="A72" s="6">
        <v>45258</v>
      </c>
      <c r="B72" t="s">
        <v>18</v>
      </c>
      <c r="C72" s="9">
        <v>140</v>
      </c>
      <c r="D72">
        <v>36.21</v>
      </c>
      <c r="E72" s="29">
        <v>40</v>
      </c>
      <c r="F72" s="50">
        <v>36</v>
      </c>
      <c r="G72" s="21">
        <f t="shared" si="25"/>
        <v>19.047619047618969</v>
      </c>
      <c r="H72" s="6">
        <v>45275</v>
      </c>
      <c r="I72" s="29">
        <v>36.479999999999997</v>
      </c>
      <c r="J72" s="30">
        <f t="shared" si="19"/>
        <v>7.4565037282516844E-3</v>
      </c>
      <c r="K72" s="35">
        <f t="shared" si="20"/>
        <v>37.799999999999272</v>
      </c>
      <c r="L72" s="21">
        <f t="shared" si="21"/>
        <v>17</v>
      </c>
      <c r="M72" s="9">
        <f t="shared" si="22"/>
        <v>1</v>
      </c>
      <c r="N72">
        <f t="shared" si="23"/>
        <v>37.799999999999272</v>
      </c>
      <c r="O72">
        <f t="shared" si="24"/>
        <v>0</v>
      </c>
    </row>
    <row r="73" spans="1:18">
      <c r="A73" s="6">
        <v>45258</v>
      </c>
      <c r="B73" t="s">
        <v>728</v>
      </c>
      <c r="C73" s="9">
        <v>160</v>
      </c>
      <c r="D73">
        <v>33.299999999999997</v>
      </c>
      <c r="E73" s="29">
        <v>40</v>
      </c>
      <c r="F73" s="50">
        <v>32</v>
      </c>
      <c r="G73" s="21">
        <f t="shared" si="25"/>
        <v>6.1538461538461675</v>
      </c>
      <c r="H73" s="6">
        <v>45279</v>
      </c>
      <c r="I73" s="29">
        <v>34.06</v>
      </c>
      <c r="J73" s="30">
        <f t="shared" si="19"/>
        <v>2.2822822822822886E-2</v>
      </c>
      <c r="K73" s="35">
        <f t="shared" si="20"/>
        <v>121.60000000000036</v>
      </c>
      <c r="L73" s="21">
        <f t="shared" si="21"/>
        <v>21</v>
      </c>
      <c r="M73" s="9">
        <f t="shared" si="22"/>
        <v>1</v>
      </c>
      <c r="N73">
        <f t="shared" si="23"/>
        <v>121.60000000000036</v>
      </c>
      <c r="O73">
        <f t="shared" si="24"/>
        <v>0</v>
      </c>
    </row>
    <row r="74" spans="1:18">
      <c r="A74" s="6">
        <v>45258</v>
      </c>
      <c r="B74" t="s">
        <v>296</v>
      </c>
      <c r="C74" s="9">
        <v>350</v>
      </c>
      <c r="D74">
        <v>15.9</v>
      </c>
      <c r="E74" s="29">
        <v>20</v>
      </c>
      <c r="F74" s="50">
        <v>15.5</v>
      </c>
      <c r="G74" s="21">
        <f t="shared" si="25"/>
        <v>11.249999999999989</v>
      </c>
      <c r="H74" s="6">
        <v>45258</v>
      </c>
      <c r="I74" s="16">
        <v>15.37</v>
      </c>
      <c r="J74" s="25">
        <f t="shared" ref="J74:J79" si="26">I74/D74 -1</f>
        <v>-3.3333333333333437E-2</v>
      </c>
      <c r="K74" s="36">
        <f t="shared" ref="K74:K79" si="27">(C74*I74) - (C74*D74)</f>
        <v>-185.5</v>
      </c>
      <c r="L74" s="24">
        <f t="shared" ref="L74:L79" si="28">H74-A74</f>
        <v>0</v>
      </c>
      <c r="M74" s="52">
        <f t="shared" ref="M74:M79" si="29">IF(J74&gt;0,1,0)</f>
        <v>0</v>
      </c>
      <c r="N74" s="24">
        <f t="shared" ref="N74:N79" si="30">IF(K74&gt;0, K74, 0)</f>
        <v>0</v>
      </c>
      <c r="O74" s="17">
        <f t="shared" ref="O74:O79" si="31">IF(K74&lt;0, K74, 0)</f>
        <v>-185.5</v>
      </c>
    </row>
    <row r="75" spans="1:18">
      <c r="A75" s="6">
        <v>45258</v>
      </c>
      <c r="B75" t="s">
        <v>559</v>
      </c>
      <c r="C75" s="9">
        <v>25</v>
      </c>
      <c r="D75">
        <v>206.8</v>
      </c>
      <c r="E75" s="29">
        <v>220</v>
      </c>
      <c r="F75" s="50">
        <v>200</v>
      </c>
      <c r="G75" s="21">
        <f t="shared" si="25"/>
        <v>2.9411764705882302</v>
      </c>
      <c r="H75" s="6">
        <v>45259</v>
      </c>
      <c r="I75" s="29">
        <v>216.07</v>
      </c>
      <c r="J75" s="30">
        <f t="shared" si="26"/>
        <v>4.4825918762088968E-2</v>
      </c>
      <c r="K75" s="35">
        <f t="shared" si="27"/>
        <v>231.75</v>
      </c>
      <c r="L75" s="21">
        <f t="shared" si="28"/>
        <v>1</v>
      </c>
      <c r="M75" s="9">
        <f t="shared" si="29"/>
        <v>1</v>
      </c>
      <c r="N75">
        <f t="shared" si="30"/>
        <v>231.75</v>
      </c>
      <c r="O75">
        <f t="shared" si="31"/>
        <v>0</v>
      </c>
    </row>
    <row r="76" spans="1:18">
      <c r="A76" s="6">
        <v>45257</v>
      </c>
      <c r="B76" t="s">
        <v>566</v>
      </c>
      <c r="C76" s="9">
        <v>8</v>
      </c>
      <c r="D76">
        <v>83.65</v>
      </c>
      <c r="E76" s="29">
        <v>100</v>
      </c>
      <c r="F76" s="50">
        <v>82</v>
      </c>
      <c r="G76" s="21">
        <f t="shared" si="25"/>
        <v>10.909090909090871</v>
      </c>
      <c r="H76" s="6">
        <v>45265</v>
      </c>
      <c r="I76" s="29">
        <v>91.9</v>
      </c>
      <c r="J76" s="30">
        <f t="shared" si="26"/>
        <v>9.8625224148236601E-2</v>
      </c>
      <c r="K76" s="35">
        <f t="shared" si="27"/>
        <v>66</v>
      </c>
      <c r="L76" s="21">
        <f t="shared" si="28"/>
        <v>8</v>
      </c>
      <c r="M76" s="9">
        <f t="shared" si="29"/>
        <v>1</v>
      </c>
      <c r="N76">
        <f t="shared" si="30"/>
        <v>66</v>
      </c>
      <c r="O76">
        <f t="shared" si="31"/>
        <v>0</v>
      </c>
      <c r="R76" s="28">
        <v>12234.64</v>
      </c>
    </row>
    <row r="77" spans="1:18">
      <c r="A77" s="6">
        <v>45257</v>
      </c>
      <c r="B77" t="s">
        <v>296</v>
      </c>
      <c r="C77" s="9">
        <v>350</v>
      </c>
      <c r="D77">
        <v>15.96</v>
      </c>
      <c r="E77" s="29">
        <v>20</v>
      </c>
      <c r="F77" s="50">
        <v>15.5</v>
      </c>
      <c r="G77" s="21">
        <f t="shared" si="25"/>
        <v>9.7826086956521561</v>
      </c>
      <c r="H77" s="6">
        <v>45258</v>
      </c>
      <c r="I77" s="16">
        <v>15.95</v>
      </c>
      <c r="J77" s="25">
        <f t="shared" si="26"/>
        <v>-6.2656641604019736E-4</v>
      </c>
      <c r="K77" s="36">
        <f t="shared" si="27"/>
        <v>-3.5</v>
      </c>
      <c r="L77" s="24">
        <f t="shared" si="28"/>
        <v>1</v>
      </c>
      <c r="M77" s="52">
        <f t="shared" si="29"/>
        <v>0</v>
      </c>
      <c r="N77" s="24">
        <f t="shared" si="30"/>
        <v>0</v>
      </c>
      <c r="O77" s="17">
        <f t="shared" si="31"/>
        <v>-3.5</v>
      </c>
    </row>
    <row r="78" spans="1:18">
      <c r="A78" s="6">
        <v>45257</v>
      </c>
      <c r="B78" t="s">
        <v>559</v>
      </c>
      <c r="C78" s="9">
        <v>26</v>
      </c>
      <c r="D78">
        <v>201.5</v>
      </c>
      <c r="E78" s="29">
        <v>220</v>
      </c>
      <c r="F78" s="50">
        <v>200</v>
      </c>
      <c r="G78" s="21">
        <f t="shared" si="25"/>
        <v>13.333333333333334</v>
      </c>
      <c r="H78" s="6">
        <v>45258</v>
      </c>
      <c r="I78" s="29">
        <v>206.94</v>
      </c>
      <c r="J78" s="30">
        <f t="shared" si="26"/>
        <v>2.6997518610421878E-2</v>
      </c>
      <c r="K78" s="35">
        <f t="shared" si="27"/>
        <v>141.4399999999996</v>
      </c>
      <c r="L78" s="21">
        <f t="shared" si="28"/>
        <v>1</v>
      </c>
      <c r="M78" s="9">
        <f t="shared" si="29"/>
        <v>1</v>
      </c>
      <c r="N78">
        <f t="shared" si="30"/>
        <v>141.4399999999996</v>
      </c>
      <c r="O78">
        <f t="shared" si="31"/>
        <v>0</v>
      </c>
      <c r="R78" s="28">
        <v>12004.4</v>
      </c>
    </row>
    <row r="79" spans="1:18">
      <c r="A79" s="6">
        <v>45251</v>
      </c>
      <c r="B79" t="s">
        <v>643</v>
      </c>
      <c r="C79" s="9">
        <v>35</v>
      </c>
      <c r="D79">
        <v>143</v>
      </c>
      <c r="E79" s="29">
        <v>160</v>
      </c>
      <c r="F79" s="50">
        <v>140</v>
      </c>
      <c r="G79" s="21">
        <f t="shared" si="25"/>
        <v>6.666666666666667</v>
      </c>
      <c r="H79" s="6">
        <v>45258</v>
      </c>
      <c r="I79" s="16">
        <v>142.5</v>
      </c>
      <c r="J79" s="25">
        <f t="shared" si="26"/>
        <v>-3.4965034965035446E-3</v>
      </c>
      <c r="K79" s="36">
        <f t="shared" si="27"/>
        <v>-17.5</v>
      </c>
      <c r="L79" s="24">
        <f t="shared" si="28"/>
        <v>7</v>
      </c>
      <c r="M79" s="52">
        <f t="shared" si="29"/>
        <v>0</v>
      </c>
      <c r="N79" s="24">
        <f t="shared" si="30"/>
        <v>0</v>
      </c>
      <c r="O79" s="17">
        <f t="shared" si="31"/>
        <v>-17.5</v>
      </c>
      <c r="R79" s="28">
        <v>11835.12</v>
      </c>
    </row>
    <row r="80" spans="1:18">
      <c r="A80" s="6">
        <v>45251</v>
      </c>
      <c r="B80" t="s">
        <v>87</v>
      </c>
      <c r="C80" s="9">
        <v>23</v>
      </c>
      <c r="D80">
        <v>241.89</v>
      </c>
      <c r="E80" s="29">
        <v>275</v>
      </c>
      <c r="F80" s="50">
        <v>225</v>
      </c>
      <c r="G80" s="21">
        <f t="shared" si="25"/>
        <v>2.9603315571344013</v>
      </c>
      <c r="H80" s="6">
        <v>45274</v>
      </c>
      <c r="I80" s="29">
        <v>251.37</v>
      </c>
      <c r="J80" s="30">
        <f>I80/D80 -1</f>
        <v>3.9191367977179814E-2</v>
      </c>
      <c r="K80" s="35">
        <f>(C80*I80) - (C80*D80)</f>
        <v>218.04000000000087</v>
      </c>
      <c r="L80" s="21">
        <f>H80-A80</f>
        <v>23</v>
      </c>
      <c r="M80" s="9">
        <f>IF(J80&gt;0,1,0)</f>
        <v>1</v>
      </c>
      <c r="N80">
        <f>IF(K80&gt;0, K80, 0)</f>
        <v>218.04000000000087</v>
      </c>
      <c r="O80">
        <f>IF(K80&lt;0, K80, 0)</f>
        <v>0</v>
      </c>
      <c r="R80" s="28">
        <v>11911.63</v>
      </c>
    </row>
    <row r="81" spans="1:18">
      <c r="A81" s="6">
        <v>45251</v>
      </c>
      <c r="B81" t="s">
        <v>129</v>
      </c>
      <c r="C81" s="9">
        <v>9</v>
      </c>
      <c r="D81">
        <v>583.70000000000005</v>
      </c>
      <c r="E81" s="29">
        <v>620</v>
      </c>
      <c r="F81" s="50">
        <v>575</v>
      </c>
      <c r="G81" s="21">
        <f t="shared" si="25"/>
        <v>5.1724137931034209</v>
      </c>
      <c r="H81" s="6">
        <v>45258</v>
      </c>
      <c r="I81" s="29">
        <v>595.9</v>
      </c>
      <c r="J81" s="30">
        <f>I81/D81 -1</f>
        <v>2.0901147849922808E-2</v>
      </c>
      <c r="K81" s="35">
        <f>(C81*I81) - (C81*D81)</f>
        <v>109.79999999999927</v>
      </c>
      <c r="L81" s="21">
        <f>H81-A81</f>
        <v>7</v>
      </c>
      <c r="M81" s="9">
        <f>IF(J81&gt;0,1,0)</f>
        <v>1</v>
      </c>
      <c r="N81">
        <f>IF(K81&gt;0, K81, 0)</f>
        <v>109.79999999999927</v>
      </c>
      <c r="O81">
        <f>IF(K81&lt;0, K81, 0)</f>
        <v>0</v>
      </c>
    </row>
    <row r="82" spans="1:18">
      <c r="A82" s="6">
        <v>45251</v>
      </c>
      <c r="B82" t="s">
        <v>62</v>
      </c>
      <c r="C82" s="9">
        <v>3</v>
      </c>
      <c r="D82">
        <v>592.85</v>
      </c>
      <c r="E82" s="29">
        <v>650</v>
      </c>
      <c r="F82" s="50">
        <v>580</v>
      </c>
      <c r="G82" s="21">
        <f t="shared" si="25"/>
        <v>5.447470817120613</v>
      </c>
      <c r="H82" s="6">
        <v>45252</v>
      </c>
      <c r="I82" s="29">
        <v>596</v>
      </c>
      <c r="J82" s="30">
        <f>I82/D82 -1</f>
        <v>5.3133170279160424E-3</v>
      </c>
      <c r="K82" s="35">
        <f>(C82*I82) - (C82*D82)</f>
        <v>9.4499999999998181</v>
      </c>
      <c r="L82" s="21">
        <f>H82-A82</f>
        <v>1</v>
      </c>
      <c r="M82" s="9">
        <f>IF(J82&gt;0,1,0)</f>
        <v>1</v>
      </c>
      <c r="N82">
        <f>IF(K82&gt;0, K82, 0)</f>
        <v>9.4499999999998181</v>
      </c>
      <c r="O82">
        <f>IF(K82&lt;0, K82, 0)</f>
        <v>0</v>
      </c>
    </row>
    <row r="83" spans="1:18">
      <c r="A83" s="6">
        <v>45250</v>
      </c>
      <c r="B83" t="s">
        <v>629</v>
      </c>
      <c r="C83" s="9">
        <v>258</v>
      </c>
      <c r="D83">
        <v>2.44</v>
      </c>
      <c r="E83" s="29">
        <v>4</v>
      </c>
      <c r="F83" s="50">
        <v>2</v>
      </c>
      <c r="G83" s="21">
        <f t="shared" ref="G83:G89" si="32" xml:space="preserve"> (E83 - F83)/(D83-F83)</f>
        <v>4.5454545454545459</v>
      </c>
      <c r="H83" s="6">
        <v>45257</v>
      </c>
      <c r="I83" s="29">
        <v>2.75</v>
      </c>
      <c r="J83" s="30">
        <f>I83/D83 -1</f>
        <v>0.12704918032786883</v>
      </c>
      <c r="K83" s="35">
        <f>(C83*I83) - (C83*D83)</f>
        <v>79.980000000000018</v>
      </c>
      <c r="L83" s="21">
        <f>H83-A83</f>
        <v>7</v>
      </c>
      <c r="M83" s="9">
        <f>IF(J83&gt;0,1,0)</f>
        <v>1</v>
      </c>
      <c r="N83">
        <f>IF(K83&gt;0, K83, 0)</f>
        <v>79.980000000000018</v>
      </c>
      <c r="O83">
        <f>IF(K83&lt;0, K83, 0)</f>
        <v>0</v>
      </c>
      <c r="R83" s="28">
        <v>11567.47</v>
      </c>
    </row>
    <row r="84" spans="1:18">
      <c r="A84" s="6">
        <v>45250</v>
      </c>
      <c r="B84" t="s">
        <v>88</v>
      </c>
      <c r="C84" s="9">
        <v>98</v>
      </c>
      <c r="D84">
        <v>6.72</v>
      </c>
      <c r="E84" s="29">
        <v>7.5</v>
      </c>
      <c r="F84" s="50">
        <v>6.5</v>
      </c>
      <c r="G84" s="21">
        <f t="shared" si="32"/>
        <v>4.5454545454545503</v>
      </c>
      <c r="J84" s="30"/>
      <c r="K84" s="38"/>
      <c r="L84" s="37"/>
      <c r="N84" s="38"/>
    </row>
    <row r="85" spans="1:18">
      <c r="A85" s="6">
        <v>45250</v>
      </c>
      <c r="B85" t="s">
        <v>38</v>
      </c>
      <c r="C85" s="9">
        <v>214</v>
      </c>
      <c r="D85">
        <v>26</v>
      </c>
      <c r="E85" s="29">
        <v>28</v>
      </c>
      <c r="F85" s="50">
        <v>25</v>
      </c>
      <c r="G85" s="21">
        <f t="shared" si="32"/>
        <v>3</v>
      </c>
      <c r="J85" s="30"/>
      <c r="K85" s="38"/>
      <c r="L85" s="37"/>
      <c r="N85" s="38"/>
    </row>
    <row r="86" spans="1:18">
      <c r="A86" s="6">
        <v>45250</v>
      </c>
      <c r="B86" t="s">
        <v>87</v>
      </c>
      <c r="C86" s="9">
        <v>23</v>
      </c>
      <c r="D86">
        <v>234</v>
      </c>
      <c r="E86" s="29">
        <v>275</v>
      </c>
      <c r="F86" s="50">
        <v>225</v>
      </c>
      <c r="G86" s="21">
        <f t="shared" si="32"/>
        <v>5.5555555555555554</v>
      </c>
      <c r="H86" s="6">
        <v>45251</v>
      </c>
      <c r="I86" s="29">
        <v>242</v>
      </c>
      <c r="J86" s="30">
        <f t="shared" ref="J86:J94" si="33">I86/D86 -1</f>
        <v>3.4188034188034289E-2</v>
      </c>
      <c r="K86" s="35">
        <f t="shared" ref="K86:K94" si="34">(C86*I86) - (C86*D86)</f>
        <v>184</v>
      </c>
      <c r="L86" s="21">
        <f t="shared" ref="L86:L94" si="35">H86-A86</f>
        <v>1</v>
      </c>
      <c r="M86" s="9">
        <f t="shared" ref="M86:M94" si="36">IF(J86&gt;0,1,0)</f>
        <v>1</v>
      </c>
      <c r="N86">
        <f t="shared" ref="N86:N94" si="37">IF(K86&gt;0, K86, 0)</f>
        <v>184</v>
      </c>
      <c r="O86">
        <f t="shared" ref="O86:O94" si="38">IF(K86&lt;0, K86, 0)</f>
        <v>0</v>
      </c>
    </row>
    <row r="87" spans="1:18">
      <c r="A87" s="6">
        <v>45250</v>
      </c>
      <c r="B87" t="s">
        <v>255</v>
      </c>
      <c r="C87" s="9">
        <v>320</v>
      </c>
      <c r="D87">
        <v>17.05</v>
      </c>
      <c r="E87" s="29">
        <v>25</v>
      </c>
      <c r="F87" s="50">
        <v>15</v>
      </c>
      <c r="G87" s="21">
        <f t="shared" si="32"/>
        <v>4.878048780487803</v>
      </c>
      <c r="H87" s="6">
        <v>45261</v>
      </c>
      <c r="I87" s="29">
        <v>17.600000000000001</v>
      </c>
      <c r="J87" s="30">
        <f t="shared" si="33"/>
        <v>3.2258064516129004E-2</v>
      </c>
      <c r="K87" s="35">
        <f t="shared" si="34"/>
        <v>176</v>
      </c>
      <c r="L87" s="21">
        <f t="shared" si="35"/>
        <v>11</v>
      </c>
      <c r="M87" s="9">
        <f t="shared" si="36"/>
        <v>1</v>
      </c>
      <c r="N87">
        <f t="shared" si="37"/>
        <v>176</v>
      </c>
      <c r="O87">
        <f t="shared" si="38"/>
        <v>0</v>
      </c>
    </row>
    <row r="88" spans="1:18">
      <c r="A88" s="6">
        <v>45250</v>
      </c>
      <c r="B88" t="s">
        <v>61</v>
      </c>
      <c r="C88" s="9">
        <v>14</v>
      </c>
      <c r="D88">
        <v>354.5</v>
      </c>
      <c r="E88" s="29">
        <v>375</v>
      </c>
      <c r="F88" s="50">
        <v>350</v>
      </c>
      <c r="G88" s="21">
        <f t="shared" si="32"/>
        <v>5.5555555555555554</v>
      </c>
      <c r="H88" s="6">
        <v>45252</v>
      </c>
      <c r="I88" s="29">
        <v>366.1</v>
      </c>
      <c r="J88" s="30">
        <f t="shared" si="33"/>
        <v>3.2722143864598152E-2</v>
      </c>
      <c r="K88" s="35">
        <f t="shared" si="34"/>
        <v>162.40000000000055</v>
      </c>
      <c r="L88" s="21">
        <f t="shared" si="35"/>
        <v>2</v>
      </c>
      <c r="M88" s="9">
        <f t="shared" si="36"/>
        <v>1</v>
      </c>
      <c r="N88">
        <f t="shared" si="37"/>
        <v>162.40000000000055</v>
      </c>
      <c r="O88">
        <f t="shared" si="38"/>
        <v>0</v>
      </c>
    </row>
    <row r="89" spans="1:18">
      <c r="A89" s="6">
        <v>45250</v>
      </c>
      <c r="B89" t="s">
        <v>439</v>
      </c>
      <c r="C89" s="9">
        <v>45</v>
      </c>
      <c r="D89">
        <v>121.41</v>
      </c>
      <c r="E89" s="29">
        <v>130</v>
      </c>
      <c r="F89" s="50">
        <v>120</v>
      </c>
      <c r="G89" s="21">
        <f t="shared" si="32"/>
        <v>7.092198581560301</v>
      </c>
      <c r="H89" s="6">
        <v>45259</v>
      </c>
      <c r="I89" s="29">
        <v>123.68</v>
      </c>
      <c r="J89" s="30">
        <f t="shared" si="33"/>
        <v>1.8696977184746055E-2</v>
      </c>
      <c r="K89" s="35">
        <f t="shared" si="34"/>
        <v>102.15000000000055</v>
      </c>
      <c r="L89" s="21">
        <f t="shared" si="35"/>
        <v>9</v>
      </c>
      <c r="M89" s="9">
        <f t="shared" si="36"/>
        <v>1</v>
      </c>
      <c r="N89">
        <f t="shared" si="37"/>
        <v>102.15000000000055</v>
      </c>
      <c r="O89">
        <f t="shared" si="38"/>
        <v>0</v>
      </c>
    </row>
    <row r="90" spans="1:18">
      <c r="A90" s="6">
        <v>45247</v>
      </c>
      <c r="B90" t="s">
        <v>725</v>
      </c>
      <c r="C90" s="9">
        <v>19</v>
      </c>
      <c r="D90">
        <v>48</v>
      </c>
      <c r="E90" s="29">
        <v>53</v>
      </c>
      <c r="F90" s="50">
        <v>47.5</v>
      </c>
      <c r="G90" s="21">
        <f xml:space="preserve"> (E90 - F90)/(D90-F90)</f>
        <v>11</v>
      </c>
      <c r="H90" s="6">
        <v>45274</v>
      </c>
      <c r="I90" s="29">
        <v>49.8</v>
      </c>
      <c r="J90" s="30">
        <f t="shared" si="33"/>
        <v>3.7499999999999867E-2</v>
      </c>
      <c r="K90" s="35">
        <f t="shared" si="34"/>
        <v>34.199999999999932</v>
      </c>
      <c r="L90" s="21">
        <f t="shared" si="35"/>
        <v>27</v>
      </c>
      <c r="M90" s="9">
        <f t="shared" si="36"/>
        <v>1</v>
      </c>
      <c r="N90">
        <f t="shared" si="37"/>
        <v>34.199999999999932</v>
      </c>
      <c r="O90">
        <f t="shared" si="38"/>
        <v>0</v>
      </c>
      <c r="R90" s="28">
        <v>11300.97</v>
      </c>
    </row>
    <row r="91" spans="1:18">
      <c r="A91" s="6">
        <v>45246</v>
      </c>
      <c r="B91" t="s">
        <v>296</v>
      </c>
      <c r="C91" s="9">
        <v>350</v>
      </c>
      <c r="D91">
        <v>16.48</v>
      </c>
      <c r="E91" s="29">
        <v>18</v>
      </c>
      <c r="F91" s="50">
        <v>16</v>
      </c>
      <c r="G91" s="21">
        <f xml:space="preserve"> (E91 - F91)/(D91-F91)</f>
        <v>4.1666666666666625</v>
      </c>
      <c r="H91" s="6">
        <v>45252</v>
      </c>
      <c r="I91" s="16">
        <v>15.7</v>
      </c>
      <c r="J91" s="25">
        <f t="shared" si="33"/>
        <v>-4.7330097087378675E-2</v>
      </c>
      <c r="K91" s="36">
        <f t="shared" si="34"/>
        <v>-273</v>
      </c>
      <c r="L91" s="24">
        <f t="shared" si="35"/>
        <v>6</v>
      </c>
      <c r="M91" s="52">
        <f t="shared" si="36"/>
        <v>0</v>
      </c>
      <c r="N91" s="24">
        <f t="shared" si="37"/>
        <v>0</v>
      </c>
      <c r="O91" s="17">
        <f t="shared" si="38"/>
        <v>-273</v>
      </c>
      <c r="R91" s="28">
        <v>11691.96</v>
      </c>
    </row>
    <row r="92" spans="1:18">
      <c r="A92" s="6">
        <v>45245</v>
      </c>
      <c r="B92" s="13" t="s">
        <v>132</v>
      </c>
      <c r="C92" s="9">
        <v>572</v>
      </c>
      <c r="D92">
        <v>1.2</v>
      </c>
      <c r="E92" s="29">
        <v>2</v>
      </c>
      <c r="F92" s="50">
        <v>1</v>
      </c>
      <c r="G92" s="21">
        <f xml:space="preserve"> (E92 - F92)/(D92-F92)</f>
        <v>5.0000000000000009</v>
      </c>
      <c r="H92" s="6">
        <v>45251</v>
      </c>
      <c r="I92" s="29">
        <v>1.48</v>
      </c>
      <c r="J92" s="30">
        <f t="shared" si="33"/>
        <v>0.23333333333333339</v>
      </c>
      <c r="K92" s="35">
        <f t="shared" si="34"/>
        <v>160.15999999999997</v>
      </c>
      <c r="L92" s="21">
        <f t="shared" si="35"/>
        <v>6</v>
      </c>
      <c r="M92" s="9">
        <f t="shared" si="36"/>
        <v>1</v>
      </c>
      <c r="N92">
        <f t="shared" si="37"/>
        <v>160.15999999999997</v>
      </c>
      <c r="O92">
        <f t="shared" si="38"/>
        <v>0</v>
      </c>
      <c r="R92" s="28">
        <v>11461.33</v>
      </c>
    </row>
    <row r="93" spans="1:18">
      <c r="A93" s="6">
        <v>45245</v>
      </c>
      <c r="B93" t="s">
        <v>718</v>
      </c>
      <c r="C93" s="9">
        <v>25</v>
      </c>
      <c r="D93">
        <v>205.59</v>
      </c>
      <c r="E93" s="29">
        <v>230</v>
      </c>
      <c r="F93" s="50">
        <v>190</v>
      </c>
      <c r="G93" s="21">
        <f xml:space="preserve"> (E93 - F93)/(D93-F93)</f>
        <v>2.5657472738935208</v>
      </c>
      <c r="H93" s="6">
        <v>45264</v>
      </c>
      <c r="I93" s="29">
        <v>208</v>
      </c>
      <c r="J93" s="30">
        <f t="shared" si="33"/>
        <v>1.1722360036966695E-2</v>
      </c>
      <c r="K93" s="35">
        <f t="shared" si="34"/>
        <v>60.25</v>
      </c>
      <c r="L93" s="21">
        <f t="shared" si="35"/>
        <v>19</v>
      </c>
      <c r="M93" s="9">
        <f t="shared" si="36"/>
        <v>1</v>
      </c>
      <c r="N93">
        <f t="shared" si="37"/>
        <v>60.25</v>
      </c>
      <c r="O93">
        <f t="shared" si="38"/>
        <v>0</v>
      </c>
    </row>
    <row r="94" spans="1:18">
      <c r="A94" s="6">
        <v>45245</v>
      </c>
      <c r="B94" t="s">
        <v>286</v>
      </c>
      <c r="C94" s="9">
        <v>131</v>
      </c>
      <c r="D94">
        <v>40.64</v>
      </c>
      <c r="E94" s="29">
        <v>45</v>
      </c>
      <c r="F94" s="50">
        <v>40</v>
      </c>
      <c r="G94" s="21">
        <f xml:space="preserve"> (E94 - F94)/(D94-F94)</f>
        <v>7.8124999999999929</v>
      </c>
      <c r="H94" s="6">
        <v>45247</v>
      </c>
      <c r="I94" s="29">
        <v>41.43</v>
      </c>
      <c r="J94" s="30">
        <f t="shared" si="33"/>
        <v>1.9438976377952777E-2</v>
      </c>
      <c r="K94" s="35">
        <f t="shared" si="34"/>
        <v>103.48999999999978</v>
      </c>
      <c r="L94" s="21">
        <f t="shared" si="35"/>
        <v>2</v>
      </c>
      <c r="M94" s="9">
        <f t="shared" si="36"/>
        <v>1</v>
      </c>
      <c r="N94">
        <f t="shared" si="37"/>
        <v>103.48999999999978</v>
      </c>
      <c r="O94">
        <f t="shared" si="38"/>
        <v>0</v>
      </c>
    </row>
    <row r="95" spans="1:18">
      <c r="A95" s="6">
        <v>45244</v>
      </c>
      <c r="B95" t="s">
        <v>677</v>
      </c>
      <c r="C95" s="9">
        <v>18</v>
      </c>
      <c r="D95">
        <v>46.09</v>
      </c>
      <c r="E95" s="29">
        <v>70</v>
      </c>
      <c r="F95" s="50">
        <v>45</v>
      </c>
      <c r="G95" s="21">
        <f t="shared" ref="G95:G100" si="39" xml:space="preserve"> (E95 - F95)/(D95-F95)</f>
        <v>22.935779816513691</v>
      </c>
      <c r="J95" s="30"/>
      <c r="K95" s="38"/>
      <c r="L95" s="37"/>
      <c r="N95" s="38"/>
      <c r="R95" s="28">
        <v>11081.08</v>
      </c>
    </row>
    <row r="96" spans="1:18">
      <c r="A96" s="6">
        <v>45244</v>
      </c>
      <c r="B96" t="s">
        <v>629</v>
      </c>
      <c r="C96" s="9">
        <v>257</v>
      </c>
      <c r="D96">
        <v>2.33</v>
      </c>
      <c r="E96" s="29">
        <v>4</v>
      </c>
      <c r="F96" s="50">
        <v>2</v>
      </c>
      <c r="G96" s="21">
        <f t="shared" si="39"/>
        <v>6.0606060606060597</v>
      </c>
      <c r="H96" s="6">
        <v>45246</v>
      </c>
      <c r="I96" s="29">
        <v>2.39</v>
      </c>
      <c r="J96" s="30">
        <f>I96/D96 -1</f>
        <v>2.5751072961373467E-2</v>
      </c>
      <c r="K96" s="35">
        <f>(C96*I96) - (C96*D96)</f>
        <v>15.419999999999959</v>
      </c>
      <c r="L96" s="21">
        <f>H96-A96</f>
        <v>2</v>
      </c>
      <c r="M96" s="9">
        <f>IF(J96&gt;0,1,0)</f>
        <v>1</v>
      </c>
      <c r="N96">
        <f>IF(K96&gt;0, K96, 0)</f>
        <v>15.419999999999959</v>
      </c>
      <c r="O96">
        <f>IF(K96&lt;0, K96, 0)</f>
        <v>0</v>
      </c>
    </row>
    <row r="97" spans="1:18">
      <c r="A97" s="6">
        <v>45244</v>
      </c>
      <c r="B97" t="s">
        <v>560</v>
      </c>
      <c r="C97" s="9">
        <v>32</v>
      </c>
      <c r="D97">
        <v>19.75</v>
      </c>
      <c r="E97" s="29">
        <v>22</v>
      </c>
      <c r="F97" s="50">
        <v>19</v>
      </c>
      <c r="G97" s="21">
        <f t="shared" si="39"/>
        <v>4</v>
      </c>
      <c r="H97" s="6">
        <v>45252</v>
      </c>
      <c r="I97" s="29">
        <v>20.52</v>
      </c>
      <c r="J97" s="30">
        <f>I97/D97 -1</f>
        <v>3.8987341772151796E-2</v>
      </c>
      <c r="K97" s="35">
        <f>(C97*I97) - (C97*D97)</f>
        <v>24.639999999999986</v>
      </c>
      <c r="L97" s="21">
        <f>H97-A97</f>
        <v>8</v>
      </c>
      <c r="M97" s="9">
        <f>IF(J97&gt;0,1,0)</f>
        <v>1</v>
      </c>
      <c r="N97">
        <f>IF(K97&gt;0, K97, 0)</f>
        <v>24.639999999999986</v>
      </c>
      <c r="O97">
        <f>IF(K97&lt;0, K97, 0)</f>
        <v>0</v>
      </c>
    </row>
    <row r="98" spans="1:18">
      <c r="A98" s="6">
        <v>45244</v>
      </c>
      <c r="B98" t="s">
        <v>137</v>
      </c>
      <c r="C98" s="9">
        <v>194</v>
      </c>
      <c r="D98">
        <v>28.3</v>
      </c>
      <c r="E98" s="29">
        <v>30</v>
      </c>
      <c r="F98" s="50">
        <v>28</v>
      </c>
      <c r="G98" s="21">
        <f t="shared" si="39"/>
        <v>6.666666666666651</v>
      </c>
      <c r="H98" s="6">
        <v>45247</v>
      </c>
      <c r="I98" s="29">
        <v>28.31</v>
      </c>
      <c r="J98" s="30">
        <f>I98/D98 -1</f>
        <v>3.5335689045923324E-4</v>
      </c>
      <c r="K98" s="35">
        <f>(C98*I98) - (C98*D98)</f>
        <v>1.9399999999995998</v>
      </c>
      <c r="L98" s="21">
        <f>H98-A98</f>
        <v>3</v>
      </c>
      <c r="M98" s="9">
        <f>IF(J98&gt;0,1,0)</f>
        <v>1</v>
      </c>
      <c r="N98">
        <f>IF(K98&gt;0, K98, 0)</f>
        <v>1.9399999999995998</v>
      </c>
      <c r="O98">
        <f>IF(K98&lt;0, K98, 0)</f>
        <v>0</v>
      </c>
    </row>
    <row r="99" spans="1:18">
      <c r="A99" s="6">
        <v>45244</v>
      </c>
      <c r="B99" s="61" t="s">
        <v>332</v>
      </c>
      <c r="C99" s="9">
        <v>95</v>
      </c>
      <c r="D99">
        <v>62.54</v>
      </c>
      <c r="E99" s="29">
        <v>67</v>
      </c>
      <c r="F99" s="50">
        <v>60</v>
      </c>
      <c r="G99" s="21">
        <f t="shared" si="39"/>
        <v>2.7559055118110245</v>
      </c>
      <c r="H99" s="6">
        <v>45260</v>
      </c>
      <c r="I99" s="29">
        <v>63.62</v>
      </c>
      <c r="J99" s="30">
        <f>I99/D99 -1</f>
        <v>1.7268947873360974E-2</v>
      </c>
      <c r="K99" s="35">
        <f>(C99*I99) - (C99*D99)</f>
        <v>102.59999999999945</v>
      </c>
      <c r="L99" s="21">
        <f>H99-A99</f>
        <v>16</v>
      </c>
      <c r="M99" s="9">
        <f>IF(J99&gt;0,1,0)</f>
        <v>1</v>
      </c>
      <c r="N99">
        <f>IF(K99&gt;0, K99, 0)</f>
        <v>102.59999999999945</v>
      </c>
      <c r="O99">
        <f>IF(K99&lt;0, K99, 0)</f>
        <v>0</v>
      </c>
    </row>
    <row r="100" spans="1:18">
      <c r="A100" s="6">
        <v>45244</v>
      </c>
      <c r="B100" t="s">
        <v>722</v>
      </c>
      <c r="C100" s="9">
        <v>70</v>
      </c>
      <c r="D100">
        <v>81.89</v>
      </c>
      <c r="E100" s="29">
        <v>85</v>
      </c>
      <c r="F100" s="75">
        <v>80</v>
      </c>
      <c r="G100" s="21">
        <f t="shared" si="39"/>
        <v>2.6455026455026447</v>
      </c>
      <c r="H100" s="6">
        <v>45246</v>
      </c>
      <c r="I100" s="29">
        <v>82.1</v>
      </c>
      <c r="J100" s="30">
        <f>I100/D100 -1</f>
        <v>2.564415679570109E-3</v>
      </c>
      <c r="K100" s="35">
        <f>(C100*I100) - (C100*D100)</f>
        <v>14.699999999999818</v>
      </c>
      <c r="L100" s="21">
        <f>H100-A100</f>
        <v>2</v>
      </c>
      <c r="M100" s="9">
        <f>IF(J100&gt;0,1,0)</f>
        <v>1</v>
      </c>
      <c r="N100">
        <f>IF(K100&gt;0, K100, 0)</f>
        <v>14.699999999999818</v>
      </c>
      <c r="O100">
        <f>IF(K100&lt;0, K100, 0)</f>
        <v>0</v>
      </c>
    </row>
    <row r="101" spans="1:18">
      <c r="A101" s="6">
        <v>45243</v>
      </c>
      <c r="B101" s="61" t="s">
        <v>428</v>
      </c>
      <c r="C101" s="9">
        <v>23</v>
      </c>
      <c r="D101">
        <v>39.5</v>
      </c>
      <c r="E101" s="29">
        <v>45</v>
      </c>
      <c r="F101" s="50">
        <v>38</v>
      </c>
      <c r="G101" s="21">
        <f xml:space="preserve"> (E101 - F101)/(D101-F101)</f>
        <v>4.666666666666667</v>
      </c>
      <c r="J101" s="30"/>
      <c r="K101" s="38"/>
      <c r="L101" s="37"/>
      <c r="N101" s="38"/>
      <c r="R101" s="28">
        <v>10395.280000000001</v>
      </c>
    </row>
    <row r="102" spans="1:18">
      <c r="A102" s="6">
        <v>45243</v>
      </c>
      <c r="B102" s="61" t="s">
        <v>353</v>
      </c>
      <c r="C102" s="9">
        <v>401</v>
      </c>
      <c r="D102">
        <v>13.14</v>
      </c>
      <c r="E102" s="29">
        <v>14</v>
      </c>
      <c r="F102" s="50">
        <v>13</v>
      </c>
      <c r="G102" s="21">
        <f t="shared" ref="G102:G107" si="40" xml:space="preserve"> (E102 - F102)/(D102-F102)</f>
        <v>7.1428571428571139</v>
      </c>
      <c r="H102" s="6">
        <v>45246</v>
      </c>
      <c r="I102" s="29">
        <v>13.27</v>
      </c>
      <c r="J102" s="30">
        <f t="shared" ref="J102:J107" si="41">I102/D102 -1</f>
        <v>9.8934550989344672E-3</v>
      </c>
      <c r="K102" s="35">
        <f t="shared" ref="K102:K107" si="42">(C102*I102) - (C102*D102)</f>
        <v>52.1299999999992</v>
      </c>
      <c r="L102" s="21">
        <f t="shared" ref="L102:L107" si="43">H102-A102</f>
        <v>3</v>
      </c>
      <c r="M102" s="9">
        <f t="shared" ref="M102:M107" si="44">IF(J102&gt;0,1,0)</f>
        <v>1</v>
      </c>
      <c r="N102">
        <f t="shared" ref="N102:N107" si="45">IF(K102&gt;0, K102, 0)</f>
        <v>52.1299999999992</v>
      </c>
      <c r="O102">
        <f t="shared" ref="O102:O107" si="46">IF(K102&lt;0, K102, 0)</f>
        <v>0</v>
      </c>
    </row>
    <row r="103" spans="1:18">
      <c r="A103" s="6">
        <v>45243</v>
      </c>
      <c r="B103" t="s">
        <v>722</v>
      </c>
      <c r="C103" s="9">
        <v>70</v>
      </c>
      <c r="D103">
        <v>77.7</v>
      </c>
      <c r="E103" s="29">
        <v>85</v>
      </c>
      <c r="F103" s="75">
        <v>75</v>
      </c>
      <c r="G103" s="21">
        <f t="shared" si="40"/>
        <v>3.7037037037036997</v>
      </c>
      <c r="H103" s="6">
        <v>45244</v>
      </c>
      <c r="I103" s="29">
        <v>81.89</v>
      </c>
      <c r="J103" s="30">
        <f t="shared" si="41"/>
        <v>5.3925353925353914E-2</v>
      </c>
      <c r="K103" s="35">
        <f t="shared" si="42"/>
        <v>293.30000000000018</v>
      </c>
      <c r="L103" s="21">
        <f t="shared" si="43"/>
        <v>1</v>
      </c>
      <c r="M103" s="9">
        <f t="shared" si="44"/>
        <v>1</v>
      </c>
      <c r="N103">
        <f t="shared" si="45"/>
        <v>293.30000000000018</v>
      </c>
      <c r="O103">
        <f t="shared" si="46"/>
        <v>0</v>
      </c>
    </row>
    <row r="104" spans="1:18">
      <c r="A104" s="6">
        <v>45243</v>
      </c>
      <c r="B104" t="s">
        <v>25</v>
      </c>
      <c r="C104" s="9">
        <v>63</v>
      </c>
      <c r="D104">
        <v>83.9</v>
      </c>
      <c r="E104" s="29">
        <v>92</v>
      </c>
      <c r="F104" s="50">
        <v>83</v>
      </c>
      <c r="G104" s="21">
        <f t="shared" si="40"/>
        <v>9.9999999999999361</v>
      </c>
      <c r="H104" s="6">
        <v>45245</v>
      </c>
      <c r="I104" s="29">
        <v>84.75</v>
      </c>
      <c r="J104" s="30">
        <f t="shared" si="41"/>
        <v>1.013110846245513E-2</v>
      </c>
      <c r="K104" s="35">
        <f t="shared" si="42"/>
        <v>53.549999999999272</v>
      </c>
      <c r="L104" s="21">
        <f t="shared" si="43"/>
        <v>2</v>
      </c>
      <c r="M104" s="9">
        <f t="shared" si="44"/>
        <v>1</v>
      </c>
      <c r="N104">
        <f t="shared" si="45"/>
        <v>53.549999999999272</v>
      </c>
      <c r="O104">
        <f t="shared" si="46"/>
        <v>0</v>
      </c>
    </row>
    <row r="105" spans="1:18">
      <c r="A105" s="6">
        <v>45243</v>
      </c>
      <c r="B105" t="s">
        <v>87</v>
      </c>
      <c r="C105" s="9">
        <v>25</v>
      </c>
      <c r="D105">
        <v>222.2</v>
      </c>
      <c r="E105" s="29">
        <v>250</v>
      </c>
      <c r="F105" s="75">
        <v>205</v>
      </c>
      <c r="G105" s="21">
        <f t="shared" si="40"/>
        <v>2.6162790697674434</v>
      </c>
      <c r="H105" s="6">
        <v>45244</v>
      </c>
      <c r="I105" s="29">
        <v>237.9</v>
      </c>
      <c r="J105" s="30">
        <f t="shared" si="41"/>
        <v>7.0657065706570821E-2</v>
      </c>
      <c r="K105" s="35">
        <f t="shared" si="42"/>
        <v>392.5</v>
      </c>
      <c r="L105" s="21">
        <f t="shared" si="43"/>
        <v>1</v>
      </c>
      <c r="M105" s="9">
        <f t="shared" si="44"/>
        <v>1</v>
      </c>
      <c r="N105">
        <f t="shared" si="45"/>
        <v>392.5</v>
      </c>
      <c r="O105">
        <f t="shared" si="46"/>
        <v>0</v>
      </c>
    </row>
    <row r="106" spans="1:18">
      <c r="A106" s="6">
        <v>45239</v>
      </c>
      <c r="B106" s="22" t="s">
        <v>519</v>
      </c>
      <c r="C106" s="57">
        <v>100</v>
      </c>
      <c r="D106">
        <v>1.7</v>
      </c>
      <c r="E106" s="29">
        <v>5</v>
      </c>
      <c r="F106" s="50">
        <v>0.8</v>
      </c>
      <c r="G106" s="21">
        <f xml:space="preserve"> (E106 - F106)/(D106-F106)</f>
        <v>4.666666666666667</v>
      </c>
      <c r="H106" s="6">
        <v>45268</v>
      </c>
      <c r="I106" s="29">
        <v>3.6</v>
      </c>
      <c r="J106" s="30">
        <f t="shared" si="41"/>
        <v>1.1176470588235294</v>
      </c>
      <c r="K106" s="35">
        <f t="shared" si="42"/>
        <v>190</v>
      </c>
      <c r="L106" s="21">
        <f t="shared" si="43"/>
        <v>29</v>
      </c>
      <c r="M106" s="9">
        <f t="shared" si="44"/>
        <v>1</v>
      </c>
      <c r="N106">
        <f t="shared" si="45"/>
        <v>190</v>
      </c>
      <c r="O106">
        <f t="shared" si="46"/>
        <v>0</v>
      </c>
    </row>
    <row r="107" spans="1:18">
      <c r="A107" s="6">
        <v>45239</v>
      </c>
      <c r="B107" s="22" t="s">
        <v>519</v>
      </c>
      <c r="C107" s="57">
        <v>100</v>
      </c>
      <c r="D107">
        <v>1.7</v>
      </c>
      <c r="E107" s="29">
        <v>5</v>
      </c>
      <c r="F107" s="50">
        <v>0.8</v>
      </c>
      <c r="G107" s="21">
        <f t="shared" si="40"/>
        <v>4.666666666666667</v>
      </c>
      <c r="H107" s="6">
        <v>45267</v>
      </c>
      <c r="I107" s="29">
        <v>3.4</v>
      </c>
      <c r="J107" s="30">
        <f t="shared" si="41"/>
        <v>1</v>
      </c>
      <c r="K107" s="35">
        <f t="shared" si="42"/>
        <v>170</v>
      </c>
      <c r="L107" s="21">
        <f t="shared" si="43"/>
        <v>28</v>
      </c>
      <c r="M107" s="9">
        <f t="shared" si="44"/>
        <v>1</v>
      </c>
      <c r="N107">
        <f t="shared" si="45"/>
        <v>170</v>
      </c>
      <c r="O107">
        <f t="shared" si="46"/>
        <v>0</v>
      </c>
      <c r="R107" s="28"/>
    </row>
    <row r="108" spans="1:18">
      <c r="A108" s="6">
        <v>45239</v>
      </c>
      <c r="B108" s="22" t="s">
        <v>519</v>
      </c>
      <c r="C108" s="57">
        <v>100</v>
      </c>
      <c r="D108">
        <v>1.7</v>
      </c>
      <c r="E108" s="29">
        <v>5</v>
      </c>
      <c r="F108" s="50">
        <v>0.8</v>
      </c>
      <c r="G108" s="21">
        <f t="shared" ref="G108:G125" si="47" xml:space="preserve"> (E108 - F108)/(D108-F108)</f>
        <v>4.666666666666667</v>
      </c>
      <c r="H108" s="6">
        <v>45273</v>
      </c>
      <c r="I108" s="29">
        <v>3.5</v>
      </c>
      <c r="J108" s="30">
        <f>I108/D108 -1</f>
        <v>1.0588235294117649</v>
      </c>
      <c r="K108" s="35">
        <f>(C108*I108) - (C108*D108)</f>
        <v>180</v>
      </c>
      <c r="L108" s="21">
        <f>H108-A108</f>
        <v>34</v>
      </c>
      <c r="M108" s="9">
        <f>IF(J108&gt;0,1,0)</f>
        <v>1</v>
      </c>
      <c r="N108">
        <f>IF(K108&gt;0, K108, 0)</f>
        <v>180</v>
      </c>
      <c r="O108">
        <f>IF(K108&lt;0, K108, 0)</f>
        <v>0</v>
      </c>
      <c r="R108" s="28">
        <v>10545.22</v>
      </c>
    </row>
    <row r="109" spans="1:18">
      <c r="A109" s="6">
        <v>45238</v>
      </c>
      <c r="B109" t="s">
        <v>18</v>
      </c>
      <c r="C109" s="9">
        <v>23</v>
      </c>
      <c r="D109">
        <v>32.700000000000003</v>
      </c>
      <c r="E109" s="29">
        <v>40</v>
      </c>
      <c r="F109" s="50">
        <v>31</v>
      </c>
      <c r="G109" s="21">
        <f t="shared" si="47"/>
        <v>5.2941176470588145</v>
      </c>
      <c r="H109" s="6">
        <v>45240</v>
      </c>
      <c r="I109" s="29">
        <v>33.700000000000003</v>
      </c>
      <c r="J109" s="30">
        <f>I109/D109 -1</f>
        <v>3.0581039755351647E-2</v>
      </c>
      <c r="K109" s="35">
        <f>(C109*I109) - (C109*D109)</f>
        <v>23</v>
      </c>
      <c r="L109" s="21">
        <f>H109-A109</f>
        <v>2</v>
      </c>
      <c r="M109" s="9">
        <f>IF(J109&gt;0,1,0)</f>
        <v>1</v>
      </c>
      <c r="N109">
        <f>IF(K109&gt;0, K109, 0)</f>
        <v>23</v>
      </c>
      <c r="O109">
        <f>IF(K109&lt;0, K109, 0)</f>
        <v>0</v>
      </c>
      <c r="R109" s="28">
        <v>9553.2800000000007</v>
      </c>
    </row>
    <row r="110" spans="1:18">
      <c r="A110" s="6">
        <v>45238</v>
      </c>
      <c r="B110" t="s">
        <v>643</v>
      </c>
      <c r="C110" s="9">
        <v>34</v>
      </c>
      <c r="D110">
        <v>149</v>
      </c>
      <c r="E110" s="29">
        <v>170</v>
      </c>
      <c r="F110" s="50">
        <v>140</v>
      </c>
      <c r="G110" s="21">
        <f t="shared" si="47"/>
        <v>3.3333333333333335</v>
      </c>
      <c r="H110" s="6">
        <v>45246</v>
      </c>
      <c r="I110" s="29">
        <v>150</v>
      </c>
      <c r="J110" s="30">
        <f>I110/D110 -1</f>
        <v>6.7114093959732557E-3</v>
      </c>
      <c r="K110" s="35">
        <f>(C110*I110) - (C110*D110)</f>
        <v>34</v>
      </c>
      <c r="L110" s="21">
        <f>H110-A110</f>
        <v>8</v>
      </c>
      <c r="M110" s="9">
        <f>IF(J110&gt;0,1,0)</f>
        <v>1</v>
      </c>
      <c r="N110">
        <f>IF(K110&gt;0, K110, 0)</f>
        <v>34</v>
      </c>
      <c r="O110">
        <f>IF(K110&lt;0, K110, 0)</f>
        <v>0</v>
      </c>
      <c r="R110" s="28">
        <v>9434.2999999999993</v>
      </c>
    </row>
    <row r="111" spans="1:18">
      <c r="A111" s="6">
        <v>45237</v>
      </c>
      <c r="B111" t="s">
        <v>287</v>
      </c>
      <c r="C111" s="9">
        <v>140</v>
      </c>
      <c r="D111">
        <v>39.119999999999997</v>
      </c>
      <c r="E111" s="29">
        <v>45</v>
      </c>
      <c r="F111" s="50">
        <v>33</v>
      </c>
      <c r="G111" s="21">
        <f t="shared" si="47"/>
        <v>1.960784313725491</v>
      </c>
      <c r="H111" s="6">
        <v>45240</v>
      </c>
      <c r="I111" s="29">
        <v>40.799999999999997</v>
      </c>
      <c r="J111" s="30">
        <f t="shared" ref="J111:J118" si="48">I111/D111 -1</f>
        <v>4.2944785276073594E-2</v>
      </c>
      <c r="K111" s="35">
        <f t="shared" ref="K111:K118" si="49">(C111*I111) - (C111*D111)</f>
        <v>235.20000000000073</v>
      </c>
      <c r="L111" s="21">
        <f t="shared" ref="L111:L118" si="50">H111-A111</f>
        <v>3</v>
      </c>
      <c r="M111" s="9">
        <f t="shared" ref="M111:M118" si="51">IF(J111&gt;0,1,0)</f>
        <v>1</v>
      </c>
      <c r="N111">
        <f t="shared" ref="N111:N118" si="52">IF(K111&gt;0, K111, 0)</f>
        <v>235.20000000000073</v>
      </c>
      <c r="O111">
        <f t="shared" ref="O111:O118" si="53">IF(K111&lt;0, K111, 0)</f>
        <v>0</v>
      </c>
      <c r="R111" s="28">
        <v>9363.25</v>
      </c>
    </row>
    <row r="112" spans="1:18">
      <c r="A112" s="6">
        <v>45237</v>
      </c>
      <c r="B112" t="s">
        <v>439</v>
      </c>
      <c r="C112" s="9">
        <v>54</v>
      </c>
      <c r="D112">
        <v>113.9</v>
      </c>
      <c r="E112" s="29">
        <v>130</v>
      </c>
      <c r="F112" s="75">
        <v>109</v>
      </c>
      <c r="G112" s="21">
        <f t="shared" si="47"/>
        <v>4.2857142857142811</v>
      </c>
      <c r="H112" s="6">
        <v>45240</v>
      </c>
      <c r="I112" s="29">
        <v>118.9</v>
      </c>
      <c r="J112" s="30">
        <f t="shared" si="48"/>
        <v>4.3898156277436318E-2</v>
      </c>
      <c r="K112" s="35">
        <f t="shared" si="49"/>
        <v>270</v>
      </c>
      <c r="L112" s="21">
        <f t="shared" si="50"/>
        <v>3</v>
      </c>
      <c r="M112" s="9">
        <f t="shared" si="51"/>
        <v>1</v>
      </c>
      <c r="N112">
        <f t="shared" si="52"/>
        <v>270</v>
      </c>
      <c r="O112">
        <f t="shared" si="53"/>
        <v>0</v>
      </c>
    </row>
    <row r="113" spans="1:18">
      <c r="A113" s="6">
        <v>45237</v>
      </c>
      <c r="B113" t="s">
        <v>564</v>
      </c>
      <c r="C113" s="9">
        <v>58</v>
      </c>
      <c r="D113">
        <v>88.17</v>
      </c>
      <c r="E113" s="29">
        <v>95</v>
      </c>
      <c r="F113" s="50">
        <v>85</v>
      </c>
      <c r="G113" s="21">
        <f t="shared" si="47"/>
        <v>3.1545741324921117</v>
      </c>
      <c r="H113" s="6">
        <v>45240</v>
      </c>
      <c r="I113" s="29">
        <v>91.7</v>
      </c>
      <c r="J113" s="30">
        <f t="shared" si="48"/>
        <v>4.0036293523874278E-2</v>
      </c>
      <c r="K113" s="35">
        <f t="shared" si="49"/>
        <v>204.74000000000069</v>
      </c>
      <c r="L113" s="21">
        <f t="shared" si="50"/>
        <v>3</v>
      </c>
      <c r="M113" s="9">
        <f t="shared" si="51"/>
        <v>1</v>
      </c>
      <c r="N113">
        <f t="shared" si="52"/>
        <v>204.74000000000069</v>
      </c>
      <c r="O113">
        <f t="shared" si="53"/>
        <v>0</v>
      </c>
    </row>
    <row r="114" spans="1:18">
      <c r="A114" s="6">
        <v>45237</v>
      </c>
      <c r="B114" s="61" t="s">
        <v>708</v>
      </c>
      <c r="C114" s="9">
        <v>25</v>
      </c>
      <c r="D114">
        <v>222.2</v>
      </c>
      <c r="E114" s="29">
        <v>250</v>
      </c>
      <c r="F114" s="75">
        <v>212</v>
      </c>
      <c r="G114" s="21">
        <f t="shared" si="47"/>
        <v>3.7254901960784355</v>
      </c>
      <c r="H114" s="6">
        <v>45240</v>
      </c>
      <c r="I114" s="29">
        <v>230</v>
      </c>
      <c r="J114" s="30">
        <f t="shared" si="48"/>
        <v>3.5103510351035094E-2</v>
      </c>
      <c r="K114" s="35">
        <f t="shared" si="49"/>
        <v>195</v>
      </c>
      <c r="L114" s="21">
        <f t="shared" si="50"/>
        <v>3</v>
      </c>
      <c r="M114" s="9">
        <f t="shared" si="51"/>
        <v>1</v>
      </c>
      <c r="N114">
        <f t="shared" si="52"/>
        <v>195</v>
      </c>
      <c r="O114">
        <f t="shared" si="53"/>
        <v>0</v>
      </c>
    </row>
    <row r="115" spans="1:18">
      <c r="A115" s="6">
        <v>45236</v>
      </c>
      <c r="B115" t="s">
        <v>287</v>
      </c>
      <c r="C115" s="9">
        <v>140</v>
      </c>
      <c r="D115">
        <v>37.880000000000003</v>
      </c>
      <c r="E115" s="29">
        <v>45</v>
      </c>
      <c r="F115" s="50">
        <v>33</v>
      </c>
      <c r="G115" s="21">
        <f t="shared" si="47"/>
        <v>2.4590163934426217</v>
      </c>
      <c r="H115" s="6">
        <v>45237</v>
      </c>
      <c r="I115" s="29">
        <v>39.200000000000003</v>
      </c>
      <c r="J115" s="30">
        <f t="shared" si="48"/>
        <v>3.4846884899683239E-2</v>
      </c>
      <c r="K115" s="35">
        <f t="shared" si="49"/>
        <v>184.79999999999927</v>
      </c>
      <c r="L115" s="21">
        <f t="shared" si="50"/>
        <v>1</v>
      </c>
      <c r="M115" s="9">
        <f t="shared" si="51"/>
        <v>1</v>
      </c>
      <c r="N115">
        <f t="shared" si="52"/>
        <v>184.79999999999927</v>
      </c>
      <c r="O115">
        <f t="shared" si="53"/>
        <v>0</v>
      </c>
      <c r="R115" s="28">
        <v>8828.2800000000007</v>
      </c>
    </row>
    <row r="116" spans="1:18">
      <c r="A116" s="6">
        <v>45236</v>
      </c>
      <c r="B116" t="s">
        <v>87</v>
      </c>
      <c r="C116" s="9">
        <v>23</v>
      </c>
      <c r="D116">
        <v>219.9</v>
      </c>
      <c r="E116" s="29">
        <v>300</v>
      </c>
      <c r="F116" s="50">
        <v>200</v>
      </c>
      <c r="G116" s="21">
        <f t="shared" si="47"/>
        <v>5.0251256281407022</v>
      </c>
      <c r="H116" s="6">
        <v>45238</v>
      </c>
      <c r="I116" s="29">
        <v>221.9</v>
      </c>
      <c r="J116" s="30">
        <f t="shared" si="48"/>
        <v>9.0950432014551552E-3</v>
      </c>
      <c r="K116" s="35">
        <f t="shared" si="49"/>
        <v>46</v>
      </c>
      <c r="L116" s="21">
        <f t="shared" si="50"/>
        <v>2</v>
      </c>
      <c r="M116" s="9">
        <f t="shared" si="51"/>
        <v>1</v>
      </c>
      <c r="N116">
        <f t="shared" si="52"/>
        <v>46</v>
      </c>
      <c r="O116">
        <f t="shared" si="53"/>
        <v>0</v>
      </c>
    </row>
    <row r="117" spans="1:18">
      <c r="A117" s="6">
        <v>45236</v>
      </c>
      <c r="B117" t="s">
        <v>712</v>
      </c>
      <c r="C117" s="9">
        <v>32</v>
      </c>
      <c r="D117">
        <v>129.5</v>
      </c>
      <c r="E117" s="29">
        <v>175</v>
      </c>
      <c r="F117" s="50">
        <v>125</v>
      </c>
      <c r="G117" s="21">
        <f t="shared" si="47"/>
        <v>11.111111111111111</v>
      </c>
      <c r="H117" s="6">
        <v>45240</v>
      </c>
      <c r="I117" s="29">
        <v>131.5</v>
      </c>
      <c r="J117" s="30">
        <f t="shared" si="48"/>
        <v>1.5444015444015413E-2</v>
      </c>
      <c r="K117" s="35">
        <f t="shared" si="49"/>
        <v>64</v>
      </c>
      <c r="L117" s="21">
        <f t="shared" si="50"/>
        <v>4</v>
      </c>
      <c r="M117" s="9">
        <f t="shared" si="51"/>
        <v>1</v>
      </c>
      <c r="N117">
        <f t="shared" si="52"/>
        <v>64</v>
      </c>
      <c r="O117">
        <f t="shared" si="53"/>
        <v>0</v>
      </c>
    </row>
    <row r="118" spans="1:18">
      <c r="A118" s="6">
        <v>45236</v>
      </c>
      <c r="B118" t="s">
        <v>163</v>
      </c>
      <c r="C118" s="9">
        <v>147</v>
      </c>
      <c r="D118">
        <v>34.5</v>
      </c>
      <c r="E118" s="29">
        <v>50</v>
      </c>
      <c r="F118" s="50">
        <v>32</v>
      </c>
      <c r="G118" s="21">
        <f t="shared" si="47"/>
        <v>7.2</v>
      </c>
      <c r="H118" s="6">
        <v>45237</v>
      </c>
      <c r="I118" s="29">
        <v>34.869999999999997</v>
      </c>
      <c r="J118" s="30">
        <f t="shared" si="48"/>
        <v>1.0724637681159388E-2</v>
      </c>
      <c r="K118" s="35">
        <f t="shared" si="49"/>
        <v>54.389999999999418</v>
      </c>
      <c r="L118" s="21">
        <f t="shared" si="50"/>
        <v>1</v>
      </c>
      <c r="M118" s="9">
        <f t="shared" si="51"/>
        <v>1</v>
      </c>
      <c r="N118">
        <f t="shared" si="52"/>
        <v>54.389999999999418</v>
      </c>
      <c r="O118">
        <f t="shared" si="53"/>
        <v>0</v>
      </c>
    </row>
    <row r="119" spans="1:18">
      <c r="A119" s="6">
        <v>45232</v>
      </c>
      <c r="B119" t="s">
        <v>516</v>
      </c>
      <c r="C119" s="9">
        <v>19</v>
      </c>
      <c r="D119">
        <v>47.3</v>
      </c>
      <c r="E119" s="29">
        <v>60</v>
      </c>
      <c r="F119" s="50">
        <v>40</v>
      </c>
      <c r="G119" s="21">
        <f t="shared" si="47"/>
        <v>2.7397260273972615</v>
      </c>
      <c r="H119" s="6">
        <v>45257</v>
      </c>
      <c r="I119" s="29">
        <v>52</v>
      </c>
      <c r="J119" s="30">
        <f>I119/D119 -1</f>
        <v>9.9365750528541241E-2</v>
      </c>
      <c r="K119" s="35">
        <f>(C119*I119) - (C119*D119)</f>
        <v>89.300000000000068</v>
      </c>
      <c r="L119" s="21">
        <f>H119-A119</f>
        <v>25</v>
      </c>
      <c r="M119" s="9">
        <f>IF(J119&gt;0,1,0)</f>
        <v>1</v>
      </c>
      <c r="N119">
        <f>IF(K119&gt;0, K119, 0)</f>
        <v>89.300000000000068</v>
      </c>
      <c r="O119">
        <f>IF(K119&lt;0, K119, 0)</f>
        <v>0</v>
      </c>
      <c r="R119" s="28">
        <v>8734.32</v>
      </c>
    </row>
    <row r="120" spans="1:18">
      <c r="A120" s="6">
        <v>45232</v>
      </c>
      <c r="B120" t="s">
        <v>287</v>
      </c>
      <c r="C120" s="9">
        <v>140</v>
      </c>
      <c r="D120">
        <v>36.29</v>
      </c>
      <c r="E120" s="29">
        <v>45</v>
      </c>
      <c r="F120" s="50">
        <v>33</v>
      </c>
      <c r="G120" s="21">
        <f t="shared" si="47"/>
        <v>3.6474164133738611</v>
      </c>
      <c r="H120" s="6">
        <v>45233</v>
      </c>
      <c r="I120" s="29">
        <v>37.65</v>
      </c>
      <c r="J120" s="30">
        <f t="shared" ref="J120:J125" si="54">I120/D120 -1</f>
        <v>3.7475888674566082E-2</v>
      </c>
      <c r="K120" s="35">
        <f t="shared" ref="K120:K125" si="55">(C120*I120) - (C120*D120)</f>
        <v>190.40000000000055</v>
      </c>
      <c r="L120" s="21">
        <f t="shared" ref="L120:L125" si="56">H120-A120</f>
        <v>1</v>
      </c>
      <c r="M120" s="9">
        <f t="shared" ref="M120:M125" si="57">IF(J120&gt;0,1,0)</f>
        <v>1</v>
      </c>
      <c r="N120">
        <f t="shared" ref="N120:N125" si="58">IF(K120&gt;0, K120, 0)</f>
        <v>190.40000000000055</v>
      </c>
      <c r="O120">
        <f t="shared" ref="O120:O125" si="59">IF(K120&lt;0, K120, 0)</f>
        <v>0</v>
      </c>
    </row>
    <row r="121" spans="1:18">
      <c r="A121" s="6">
        <v>45232</v>
      </c>
      <c r="B121" t="s">
        <v>718</v>
      </c>
      <c r="C121" s="9">
        <v>25</v>
      </c>
      <c r="D121">
        <v>194.25</v>
      </c>
      <c r="E121" s="29">
        <v>230</v>
      </c>
      <c r="F121" s="50">
        <v>190</v>
      </c>
      <c r="G121" s="21">
        <f t="shared" si="47"/>
        <v>9.4117647058823533</v>
      </c>
      <c r="H121" s="6">
        <v>45245</v>
      </c>
      <c r="I121" s="29">
        <v>205.75</v>
      </c>
      <c r="J121" s="30">
        <f t="shared" si="54"/>
        <v>5.9202059202059232E-2</v>
      </c>
      <c r="K121" s="35">
        <f t="shared" si="55"/>
        <v>287.5</v>
      </c>
      <c r="L121" s="21">
        <f t="shared" si="56"/>
        <v>13</v>
      </c>
      <c r="M121" s="9">
        <f t="shared" si="57"/>
        <v>1</v>
      </c>
      <c r="N121">
        <f t="shared" si="58"/>
        <v>287.5</v>
      </c>
      <c r="O121">
        <f t="shared" si="59"/>
        <v>0</v>
      </c>
      <c r="R121" s="28">
        <v>8082.91</v>
      </c>
    </row>
    <row r="122" spans="1:18">
      <c r="A122" s="6">
        <v>45231</v>
      </c>
      <c r="B122" t="s">
        <v>287</v>
      </c>
      <c r="C122" s="9">
        <v>133</v>
      </c>
      <c r="D122">
        <v>33.33</v>
      </c>
      <c r="E122" s="29">
        <v>45</v>
      </c>
      <c r="F122" s="50">
        <v>33</v>
      </c>
      <c r="G122" s="21">
        <f t="shared" si="47"/>
        <v>36.363636363636552</v>
      </c>
      <c r="H122" s="6">
        <v>45232</v>
      </c>
      <c r="I122" s="29">
        <v>36.299999999999997</v>
      </c>
      <c r="J122" s="30">
        <f t="shared" si="54"/>
        <v>8.9108910891089188E-2</v>
      </c>
      <c r="K122" s="35">
        <f t="shared" si="55"/>
        <v>395.01000000000022</v>
      </c>
      <c r="L122" s="21">
        <f t="shared" si="56"/>
        <v>1</v>
      </c>
      <c r="M122" s="9">
        <f t="shared" si="57"/>
        <v>1</v>
      </c>
      <c r="N122">
        <f t="shared" si="58"/>
        <v>395.01000000000022</v>
      </c>
      <c r="O122">
        <f t="shared" si="59"/>
        <v>0</v>
      </c>
      <c r="R122" s="28">
        <v>7548.7</v>
      </c>
    </row>
    <row r="123" spans="1:18">
      <c r="A123" s="6">
        <v>45230</v>
      </c>
      <c r="B123" t="s">
        <v>287</v>
      </c>
      <c r="C123" s="9">
        <v>158</v>
      </c>
      <c r="D123">
        <v>32.729999999999997</v>
      </c>
      <c r="E123" s="29">
        <v>45</v>
      </c>
      <c r="F123" s="50">
        <v>30</v>
      </c>
      <c r="G123" s="21">
        <f t="shared" si="47"/>
        <v>5.4945054945055007</v>
      </c>
      <c r="H123" s="6">
        <v>45231</v>
      </c>
      <c r="I123" s="29">
        <v>33.335000000000001</v>
      </c>
      <c r="J123" s="30">
        <f t="shared" si="54"/>
        <v>1.8484570730217031E-2</v>
      </c>
      <c r="K123" s="35">
        <f t="shared" si="55"/>
        <v>95.590000000001055</v>
      </c>
      <c r="L123" s="21">
        <f t="shared" si="56"/>
        <v>1</v>
      </c>
      <c r="M123" s="9">
        <f t="shared" si="57"/>
        <v>1</v>
      </c>
      <c r="N123">
        <f t="shared" si="58"/>
        <v>95.590000000001055</v>
      </c>
      <c r="O123">
        <f t="shared" si="59"/>
        <v>0</v>
      </c>
      <c r="R123" s="28">
        <v>7453.11</v>
      </c>
    </row>
    <row r="124" spans="1:18">
      <c r="A124" s="6">
        <v>45225</v>
      </c>
      <c r="B124" s="61" t="s">
        <v>131</v>
      </c>
      <c r="C124" s="9">
        <v>41</v>
      </c>
      <c r="D124">
        <v>143.85</v>
      </c>
      <c r="E124" s="29">
        <v>150</v>
      </c>
      <c r="F124" s="75">
        <v>140</v>
      </c>
      <c r="G124" s="21">
        <f t="shared" si="47"/>
        <v>2.5974025974026014</v>
      </c>
      <c r="H124" s="6">
        <v>45230</v>
      </c>
      <c r="I124" s="29">
        <v>144.44999999999999</v>
      </c>
      <c r="J124" s="30">
        <f t="shared" si="54"/>
        <v>4.1710114702815382E-3</v>
      </c>
      <c r="K124" s="35">
        <f t="shared" si="55"/>
        <v>24.600000000000364</v>
      </c>
      <c r="L124" s="21">
        <f t="shared" si="56"/>
        <v>5</v>
      </c>
      <c r="M124" s="9">
        <f t="shared" si="57"/>
        <v>1</v>
      </c>
      <c r="N124">
        <f t="shared" si="58"/>
        <v>24.600000000000364</v>
      </c>
      <c r="O124">
        <f t="shared" si="59"/>
        <v>0</v>
      </c>
      <c r="R124" s="28">
        <v>7405.27</v>
      </c>
    </row>
    <row r="125" spans="1:18">
      <c r="A125" s="6">
        <v>45225</v>
      </c>
      <c r="B125" t="s">
        <v>286</v>
      </c>
      <c r="C125" s="9">
        <v>140</v>
      </c>
      <c r="D125">
        <v>36.65</v>
      </c>
      <c r="E125" s="29">
        <v>45</v>
      </c>
      <c r="F125" s="75">
        <v>35</v>
      </c>
      <c r="G125" s="21">
        <f t="shared" si="47"/>
        <v>6.0606060606060659</v>
      </c>
      <c r="H125" s="6">
        <v>45243</v>
      </c>
      <c r="I125" s="29">
        <v>38.06</v>
      </c>
      <c r="J125" s="30">
        <f t="shared" si="54"/>
        <v>3.8472032742155715E-2</v>
      </c>
      <c r="K125" s="35">
        <f t="shared" si="55"/>
        <v>197.40000000000055</v>
      </c>
      <c r="L125" s="21">
        <f t="shared" si="56"/>
        <v>18</v>
      </c>
      <c r="M125" s="9">
        <f t="shared" si="57"/>
        <v>1</v>
      </c>
      <c r="N125">
        <f t="shared" si="58"/>
        <v>197.40000000000055</v>
      </c>
      <c r="O125">
        <f t="shared" si="59"/>
        <v>0</v>
      </c>
    </row>
    <row r="126" spans="1:18">
      <c r="A126" s="6">
        <v>45223</v>
      </c>
      <c r="B126" t="s">
        <v>75</v>
      </c>
      <c r="C126" s="9">
        <v>56</v>
      </c>
      <c r="D126">
        <v>13.06</v>
      </c>
      <c r="E126" s="29">
        <v>16</v>
      </c>
      <c r="F126" s="75">
        <v>12</v>
      </c>
      <c r="G126" s="21">
        <f t="shared" ref="G126:G131" si="60" xml:space="preserve"> (E126 - F126)/(D126-F126)</f>
        <v>3.7735849056603756</v>
      </c>
      <c r="H126" s="6">
        <v>45267</v>
      </c>
      <c r="I126" s="16">
        <v>11.7</v>
      </c>
      <c r="J126" s="25">
        <f t="shared" ref="J126:J131" si="61">I126/D126 -1</f>
        <v>-0.10413476263399701</v>
      </c>
      <c r="K126" s="36">
        <f t="shared" ref="K126:K131" si="62">(C126*I126) - (C126*D126)</f>
        <v>-76.160000000000082</v>
      </c>
      <c r="L126" s="24">
        <f t="shared" ref="L126:L131" si="63">H126-A126</f>
        <v>44</v>
      </c>
      <c r="M126" s="52">
        <f t="shared" ref="M126:M131" si="64">IF(J126&gt;0,1,0)</f>
        <v>0</v>
      </c>
      <c r="N126" s="24">
        <f t="shared" ref="N126:N131" si="65">IF(K126&gt;0, K126, 0)</f>
        <v>0</v>
      </c>
      <c r="O126" s="17">
        <f t="shared" ref="O126:O131" si="66">IF(K126&lt;0, K126, 0)</f>
        <v>-76.160000000000082</v>
      </c>
    </row>
    <row r="127" spans="1:18">
      <c r="A127" s="6">
        <v>45223</v>
      </c>
      <c r="B127" s="61" t="s">
        <v>696</v>
      </c>
      <c r="C127" s="9">
        <v>27</v>
      </c>
      <c r="D127">
        <v>182.47</v>
      </c>
      <c r="E127" s="29">
        <v>200</v>
      </c>
      <c r="F127" s="50">
        <v>179</v>
      </c>
      <c r="G127" s="21">
        <f xml:space="preserve"> (E127 - F127)/(D127-F127)</f>
        <v>6.0518731988472645</v>
      </c>
      <c r="H127" s="6">
        <v>45233</v>
      </c>
      <c r="I127" s="29">
        <v>188.5</v>
      </c>
      <c r="J127" s="30">
        <f t="shared" si="61"/>
        <v>3.3046528196415847E-2</v>
      </c>
      <c r="K127" s="35">
        <f t="shared" si="62"/>
        <v>162.8100000000004</v>
      </c>
      <c r="L127" s="21">
        <f t="shared" si="63"/>
        <v>10</v>
      </c>
      <c r="M127" s="9">
        <f t="shared" si="64"/>
        <v>1</v>
      </c>
      <c r="N127">
        <f t="shared" si="65"/>
        <v>162.8100000000004</v>
      </c>
      <c r="O127">
        <f t="shared" si="66"/>
        <v>0</v>
      </c>
      <c r="R127" s="28">
        <v>7211.77</v>
      </c>
    </row>
    <row r="128" spans="1:18">
      <c r="A128" s="6">
        <v>45222</v>
      </c>
      <c r="B128" s="61" t="s">
        <v>436</v>
      </c>
      <c r="C128" s="9">
        <v>140</v>
      </c>
      <c r="D128">
        <v>35.770000000000003</v>
      </c>
      <c r="E128" s="29">
        <v>40</v>
      </c>
      <c r="F128" s="50">
        <v>35</v>
      </c>
      <c r="G128" s="21">
        <f t="shared" si="60"/>
        <v>6.4935064935064668</v>
      </c>
      <c r="H128" s="6">
        <v>45260</v>
      </c>
      <c r="I128" s="29">
        <v>35.99</v>
      </c>
      <c r="J128" s="30">
        <f t="shared" si="61"/>
        <v>6.1504053676264547E-3</v>
      </c>
      <c r="K128" s="35">
        <f t="shared" si="62"/>
        <v>30.800000000000182</v>
      </c>
      <c r="L128" s="21">
        <f t="shared" si="63"/>
        <v>38</v>
      </c>
      <c r="M128" s="9">
        <f t="shared" si="64"/>
        <v>1</v>
      </c>
      <c r="N128">
        <f t="shared" si="65"/>
        <v>30.800000000000182</v>
      </c>
      <c r="O128">
        <f t="shared" si="66"/>
        <v>0</v>
      </c>
      <c r="R128" s="28">
        <v>7865.22</v>
      </c>
    </row>
    <row r="129" spans="1:18">
      <c r="A129" s="6">
        <v>45222</v>
      </c>
      <c r="B129" s="61" t="s">
        <v>358</v>
      </c>
      <c r="C129" s="9">
        <v>116</v>
      </c>
      <c r="D129">
        <v>44</v>
      </c>
      <c r="E129" s="29">
        <v>50</v>
      </c>
      <c r="F129" s="50">
        <v>43</v>
      </c>
      <c r="G129" s="21">
        <f t="shared" si="60"/>
        <v>7</v>
      </c>
      <c r="H129" s="6">
        <v>45232</v>
      </c>
      <c r="I129" s="29">
        <v>45.2</v>
      </c>
      <c r="J129" s="30">
        <f t="shared" si="61"/>
        <v>2.7272727272727337E-2</v>
      </c>
      <c r="K129" s="35">
        <f t="shared" si="62"/>
        <v>139.20000000000073</v>
      </c>
      <c r="L129" s="21">
        <f t="shared" si="63"/>
        <v>10</v>
      </c>
      <c r="M129" s="9">
        <f t="shared" si="64"/>
        <v>1</v>
      </c>
      <c r="N129">
        <f t="shared" si="65"/>
        <v>139.20000000000073</v>
      </c>
      <c r="O129">
        <f t="shared" si="66"/>
        <v>0</v>
      </c>
    </row>
    <row r="130" spans="1:18">
      <c r="A130" s="6">
        <v>45222</v>
      </c>
      <c r="B130" t="s">
        <v>87</v>
      </c>
      <c r="C130" s="9">
        <v>23</v>
      </c>
      <c r="D130">
        <v>214.22</v>
      </c>
      <c r="E130" s="29">
        <v>300</v>
      </c>
      <c r="F130" s="50">
        <v>200</v>
      </c>
      <c r="G130" s="21">
        <f t="shared" si="60"/>
        <v>7.0323488045007041</v>
      </c>
      <c r="H130" s="6">
        <v>45233</v>
      </c>
      <c r="I130" s="29">
        <v>219.9</v>
      </c>
      <c r="J130" s="30">
        <f t="shared" si="61"/>
        <v>2.651479787134714E-2</v>
      </c>
      <c r="K130" s="35">
        <f t="shared" si="62"/>
        <v>130.63999999999942</v>
      </c>
      <c r="L130" s="21">
        <f t="shared" si="63"/>
        <v>11</v>
      </c>
      <c r="M130" s="9">
        <f t="shared" si="64"/>
        <v>1</v>
      </c>
      <c r="N130">
        <f t="shared" si="65"/>
        <v>130.63999999999942</v>
      </c>
      <c r="O130">
        <f t="shared" si="66"/>
        <v>0</v>
      </c>
    </row>
    <row r="131" spans="1:18">
      <c r="A131" s="6">
        <v>45222</v>
      </c>
      <c r="B131" s="61" t="s">
        <v>332</v>
      </c>
      <c r="C131" s="9">
        <v>71</v>
      </c>
      <c r="D131">
        <v>59.44</v>
      </c>
      <c r="E131" s="29">
        <v>70</v>
      </c>
      <c r="F131" s="50">
        <v>56</v>
      </c>
      <c r="G131" s="21">
        <f t="shared" si="60"/>
        <v>4.0697674418604679</v>
      </c>
      <c r="H131" s="6">
        <v>45233</v>
      </c>
      <c r="I131" s="29">
        <v>61.8</v>
      </c>
      <c r="J131" s="30">
        <f t="shared" si="61"/>
        <v>3.9703903095558601E-2</v>
      </c>
      <c r="K131" s="35">
        <f t="shared" si="62"/>
        <v>167.5600000000004</v>
      </c>
      <c r="L131" s="21">
        <f t="shared" si="63"/>
        <v>11</v>
      </c>
      <c r="M131" s="9">
        <f t="shared" si="64"/>
        <v>1</v>
      </c>
      <c r="N131">
        <f t="shared" si="65"/>
        <v>167.5600000000004</v>
      </c>
      <c r="O131">
        <f t="shared" si="66"/>
        <v>0</v>
      </c>
    </row>
    <row r="132" spans="1:18">
      <c r="A132" s="6">
        <v>45218</v>
      </c>
      <c r="B132" t="s">
        <v>81</v>
      </c>
      <c r="C132" s="9">
        <v>8</v>
      </c>
      <c r="D132">
        <v>88.67</v>
      </c>
      <c r="E132" s="29">
        <v>100</v>
      </c>
      <c r="F132" s="50">
        <v>86</v>
      </c>
      <c r="G132" s="21">
        <f xml:space="preserve"> (E132 - F132)/(D132-F132)</f>
        <v>5.243445692883892</v>
      </c>
      <c r="J132" s="30"/>
      <c r="K132" s="38"/>
      <c r="L132" s="37"/>
      <c r="N132" s="38"/>
      <c r="R132" s="28">
        <v>9069.2199999999993</v>
      </c>
    </row>
    <row r="133" spans="1:18">
      <c r="A133" s="6">
        <v>45218</v>
      </c>
      <c r="B133" s="61" t="s">
        <v>708</v>
      </c>
      <c r="C133" s="9">
        <v>25</v>
      </c>
      <c r="D133">
        <v>217</v>
      </c>
      <c r="E133" s="29">
        <v>250</v>
      </c>
      <c r="F133" s="50">
        <v>213</v>
      </c>
      <c r="G133" s="21">
        <f xml:space="preserve"> (E133 - F133)/(D133-F133)</f>
        <v>9.25</v>
      </c>
      <c r="H133" s="6">
        <v>45237</v>
      </c>
      <c r="I133" s="29">
        <v>222.2</v>
      </c>
      <c r="J133" s="30">
        <f>I133/D133 -1</f>
        <v>2.3963133640553025E-2</v>
      </c>
      <c r="K133" s="35">
        <f>(C133*I133) - (C133*D133)</f>
        <v>130</v>
      </c>
      <c r="L133" s="21">
        <f>H133-A133</f>
        <v>19</v>
      </c>
      <c r="M133" s="9">
        <f>IF(J133&gt;0,1,0)</f>
        <v>1</v>
      </c>
      <c r="N133">
        <f>IF(K133&gt;0, K133, 0)</f>
        <v>130</v>
      </c>
      <c r="O133">
        <f>IF(K133&lt;0, K133, 0)</f>
        <v>0</v>
      </c>
    </row>
    <row r="134" spans="1:18">
      <c r="A134" s="6">
        <v>45218</v>
      </c>
      <c r="B134" t="s">
        <v>137</v>
      </c>
      <c r="C134" s="9">
        <v>140</v>
      </c>
      <c r="D134">
        <v>27</v>
      </c>
      <c r="E134" s="29">
        <v>30</v>
      </c>
      <c r="F134" s="50">
        <v>25</v>
      </c>
      <c r="G134" s="21">
        <f xml:space="preserve"> (E134 - F134)/(D134-F134)</f>
        <v>2.5</v>
      </c>
      <c r="H134" s="6">
        <v>45219</v>
      </c>
      <c r="I134" s="16">
        <v>26.05</v>
      </c>
      <c r="J134" s="25">
        <f>I134/D134 -1</f>
        <v>-3.5185185185185208E-2</v>
      </c>
      <c r="K134" s="36">
        <f>(C134*I134) - (C134*D134)</f>
        <v>-133</v>
      </c>
      <c r="L134" s="24">
        <f>H134-A134</f>
        <v>1</v>
      </c>
      <c r="M134" s="52">
        <f>IF(J134&gt;0,1,0)</f>
        <v>0</v>
      </c>
      <c r="N134" s="24">
        <f>IF(K134&gt;0, K134, 0)</f>
        <v>0</v>
      </c>
      <c r="O134" s="17">
        <f>IF(K134&lt;0, K134, 0)</f>
        <v>-133</v>
      </c>
    </row>
    <row r="135" spans="1:18">
      <c r="A135" s="6">
        <v>45216</v>
      </c>
      <c r="B135" t="s">
        <v>560</v>
      </c>
      <c r="C135" s="9">
        <v>250</v>
      </c>
      <c r="D135">
        <v>21.63</v>
      </c>
      <c r="E135" s="29">
        <v>23</v>
      </c>
      <c r="F135" s="50">
        <v>20</v>
      </c>
      <c r="G135" s="21">
        <f xml:space="preserve"> (E135 - F135)/(D135-F135)</f>
        <v>1.8404907975460134</v>
      </c>
      <c r="H135" s="6">
        <v>45219</v>
      </c>
      <c r="I135" s="16">
        <v>20.7</v>
      </c>
      <c r="J135" s="25">
        <f>I135/D135 -1</f>
        <v>-4.2995839112343948E-2</v>
      </c>
      <c r="K135" s="36">
        <f>(C135*I135) - (C135*D135)</f>
        <v>-232.5</v>
      </c>
      <c r="L135" s="24">
        <f>H135-A135</f>
        <v>3</v>
      </c>
      <c r="M135" s="52">
        <f>IF(J135&gt;0,1,0)</f>
        <v>0</v>
      </c>
      <c r="N135" s="24">
        <f>IF(K135&gt;0, K135, 0)</f>
        <v>0</v>
      </c>
      <c r="O135" s="17">
        <f>IF(K135&lt;0, K135, 0)</f>
        <v>-232.5</v>
      </c>
      <c r="R135" s="28">
        <v>9594.5</v>
      </c>
    </row>
    <row r="136" spans="1:18">
      <c r="A136" s="6">
        <v>45216</v>
      </c>
      <c r="B136" t="s">
        <v>364</v>
      </c>
      <c r="C136" s="9">
        <v>1468</v>
      </c>
      <c r="D136">
        <v>3.9</v>
      </c>
      <c r="E136" s="29">
        <v>5</v>
      </c>
      <c r="F136" s="50">
        <v>3.8</v>
      </c>
      <c r="G136" s="21">
        <f xml:space="preserve"> (E136 - F136)/(D136-F136)</f>
        <v>11.999999999999991</v>
      </c>
      <c r="J136" s="30"/>
      <c r="K136" s="38"/>
      <c r="L136" s="37"/>
      <c r="N136" s="38"/>
      <c r="R136" s="28">
        <v>10751.38</v>
      </c>
    </row>
    <row r="137" spans="1:18">
      <c r="A137" s="6">
        <v>45215</v>
      </c>
      <c r="B137" t="s">
        <v>286</v>
      </c>
      <c r="C137" s="9">
        <v>140</v>
      </c>
      <c r="D137">
        <v>36</v>
      </c>
      <c r="E137" s="29">
        <v>45</v>
      </c>
      <c r="F137" s="50">
        <v>35</v>
      </c>
      <c r="G137" s="21">
        <f t="shared" ref="G137:G143" si="67" xml:space="preserve"> (E137 - F137)/(D137-F137)</f>
        <v>10</v>
      </c>
      <c r="H137" s="6">
        <v>45225</v>
      </c>
      <c r="I137" s="29">
        <v>36.65</v>
      </c>
      <c r="J137" s="30">
        <f t="shared" ref="J137:J143" si="68">I137/D137 -1</f>
        <v>1.8055555555555491E-2</v>
      </c>
      <c r="K137" s="35">
        <f t="shared" ref="K137:K143" si="69">(C137*I137) - (C137*D137)</f>
        <v>91</v>
      </c>
      <c r="L137" s="21">
        <f t="shared" ref="L137:L143" si="70">H137-A137</f>
        <v>10</v>
      </c>
      <c r="M137" s="9">
        <f t="shared" ref="M137:M143" si="71">IF(J137&gt;0,1,0)</f>
        <v>1</v>
      </c>
      <c r="N137">
        <f t="shared" ref="N137:N143" si="72">IF(K137&gt;0, K137, 0)</f>
        <v>91</v>
      </c>
      <c r="O137">
        <f t="shared" ref="O137:O143" si="73">IF(K137&lt;0, K137, 0)</f>
        <v>0</v>
      </c>
    </row>
    <row r="138" spans="1:18">
      <c r="A138" s="6">
        <v>45215</v>
      </c>
      <c r="B138" t="s">
        <v>116</v>
      </c>
      <c r="C138" s="9">
        <v>32</v>
      </c>
      <c r="D138">
        <v>161.5</v>
      </c>
      <c r="E138" s="29">
        <v>180</v>
      </c>
      <c r="F138" s="50">
        <v>155</v>
      </c>
      <c r="G138" s="21">
        <f t="shared" si="67"/>
        <v>3.8461538461538463</v>
      </c>
      <c r="H138" s="6">
        <v>45219</v>
      </c>
      <c r="I138" s="16">
        <v>159.9</v>
      </c>
      <c r="J138" s="25">
        <f t="shared" si="68"/>
        <v>-9.9071207430340147E-3</v>
      </c>
      <c r="K138" s="36">
        <f t="shared" si="69"/>
        <v>-51.199999999999818</v>
      </c>
      <c r="L138" s="24">
        <f t="shared" si="70"/>
        <v>4</v>
      </c>
      <c r="M138" s="52">
        <f t="shared" si="71"/>
        <v>0</v>
      </c>
      <c r="N138" s="24">
        <f t="shared" si="72"/>
        <v>0</v>
      </c>
      <c r="O138" s="17">
        <f t="shared" si="73"/>
        <v>-51.199999999999818</v>
      </c>
    </row>
    <row r="139" spans="1:18">
      <c r="A139" s="6">
        <v>45211</v>
      </c>
      <c r="B139" t="s">
        <v>116</v>
      </c>
      <c r="C139" s="9">
        <v>34</v>
      </c>
      <c r="D139">
        <v>160</v>
      </c>
      <c r="E139" s="29">
        <v>170</v>
      </c>
      <c r="F139" s="50">
        <v>155</v>
      </c>
      <c r="G139" s="21">
        <f t="shared" si="67"/>
        <v>3</v>
      </c>
      <c r="H139" s="6">
        <v>45210</v>
      </c>
      <c r="I139" s="29">
        <v>160.01</v>
      </c>
      <c r="J139" s="30">
        <f t="shared" si="68"/>
        <v>6.2499999999854339E-5</v>
      </c>
      <c r="K139" s="35">
        <f t="shared" si="69"/>
        <v>0.34000000000014552</v>
      </c>
      <c r="L139" s="21">
        <f t="shared" si="70"/>
        <v>-1</v>
      </c>
      <c r="M139" s="9">
        <f t="shared" si="71"/>
        <v>1</v>
      </c>
      <c r="N139">
        <f t="shared" si="72"/>
        <v>0.34000000000014552</v>
      </c>
      <c r="O139">
        <f t="shared" si="73"/>
        <v>0</v>
      </c>
      <c r="R139" s="28">
        <v>10364.879999999999</v>
      </c>
    </row>
    <row r="140" spans="1:18">
      <c r="A140" s="6">
        <v>45211</v>
      </c>
      <c r="B140" t="s">
        <v>364</v>
      </c>
      <c r="C140" s="9">
        <v>1400</v>
      </c>
      <c r="D140">
        <v>3.83</v>
      </c>
      <c r="E140" s="29">
        <v>5</v>
      </c>
      <c r="F140" s="50">
        <v>3.8</v>
      </c>
      <c r="G140" s="21">
        <f t="shared" si="67"/>
        <v>39.999999999999673</v>
      </c>
      <c r="H140" s="6">
        <v>45216</v>
      </c>
      <c r="I140" s="29">
        <v>3.94</v>
      </c>
      <c r="J140" s="30">
        <f t="shared" si="68"/>
        <v>2.8720626631853818E-2</v>
      </c>
      <c r="K140" s="35">
        <f t="shared" si="69"/>
        <v>154</v>
      </c>
      <c r="L140" s="21">
        <f t="shared" si="70"/>
        <v>5</v>
      </c>
      <c r="M140" s="9">
        <f t="shared" si="71"/>
        <v>1</v>
      </c>
      <c r="N140">
        <f t="shared" si="72"/>
        <v>154</v>
      </c>
      <c r="O140">
        <f t="shared" si="73"/>
        <v>0</v>
      </c>
    </row>
    <row r="141" spans="1:18">
      <c r="A141" s="6">
        <v>45210</v>
      </c>
      <c r="B141" s="61" t="s">
        <v>227</v>
      </c>
      <c r="C141" s="9">
        <v>10</v>
      </c>
      <c r="D141">
        <v>549.5</v>
      </c>
      <c r="E141" s="29">
        <v>600</v>
      </c>
      <c r="F141" s="50">
        <v>530</v>
      </c>
      <c r="G141" s="21">
        <f t="shared" si="67"/>
        <v>3.5897435897435899</v>
      </c>
      <c r="H141" s="6">
        <v>45211</v>
      </c>
      <c r="I141" s="29">
        <v>560.20000000000005</v>
      </c>
      <c r="J141" s="30">
        <f t="shared" si="68"/>
        <v>1.9472247497725359E-2</v>
      </c>
      <c r="K141" s="35">
        <f t="shared" si="69"/>
        <v>107</v>
      </c>
      <c r="L141" s="21">
        <f t="shared" si="70"/>
        <v>1</v>
      </c>
      <c r="M141" s="9">
        <f t="shared" si="71"/>
        <v>1</v>
      </c>
      <c r="N141">
        <f t="shared" si="72"/>
        <v>107</v>
      </c>
      <c r="O141">
        <f t="shared" si="73"/>
        <v>0</v>
      </c>
      <c r="R141" s="28">
        <v>10204.540000000001</v>
      </c>
    </row>
    <row r="142" spans="1:18">
      <c r="A142" s="6">
        <v>45210</v>
      </c>
      <c r="B142" s="61" t="s">
        <v>521</v>
      </c>
      <c r="C142" s="9">
        <v>41</v>
      </c>
      <c r="D142">
        <v>140.5</v>
      </c>
      <c r="E142" s="29">
        <v>150</v>
      </c>
      <c r="F142" s="50">
        <v>135</v>
      </c>
      <c r="G142" s="21">
        <f t="shared" si="67"/>
        <v>2.7272727272727271</v>
      </c>
      <c r="H142" s="6">
        <v>45282</v>
      </c>
      <c r="I142" s="29">
        <v>141.6</v>
      </c>
      <c r="J142" s="30">
        <f t="shared" si="68"/>
        <v>7.8291814946618299E-3</v>
      </c>
      <c r="K142" s="35">
        <f t="shared" si="69"/>
        <v>45.099999999999454</v>
      </c>
      <c r="L142" s="21">
        <f t="shared" si="70"/>
        <v>72</v>
      </c>
      <c r="M142" s="9">
        <f t="shared" si="71"/>
        <v>1</v>
      </c>
      <c r="N142">
        <f t="shared" si="72"/>
        <v>45.099999999999454</v>
      </c>
      <c r="O142">
        <f t="shared" si="73"/>
        <v>0</v>
      </c>
    </row>
    <row r="143" spans="1:18">
      <c r="A143" s="6">
        <v>45210</v>
      </c>
      <c r="B143" t="s">
        <v>560</v>
      </c>
      <c r="C143" s="9">
        <v>250</v>
      </c>
      <c r="D143">
        <v>20.68</v>
      </c>
      <c r="E143" s="29">
        <v>22</v>
      </c>
      <c r="F143" s="50">
        <v>20</v>
      </c>
      <c r="G143" s="21">
        <f t="shared" si="67"/>
        <v>2.9411764705882364</v>
      </c>
      <c r="H143" s="6">
        <v>45216</v>
      </c>
      <c r="I143" s="29">
        <v>21.61</v>
      </c>
      <c r="J143" s="30">
        <f t="shared" si="68"/>
        <v>4.497098646034825E-2</v>
      </c>
      <c r="K143" s="35">
        <f t="shared" si="69"/>
        <v>232.5</v>
      </c>
      <c r="L143" s="21">
        <f t="shared" si="70"/>
        <v>6</v>
      </c>
      <c r="M143" s="9">
        <f t="shared" si="71"/>
        <v>1</v>
      </c>
      <c r="N143">
        <f t="shared" si="72"/>
        <v>232.5</v>
      </c>
      <c r="O143">
        <f t="shared" si="73"/>
        <v>0</v>
      </c>
      <c r="R143" s="28">
        <v>10097.540000000001</v>
      </c>
    </row>
    <row r="144" spans="1:18">
      <c r="A144" s="6">
        <v>45209</v>
      </c>
      <c r="B144" t="s">
        <v>675</v>
      </c>
      <c r="C144" s="9">
        <v>24</v>
      </c>
      <c r="D144">
        <v>27.99</v>
      </c>
      <c r="E144" s="29">
        <v>30</v>
      </c>
      <c r="F144" s="50">
        <v>27.5</v>
      </c>
      <c r="G144" s="21">
        <f t="shared" ref="G144:G152" si="74" xml:space="preserve"> (E144 - F144)/(D144-F144)</f>
        <v>5.1020408163265465</v>
      </c>
      <c r="H144" s="6">
        <v>45273</v>
      </c>
      <c r="I144" s="16">
        <v>25.25</v>
      </c>
      <c r="J144" s="25">
        <f>I144/D144 -1</f>
        <v>-9.7892104322972462E-2</v>
      </c>
      <c r="K144" s="36">
        <f>(C144*I144) - (C144*D144)</f>
        <v>-65.759999999999991</v>
      </c>
      <c r="L144" s="24">
        <f>H144-A144</f>
        <v>64</v>
      </c>
      <c r="M144" s="52">
        <f>IF(J144&gt;0,1,0)</f>
        <v>0</v>
      </c>
      <c r="N144" s="24">
        <f>IF(K144&gt;0, K144, 0)</f>
        <v>0</v>
      </c>
      <c r="O144" s="17">
        <f>IF(K144&lt;0, K144, 0)</f>
        <v>-65.759999999999991</v>
      </c>
    </row>
    <row r="145" spans="1:18">
      <c r="A145" s="6">
        <v>45209</v>
      </c>
      <c r="B145" t="s">
        <v>516</v>
      </c>
      <c r="C145" s="9">
        <v>100</v>
      </c>
      <c r="D145">
        <v>57</v>
      </c>
      <c r="E145" s="29">
        <v>75</v>
      </c>
      <c r="F145" s="50">
        <v>52</v>
      </c>
      <c r="G145" s="21">
        <f t="shared" si="74"/>
        <v>4.5999999999999996</v>
      </c>
      <c r="H145" s="6">
        <v>45217</v>
      </c>
      <c r="I145" s="16">
        <v>45</v>
      </c>
      <c r="J145" s="25">
        <f t="shared" ref="J145:J152" si="75">I145/D145 -1</f>
        <v>-0.21052631578947367</v>
      </c>
      <c r="K145" s="36">
        <f t="shared" ref="K145:K152" si="76">(C145*I145) - (C145*D145)</f>
        <v>-1200</v>
      </c>
      <c r="L145" s="24">
        <f t="shared" ref="L145:L152" si="77">H145-A145</f>
        <v>8</v>
      </c>
      <c r="M145" s="52">
        <f t="shared" ref="M145:M152" si="78">IF(J145&gt;0,1,0)</f>
        <v>0</v>
      </c>
      <c r="N145" s="24">
        <f t="shared" ref="N145:N152" si="79">IF(K145&gt;0, K145, 0)</f>
        <v>0</v>
      </c>
      <c r="O145" s="17">
        <f t="shared" ref="O145:O152" si="80">IF(K145&lt;0, K145, 0)</f>
        <v>-1200</v>
      </c>
    </row>
    <row r="146" spans="1:18">
      <c r="A146" s="6">
        <v>45209</v>
      </c>
      <c r="B146" s="61" t="s">
        <v>227</v>
      </c>
      <c r="C146" s="9">
        <v>10</v>
      </c>
      <c r="D146">
        <v>533.5</v>
      </c>
      <c r="E146" s="29">
        <v>600</v>
      </c>
      <c r="F146" s="50">
        <v>500</v>
      </c>
      <c r="G146" s="21">
        <f t="shared" si="74"/>
        <v>2.9850746268656718</v>
      </c>
      <c r="H146" s="6">
        <v>45210</v>
      </c>
      <c r="I146" s="29">
        <v>550</v>
      </c>
      <c r="J146" s="30">
        <f t="shared" si="75"/>
        <v>3.0927835051546282E-2</v>
      </c>
      <c r="K146" s="35">
        <f t="shared" si="76"/>
        <v>165</v>
      </c>
      <c r="L146" s="21">
        <f t="shared" si="77"/>
        <v>1</v>
      </c>
      <c r="M146" s="9">
        <f t="shared" si="78"/>
        <v>1</v>
      </c>
      <c r="N146">
        <f t="shared" si="79"/>
        <v>165</v>
      </c>
      <c r="O146">
        <f t="shared" si="80"/>
        <v>0</v>
      </c>
    </row>
    <row r="147" spans="1:18">
      <c r="A147" s="6">
        <v>45209</v>
      </c>
      <c r="B147" s="61" t="s">
        <v>611</v>
      </c>
      <c r="C147" s="9">
        <v>44</v>
      </c>
      <c r="D147">
        <v>131.30000000000001</v>
      </c>
      <c r="E147" s="29">
        <v>148</v>
      </c>
      <c r="F147" s="50">
        <v>123</v>
      </c>
      <c r="G147" s="21">
        <f t="shared" si="74"/>
        <v>3.01204819277108</v>
      </c>
      <c r="H147" s="6">
        <v>45261</v>
      </c>
      <c r="I147" s="29">
        <v>134</v>
      </c>
      <c r="J147" s="30">
        <f t="shared" si="75"/>
        <v>2.0563594821020548E-2</v>
      </c>
      <c r="K147" s="35">
        <f t="shared" si="76"/>
        <v>118.79999999999927</v>
      </c>
      <c r="L147" s="21">
        <f t="shared" si="77"/>
        <v>52</v>
      </c>
      <c r="M147" s="9">
        <f t="shared" si="78"/>
        <v>1</v>
      </c>
      <c r="N147">
        <f t="shared" si="79"/>
        <v>118.79999999999927</v>
      </c>
      <c r="O147">
        <f t="shared" si="80"/>
        <v>0</v>
      </c>
      <c r="R147" s="28">
        <v>9890.18</v>
      </c>
    </row>
    <row r="148" spans="1:18">
      <c r="A148" s="6">
        <v>45208</v>
      </c>
      <c r="B148" s="61" t="s">
        <v>131</v>
      </c>
      <c r="C148" s="9">
        <v>41</v>
      </c>
      <c r="D148">
        <v>141.35</v>
      </c>
      <c r="E148" s="29">
        <v>150</v>
      </c>
      <c r="F148" s="50">
        <v>140</v>
      </c>
      <c r="G148" s="21">
        <f t="shared" si="74"/>
        <v>7.4074074074074385</v>
      </c>
      <c r="H148" s="6">
        <v>45225</v>
      </c>
      <c r="I148" s="29">
        <v>143.85</v>
      </c>
      <c r="J148" s="30">
        <f t="shared" si="75"/>
        <v>1.7686593562080022E-2</v>
      </c>
      <c r="K148" s="35">
        <f t="shared" si="76"/>
        <v>102.5</v>
      </c>
      <c r="L148" s="21">
        <f t="shared" si="77"/>
        <v>17</v>
      </c>
      <c r="M148" s="9">
        <f t="shared" si="78"/>
        <v>1</v>
      </c>
      <c r="N148">
        <f t="shared" si="79"/>
        <v>102.5</v>
      </c>
      <c r="O148">
        <f t="shared" si="80"/>
        <v>0</v>
      </c>
    </row>
    <row r="149" spans="1:18">
      <c r="A149" s="6">
        <v>45208</v>
      </c>
      <c r="B149" s="61" t="s">
        <v>521</v>
      </c>
      <c r="C149" s="9">
        <v>41</v>
      </c>
      <c r="D149">
        <v>137.1</v>
      </c>
      <c r="E149" s="29">
        <v>150</v>
      </c>
      <c r="F149" s="50">
        <v>135</v>
      </c>
      <c r="G149" s="21">
        <f t="shared" si="74"/>
        <v>7.1428571428571619</v>
      </c>
      <c r="H149" s="6">
        <v>45210</v>
      </c>
      <c r="I149" s="29">
        <v>140.13999999999999</v>
      </c>
      <c r="J149" s="30">
        <f t="shared" si="75"/>
        <v>2.2173595915390143E-2</v>
      </c>
      <c r="K149" s="35">
        <f t="shared" si="76"/>
        <v>124.64000000000033</v>
      </c>
      <c r="L149" s="21">
        <f t="shared" si="77"/>
        <v>2</v>
      </c>
      <c r="M149" s="9">
        <f t="shared" si="78"/>
        <v>1</v>
      </c>
      <c r="N149">
        <f t="shared" si="79"/>
        <v>124.64000000000033</v>
      </c>
      <c r="O149">
        <f t="shared" si="80"/>
        <v>0</v>
      </c>
    </row>
    <row r="150" spans="1:18">
      <c r="A150" s="6">
        <v>45208</v>
      </c>
      <c r="B150" t="s">
        <v>124</v>
      </c>
      <c r="C150" s="9">
        <v>170</v>
      </c>
      <c r="D150">
        <v>33.1</v>
      </c>
      <c r="E150" s="29">
        <v>43</v>
      </c>
      <c r="F150" s="50">
        <v>32</v>
      </c>
      <c r="G150" s="21">
        <f t="shared" si="74"/>
        <v>9.9999999999999876</v>
      </c>
      <c r="H150" s="6">
        <v>45210</v>
      </c>
      <c r="I150" s="29">
        <v>33.200000000000003</v>
      </c>
      <c r="J150" s="30">
        <f t="shared" si="75"/>
        <v>3.0211480362538623E-3</v>
      </c>
      <c r="K150" s="35">
        <f t="shared" si="76"/>
        <v>17.000000000000909</v>
      </c>
      <c r="L150" s="21">
        <f t="shared" si="77"/>
        <v>2</v>
      </c>
      <c r="M150" s="9">
        <f t="shared" si="78"/>
        <v>1</v>
      </c>
      <c r="N150">
        <f t="shared" si="79"/>
        <v>17.000000000000909</v>
      </c>
      <c r="O150">
        <f t="shared" si="80"/>
        <v>0</v>
      </c>
      <c r="R150" s="28">
        <v>9584.86</v>
      </c>
    </row>
    <row r="151" spans="1:18">
      <c r="A151" s="6">
        <v>45205</v>
      </c>
      <c r="B151" t="s">
        <v>94</v>
      </c>
      <c r="C151" s="9">
        <v>5</v>
      </c>
      <c r="D151">
        <v>177.59</v>
      </c>
      <c r="E151" s="29">
        <v>200</v>
      </c>
      <c r="F151" s="50">
        <v>168</v>
      </c>
      <c r="G151" s="21">
        <f t="shared" si="74"/>
        <v>3.3368091762252337</v>
      </c>
      <c r="H151" s="6">
        <v>45238</v>
      </c>
      <c r="I151" s="29">
        <v>182.6</v>
      </c>
      <c r="J151" s="30">
        <f t="shared" si="75"/>
        <v>2.8211047919364685E-2</v>
      </c>
      <c r="K151" s="35">
        <f t="shared" si="76"/>
        <v>25.049999999999955</v>
      </c>
      <c r="L151" s="21">
        <f t="shared" si="77"/>
        <v>33</v>
      </c>
      <c r="M151" s="9">
        <f t="shared" si="78"/>
        <v>1</v>
      </c>
      <c r="N151">
        <f t="shared" si="79"/>
        <v>25.049999999999955</v>
      </c>
      <c r="O151">
        <f t="shared" si="80"/>
        <v>0</v>
      </c>
      <c r="R151" s="28">
        <v>9639.85</v>
      </c>
    </row>
    <row r="152" spans="1:18">
      <c r="A152" s="6">
        <v>45204</v>
      </c>
      <c r="B152" s="22" t="s">
        <v>709</v>
      </c>
      <c r="C152" s="9">
        <v>100</v>
      </c>
      <c r="D152">
        <v>4.4000000000000004</v>
      </c>
      <c r="E152" s="29">
        <v>12.5</v>
      </c>
      <c r="F152" s="50">
        <v>2.2000000000000002</v>
      </c>
      <c r="G152" s="21">
        <f t="shared" si="74"/>
        <v>4.6818181818181817</v>
      </c>
      <c r="H152" s="6">
        <v>45247</v>
      </c>
      <c r="I152" s="29">
        <v>0</v>
      </c>
      <c r="J152" s="30">
        <f t="shared" si="75"/>
        <v>-1</v>
      </c>
      <c r="K152" s="38">
        <f t="shared" si="76"/>
        <v>-440.00000000000006</v>
      </c>
      <c r="L152" s="37">
        <f t="shared" si="77"/>
        <v>43</v>
      </c>
      <c r="M152" s="9">
        <f t="shared" si="78"/>
        <v>0</v>
      </c>
      <c r="N152" s="38">
        <f t="shared" si="79"/>
        <v>0</v>
      </c>
      <c r="O152">
        <f t="shared" si="80"/>
        <v>-440.00000000000006</v>
      </c>
    </row>
    <row r="153" spans="1:18">
      <c r="A153" s="6">
        <v>45203</v>
      </c>
      <c r="B153" s="61" t="s">
        <v>227</v>
      </c>
      <c r="C153" s="9">
        <v>10</v>
      </c>
      <c r="D153">
        <v>518.34</v>
      </c>
      <c r="E153" s="29">
        <v>600</v>
      </c>
      <c r="F153" s="50">
        <v>500</v>
      </c>
      <c r="G153" s="21">
        <f t="shared" ref="G153:G161" si="81" xml:space="preserve"> (E153 - F153)/(D153-F153)</f>
        <v>5.4525627044710916</v>
      </c>
      <c r="H153" s="6">
        <v>45209</v>
      </c>
      <c r="I153" s="29">
        <v>534</v>
      </c>
      <c r="J153" s="30">
        <f t="shared" ref="J153:J163" si="82">I153/D153 -1</f>
        <v>3.021183007292505E-2</v>
      </c>
      <c r="K153" s="35">
        <f t="shared" ref="K153:K163" si="83">(C153*I153) - (C153*D153)</f>
        <v>156.59999999999945</v>
      </c>
      <c r="L153" s="21">
        <f t="shared" ref="L153:L163" si="84">H153-A153</f>
        <v>6</v>
      </c>
      <c r="M153" s="9">
        <f t="shared" ref="M153:M163" si="85">IF(J153&gt;0,1,0)</f>
        <v>1</v>
      </c>
      <c r="N153">
        <f t="shared" ref="N153:N163" si="86">IF(K153&gt;0, K153, 0)</f>
        <v>156.59999999999945</v>
      </c>
      <c r="O153">
        <f t="shared" ref="O153:O163" si="87">IF(K153&lt;0, K153, 0)</f>
        <v>0</v>
      </c>
    </row>
    <row r="154" spans="1:18">
      <c r="A154" s="6">
        <v>45203</v>
      </c>
      <c r="B154" s="61" t="s">
        <v>521</v>
      </c>
      <c r="C154" s="9">
        <v>32</v>
      </c>
      <c r="D154">
        <v>135.5</v>
      </c>
      <c r="E154" s="29">
        <v>150</v>
      </c>
      <c r="F154" s="50">
        <v>130</v>
      </c>
      <c r="G154" s="21">
        <f t="shared" si="81"/>
        <v>3.6363636363636362</v>
      </c>
      <c r="H154" s="6">
        <v>45205</v>
      </c>
      <c r="I154" s="29">
        <v>138</v>
      </c>
      <c r="J154" s="30">
        <f t="shared" si="82"/>
        <v>1.8450184501844991E-2</v>
      </c>
      <c r="K154" s="35">
        <f t="shared" si="83"/>
        <v>80</v>
      </c>
      <c r="L154" s="21">
        <f t="shared" si="84"/>
        <v>2</v>
      </c>
      <c r="M154" s="9">
        <f t="shared" si="85"/>
        <v>1</v>
      </c>
      <c r="N154">
        <f t="shared" si="86"/>
        <v>80</v>
      </c>
      <c r="O154">
        <f t="shared" si="87"/>
        <v>0</v>
      </c>
    </row>
    <row r="155" spans="1:18">
      <c r="A155" s="6">
        <v>45203</v>
      </c>
      <c r="B155" s="61" t="s">
        <v>611</v>
      </c>
      <c r="C155" s="9">
        <v>44</v>
      </c>
      <c r="D155">
        <v>127.95</v>
      </c>
      <c r="E155" s="29">
        <v>148</v>
      </c>
      <c r="F155" s="50">
        <v>123</v>
      </c>
      <c r="G155" s="21">
        <f t="shared" si="81"/>
        <v>5.0505050505050475</v>
      </c>
      <c r="H155" s="6">
        <v>45209</v>
      </c>
      <c r="I155" s="29">
        <v>131.33000000000001</v>
      </c>
      <c r="J155" s="30">
        <f t="shared" si="82"/>
        <v>2.6416568972254861E-2</v>
      </c>
      <c r="K155" s="35">
        <f t="shared" si="83"/>
        <v>148.72000000000025</v>
      </c>
      <c r="L155" s="21">
        <f t="shared" si="84"/>
        <v>6</v>
      </c>
      <c r="M155" s="9">
        <f t="shared" si="85"/>
        <v>1</v>
      </c>
      <c r="N155">
        <f t="shared" si="86"/>
        <v>148.72000000000025</v>
      </c>
      <c r="O155">
        <f t="shared" si="87"/>
        <v>0</v>
      </c>
    </row>
    <row r="156" spans="1:18">
      <c r="A156" s="6">
        <v>45203</v>
      </c>
      <c r="B156" s="13" t="s">
        <v>132</v>
      </c>
      <c r="C156" s="9">
        <v>3200</v>
      </c>
      <c r="D156">
        <v>1.47</v>
      </c>
      <c r="E156" s="29">
        <v>3</v>
      </c>
      <c r="F156" s="50">
        <v>1.2</v>
      </c>
      <c r="G156" s="21">
        <f xml:space="preserve"> (E156 - F156)/(D156-F156)</f>
        <v>6.6666666666666661</v>
      </c>
      <c r="H156" s="6">
        <v>45212</v>
      </c>
      <c r="I156" s="29">
        <v>1.52</v>
      </c>
      <c r="J156" s="30">
        <f t="shared" si="82"/>
        <v>3.4013605442176909E-2</v>
      </c>
      <c r="K156" s="35">
        <f t="shared" si="83"/>
        <v>160</v>
      </c>
      <c r="L156" s="21">
        <f t="shared" si="84"/>
        <v>9</v>
      </c>
      <c r="M156" s="9">
        <f t="shared" si="85"/>
        <v>1</v>
      </c>
      <c r="N156">
        <f t="shared" si="86"/>
        <v>160</v>
      </c>
      <c r="O156">
        <f t="shared" si="87"/>
        <v>0</v>
      </c>
    </row>
    <row r="157" spans="1:18">
      <c r="A157" s="6">
        <v>45203</v>
      </c>
      <c r="B157" s="13" t="s">
        <v>132</v>
      </c>
      <c r="C157" s="9">
        <v>626</v>
      </c>
      <c r="D157">
        <v>1.45</v>
      </c>
      <c r="E157" s="29">
        <v>3</v>
      </c>
      <c r="F157" s="50">
        <v>1.2</v>
      </c>
      <c r="G157" s="21">
        <f t="shared" si="81"/>
        <v>7.2</v>
      </c>
      <c r="H157" s="6">
        <v>45210</v>
      </c>
      <c r="I157" s="29">
        <v>1.57</v>
      </c>
      <c r="J157" s="30">
        <f t="shared" si="82"/>
        <v>8.2758620689655338E-2</v>
      </c>
      <c r="K157" s="35">
        <f t="shared" si="83"/>
        <v>75.120000000000118</v>
      </c>
      <c r="L157" s="21">
        <f t="shared" si="84"/>
        <v>7</v>
      </c>
      <c r="M157" s="9">
        <f t="shared" si="85"/>
        <v>1</v>
      </c>
      <c r="N157">
        <f t="shared" si="86"/>
        <v>75.120000000000118</v>
      </c>
      <c r="O157">
        <f t="shared" si="87"/>
        <v>0</v>
      </c>
      <c r="R157" s="28">
        <v>9320.5</v>
      </c>
    </row>
    <row r="158" spans="1:18">
      <c r="A158" s="6">
        <v>45201</v>
      </c>
      <c r="B158" t="s">
        <v>314</v>
      </c>
      <c r="C158" s="9">
        <v>7</v>
      </c>
      <c r="D158">
        <v>129.68</v>
      </c>
      <c r="E158" s="29">
        <v>145</v>
      </c>
      <c r="F158" s="50">
        <v>123</v>
      </c>
      <c r="G158" s="21">
        <f t="shared" si="81"/>
        <v>3.293413173652691</v>
      </c>
      <c r="H158" s="6">
        <v>45230</v>
      </c>
      <c r="I158" s="29">
        <v>133</v>
      </c>
      <c r="J158" s="30">
        <f t="shared" si="82"/>
        <v>2.5601480567550849E-2</v>
      </c>
      <c r="K158" s="35">
        <f t="shared" si="83"/>
        <v>23.240000000000009</v>
      </c>
      <c r="L158" s="21">
        <f t="shared" si="84"/>
        <v>29</v>
      </c>
      <c r="M158" s="9">
        <f t="shared" si="85"/>
        <v>1</v>
      </c>
      <c r="N158">
        <f t="shared" si="86"/>
        <v>23.240000000000009</v>
      </c>
      <c r="O158">
        <f t="shared" si="87"/>
        <v>0</v>
      </c>
    </row>
    <row r="159" spans="1:18">
      <c r="A159" s="6">
        <v>45201</v>
      </c>
      <c r="B159" t="s">
        <v>137</v>
      </c>
      <c r="C159" s="9">
        <v>28</v>
      </c>
      <c r="D159">
        <v>25.61</v>
      </c>
      <c r="E159" s="29">
        <v>30</v>
      </c>
      <c r="F159" s="50">
        <v>25.2</v>
      </c>
      <c r="G159" s="21">
        <f t="shared" si="81"/>
        <v>11.70731707317073</v>
      </c>
      <c r="H159" s="6">
        <v>45217</v>
      </c>
      <c r="I159" s="29">
        <v>27.15</v>
      </c>
      <c r="J159" s="30">
        <f t="shared" si="82"/>
        <v>6.0132760640374761E-2</v>
      </c>
      <c r="K159" s="35">
        <f t="shared" si="83"/>
        <v>43.120000000000005</v>
      </c>
      <c r="L159" s="21">
        <f t="shared" si="84"/>
        <v>16</v>
      </c>
      <c r="M159" s="9">
        <f t="shared" si="85"/>
        <v>1</v>
      </c>
      <c r="N159">
        <f t="shared" si="86"/>
        <v>43.120000000000005</v>
      </c>
      <c r="O159">
        <f t="shared" si="87"/>
        <v>0</v>
      </c>
    </row>
    <row r="160" spans="1:18">
      <c r="A160" s="6">
        <v>45201</v>
      </c>
      <c r="B160" t="s">
        <v>286</v>
      </c>
      <c r="C160" s="9">
        <v>161</v>
      </c>
      <c r="D160">
        <v>41.39</v>
      </c>
      <c r="E160" s="29">
        <v>45</v>
      </c>
      <c r="F160" s="75">
        <v>40</v>
      </c>
      <c r="G160" s="21">
        <f t="shared" si="81"/>
        <v>3.5971223021582719</v>
      </c>
      <c r="H160" s="6">
        <v>45205</v>
      </c>
      <c r="I160" s="29">
        <v>41.6</v>
      </c>
      <c r="J160" s="30">
        <f t="shared" si="82"/>
        <v>5.0736892969316383E-3</v>
      </c>
      <c r="K160" s="35">
        <f t="shared" si="83"/>
        <v>33.8100000000004</v>
      </c>
      <c r="L160" s="21">
        <f t="shared" si="84"/>
        <v>4</v>
      </c>
      <c r="M160" s="9">
        <f t="shared" si="85"/>
        <v>1</v>
      </c>
      <c r="N160">
        <f t="shared" si="86"/>
        <v>33.8100000000004</v>
      </c>
      <c r="O160">
        <f t="shared" si="87"/>
        <v>0</v>
      </c>
    </row>
    <row r="161" spans="1:18">
      <c r="A161" s="6">
        <v>45201</v>
      </c>
      <c r="B161" t="s">
        <v>692</v>
      </c>
      <c r="C161" s="9">
        <v>19</v>
      </c>
      <c r="D161">
        <v>283.5</v>
      </c>
      <c r="E161" s="29">
        <v>325</v>
      </c>
      <c r="F161" s="50">
        <v>278</v>
      </c>
      <c r="G161" s="21">
        <f t="shared" si="81"/>
        <v>8.545454545454545</v>
      </c>
      <c r="H161" s="6">
        <v>45205</v>
      </c>
      <c r="I161" s="29">
        <v>292</v>
      </c>
      <c r="J161" s="30">
        <f t="shared" si="82"/>
        <v>2.9982363315696592E-2</v>
      </c>
      <c r="K161" s="35">
        <f t="shared" si="83"/>
        <v>161.5</v>
      </c>
      <c r="L161" s="21">
        <f t="shared" si="84"/>
        <v>4</v>
      </c>
      <c r="M161" s="9">
        <f t="shared" si="85"/>
        <v>1</v>
      </c>
      <c r="N161">
        <f t="shared" si="86"/>
        <v>161.5</v>
      </c>
      <c r="O161">
        <f t="shared" si="87"/>
        <v>0</v>
      </c>
      <c r="R161" s="28">
        <v>11025.32</v>
      </c>
    </row>
    <row r="162" spans="1:18">
      <c r="A162" s="6">
        <v>45191</v>
      </c>
      <c r="B162" t="s">
        <v>708</v>
      </c>
      <c r="C162" s="9">
        <v>25</v>
      </c>
      <c r="D162">
        <v>230.5</v>
      </c>
      <c r="E162" s="29">
        <v>260</v>
      </c>
      <c r="F162" s="50">
        <v>220</v>
      </c>
      <c r="G162" s="21">
        <f t="shared" ref="G162:G178" si="88" xml:space="preserve"> (E162 - F162)/(D162-F162)</f>
        <v>3.8095238095238093</v>
      </c>
      <c r="H162" s="6">
        <v>45203</v>
      </c>
      <c r="I162" s="16">
        <v>209.65</v>
      </c>
      <c r="J162" s="25">
        <f t="shared" si="82"/>
        <v>-9.045553145336227E-2</v>
      </c>
      <c r="K162" s="36">
        <f t="shared" si="83"/>
        <v>-521.25</v>
      </c>
      <c r="L162" s="24">
        <f t="shared" si="84"/>
        <v>12</v>
      </c>
      <c r="M162" s="52">
        <f t="shared" si="85"/>
        <v>0</v>
      </c>
      <c r="N162" s="24">
        <f t="shared" si="86"/>
        <v>0</v>
      </c>
      <c r="O162" s="17">
        <f t="shared" si="87"/>
        <v>-521.25</v>
      </c>
    </row>
    <row r="163" spans="1:18">
      <c r="A163" s="6">
        <v>45191</v>
      </c>
      <c r="B163" t="s">
        <v>521</v>
      </c>
      <c r="C163" s="9">
        <v>32</v>
      </c>
      <c r="D163">
        <v>130.93</v>
      </c>
      <c r="E163" s="29">
        <v>140</v>
      </c>
      <c r="F163" s="50">
        <v>130</v>
      </c>
      <c r="G163" s="21">
        <f t="shared" si="88"/>
        <v>10.752688172042932</v>
      </c>
      <c r="H163" s="6">
        <v>45203</v>
      </c>
      <c r="I163" s="29">
        <v>135.5</v>
      </c>
      <c r="J163" s="30">
        <f t="shared" si="82"/>
        <v>3.4904147254257945E-2</v>
      </c>
      <c r="K163" s="35">
        <f t="shared" si="83"/>
        <v>146.23999999999978</v>
      </c>
      <c r="L163" s="21">
        <f t="shared" si="84"/>
        <v>12</v>
      </c>
      <c r="M163" s="9">
        <f t="shared" si="85"/>
        <v>1</v>
      </c>
      <c r="N163">
        <f t="shared" si="86"/>
        <v>146.23999999999978</v>
      </c>
      <c r="O163">
        <f t="shared" si="87"/>
        <v>0</v>
      </c>
    </row>
    <row r="164" spans="1:18">
      <c r="A164" s="6">
        <v>45187</v>
      </c>
      <c r="B164" t="s">
        <v>697</v>
      </c>
      <c r="C164" s="9">
        <v>35</v>
      </c>
      <c r="D164">
        <v>24.92</v>
      </c>
      <c r="E164" s="29">
        <v>30</v>
      </c>
      <c r="F164" s="50">
        <v>24</v>
      </c>
      <c r="G164" s="21">
        <f t="shared" si="88"/>
        <v>6.5217391304347707</v>
      </c>
      <c r="H164" s="6">
        <v>45245</v>
      </c>
      <c r="I164" s="29">
        <v>26.04</v>
      </c>
      <c r="J164" s="30">
        <f>I164/D164 -1</f>
        <v>4.4943820224718989E-2</v>
      </c>
      <c r="K164" s="35">
        <f>(C164*I164) - (C164*D164)</f>
        <v>39.199999999999932</v>
      </c>
      <c r="L164" s="21">
        <f>H164-A164</f>
        <v>58</v>
      </c>
      <c r="M164" s="9">
        <f>IF(J164&gt;0,1,0)</f>
        <v>1</v>
      </c>
      <c r="N164">
        <f>IF(K164&gt;0, K164, 0)</f>
        <v>39.199999999999932</v>
      </c>
      <c r="O164">
        <f>IF(K164&lt;0, K164, 0)</f>
        <v>0</v>
      </c>
    </row>
    <row r="165" spans="1:18">
      <c r="A165" s="6">
        <v>45187</v>
      </c>
      <c r="B165" t="s">
        <v>229</v>
      </c>
      <c r="C165" s="9">
        <v>50</v>
      </c>
      <c r="D165">
        <v>113.9</v>
      </c>
      <c r="E165" s="29">
        <v>120</v>
      </c>
      <c r="F165" s="50">
        <v>110</v>
      </c>
      <c r="G165" s="21">
        <f t="shared" si="88"/>
        <v>2.5641025641025603</v>
      </c>
      <c r="H165" s="6">
        <v>45246</v>
      </c>
      <c r="I165" s="29">
        <v>115.72</v>
      </c>
      <c r="J165" s="30">
        <f>I165/D165 -1</f>
        <v>1.5978928884986754E-2</v>
      </c>
      <c r="K165" s="35">
        <f>(C165*I165) - (C165*D165)</f>
        <v>91</v>
      </c>
      <c r="L165" s="21">
        <f>H165-A165</f>
        <v>59</v>
      </c>
      <c r="M165" s="9">
        <f>IF(J165&gt;0,1,0)</f>
        <v>1</v>
      </c>
      <c r="N165">
        <f>IF(K165&gt;0, K165, 0)</f>
        <v>91</v>
      </c>
      <c r="O165">
        <f>IF(K165&lt;0, K165, 0)</f>
        <v>0</v>
      </c>
    </row>
    <row r="166" spans="1:18">
      <c r="A166" s="6">
        <v>45187</v>
      </c>
      <c r="B166" t="s">
        <v>685</v>
      </c>
      <c r="C166" s="9">
        <v>35</v>
      </c>
      <c r="D166">
        <v>163.57</v>
      </c>
      <c r="E166" s="29">
        <v>170</v>
      </c>
      <c r="F166" s="50">
        <v>160</v>
      </c>
      <c r="G166" s="21">
        <f t="shared" si="88"/>
        <v>2.8011204481792769</v>
      </c>
      <c r="H166" s="6">
        <v>45223</v>
      </c>
      <c r="I166" s="16">
        <v>144.9</v>
      </c>
      <c r="J166" s="25">
        <f>I166/D166 -1</f>
        <v>-0.11414073485357945</v>
      </c>
      <c r="K166" s="36">
        <f>(C166*I166) - (C166*D166)</f>
        <v>-653.44999999999982</v>
      </c>
      <c r="L166" s="24">
        <f t="shared" ref="L166:L174" si="89">H166-A166</f>
        <v>36</v>
      </c>
      <c r="M166" s="52">
        <f>IF(J166&gt;0,1,0)</f>
        <v>0</v>
      </c>
      <c r="N166" s="24">
        <f>IF(K166&gt;0, K166, 0)</f>
        <v>0</v>
      </c>
      <c r="O166" s="17">
        <f>IF(K166&lt;0, K166, 0)</f>
        <v>-653.44999999999982</v>
      </c>
    </row>
    <row r="167" spans="1:18">
      <c r="A167" s="6">
        <v>45183</v>
      </c>
      <c r="B167" t="s">
        <v>287</v>
      </c>
      <c r="C167" s="9">
        <v>14</v>
      </c>
      <c r="D167">
        <v>41.43</v>
      </c>
      <c r="E167" s="29">
        <v>45</v>
      </c>
      <c r="F167" s="50">
        <v>39</v>
      </c>
      <c r="G167" s="21">
        <f t="shared" si="88"/>
        <v>2.4691358024691361</v>
      </c>
      <c r="H167" s="6">
        <v>45246</v>
      </c>
      <c r="I167" s="29">
        <v>43.1</v>
      </c>
      <c r="J167" s="30">
        <f>I167/D167 -1</f>
        <v>4.0308954863625512E-2</v>
      </c>
      <c r="K167" s="35">
        <f>(C167*I167) - (C167*D167)</f>
        <v>23.379999999999995</v>
      </c>
      <c r="L167" s="21">
        <f>H167-A167</f>
        <v>63</v>
      </c>
      <c r="M167" s="9">
        <f>IF(J167&gt;0,1,0)</f>
        <v>1</v>
      </c>
      <c r="N167">
        <f>IF(K167&gt;0, K167, 0)</f>
        <v>23.379999999999995</v>
      </c>
      <c r="O167">
        <f>IF(K167&lt;0, K167, 0)</f>
        <v>0</v>
      </c>
    </row>
    <row r="168" spans="1:18">
      <c r="A168" s="6">
        <v>45182</v>
      </c>
      <c r="B168" t="s">
        <v>629</v>
      </c>
      <c r="C168" s="9">
        <v>261</v>
      </c>
      <c r="D168">
        <v>2.59</v>
      </c>
      <c r="E168" s="29">
        <v>6</v>
      </c>
      <c r="F168" s="50">
        <v>2</v>
      </c>
      <c r="G168" s="21">
        <f t="shared" si="88"/>
        <v>6.779661016949154</v>
      </c>
      <c r="H168" s="6">
        <v>45205</v>
      </c>
      <c r="I168" s="29">
        <v>2.95</v>
      </c>
      <c r="J168" s="30">
        <f>I168/D168 -1</f>
        <v>0.13899613899613916</v>
      </c>
      <c r="K168" s="35">
        <f>(C168*I168) - (C168*D168)</f>
        <v>93.960000000000036</v>
      </c>
      <c r="L168" s="21">
        <f t="shared" si="89"/>
        <v>23</v>
      </c>
      <c r="M168" s="9">
        <f>IF(J168&gt;0,1,0)</f>
        <v>1</v>
      </c>
      <c r="N168">
        <f>IF(K168&gt;0, K168, 0)</f>
        <v>93.960000000000036</v>
      </c>
      <c r="O168">
        <f>IF(K168&lt;0, K168, 0)</f>
        <v>0</v>
      </c>
      <c r="R168" s="28">
        <v>11214.95</v>
      </c>
    </row>
    <row r="169" spans="1:18">
      <c r="A169" s="6">
        <v>45181</v>
      </c>
      <c r="B169" t="s">
        <v>229</v>
      </c>
      <c r="C169" s="9">
        <v>53</v>
      </c>
      <c r="D169">
        <v>109.7</v>
      </c>
      <c r="E169" s="29">
        <v>120</v>
      </c>
      <c r="F169" s="50">
        <v>105</v>
      </c>
      <c r="G169" s="21">
        <f t="shared" si="88"/>
        <v>3.1914893617021258</v>
      </c>
      <c r="H169" s="6">
        <v>45184</v>
      </c>
      <c r="I169" s="29">
        <v>113.8</v>
      </c>
      <c r="J169" s="30">
        <f t="shared" ref="J169:J174" si="90">I169/D169 -1</f>
        <v>3.7374658158614293E-2</v>
      </c>
      <c r="K169" s="35">
        <f t="shared" ref="K169:K174" si="91">(C169*I169) - (C169*D169)</f>
        <v>217.29999999999927</v>
      </c>
      <c r="L169" s="21">
        <f t="shared" si="89"/>
        <v>3</v>
      </c>
      <c r="M169" s="9">
        <f t="shared" ref="M169:M174" si="92">IF(J169&gt;0,1,0)</f>
        <v>1</v>
      </c>
      <c r="N169">
        <f t="shared" ref="N169:N174" si="93">IF(K169&gt;0, K169, 0)</f>
        <v>217.29999999999927</v>
      </c>
      <c r="O169">
        <f t="shared" ref="O169:O174" si="94">IF(K169&lt;0, K169, 0)</f>
        <v>0</v>
      </c>
      <c r="R169" s="28">
        <v>10809.91</v>
      </c>
    </row>
    <row r="170" spans="1:18">
      <c r="A170" s="6">
        <v>45180</v>
      </c>
      <c r="B170" t="s">
        <v>287</v>
      </c>
      <c r="C170" s="9">
        <v>140</v>
      </c>
      <c r="D170">
        <v>41</v>
      </c>
      <c r="E170" s="29">
        <v>45</v>
      </c>
      <c r="F170" s="50">
        <v>39</v>
      </c>
      <c r="G170" s="21">
        <f t="shared" si="88"/>
        <v>3</v>
      </c>
      <c r="H170" s="6">
        <v>45181</v>
      </c>
      <c r="I170" s="29">
        <v>41.61</v>
      </c>
      <c r="J170" s="30">
        <f t="shared" si="90"/>
        <v>1.4878048780487818E-2</v>
      </c>
      <c r="K170" s="35">
        <f t="shared" si="91"/>
        <v>85.399999999999636</v>
      </c>
      <c r="L170" s="21">
        <f t="shared" si="89"/>
        <v>1</v>
      </c>
      <c r="M170" s="9">
        <f t="shared" si="92"/>
        <v>1</v>
      </c>
      <c r="N170">
        <f t="shared" si="93"/>
        <v>85.399999999999636</v>
      </c>
      <c r="O170">
        <f t="shared" si="94"/>
        <v>0</v>
      </c>
      <c r="R170" s="28">
        <v>10853.73</v>
      </c>
    </row>
    <row r="171" spans="1:18">
      <c r="A171" s="6">
        <v>45180</v>
      </c>
      <c r="B171" t="s">
        <v>498</v>
      </c>
      <c r="C171" s="9">
        <v>32</v>
      </c>
      <c r="D171">
        <v>162.15</v>
      </c>
      <c r="E171" s="29">
        <v>180</v>
      </c>
      <c r="F171" s="50">
        <v>160</v>
      </c>
      <c r="G171" s="21">
        <f t="shared" si="88"/>
        <v>9.3023255813953245</v>
      </c>
      <c r="H171" s="6">
        <v>45210</v>
      </c>
      <c r="I171" s="16">
        <v>156.69999999999999</v>
      </c>
      <c r="J171" s="25">
        <f t="shared" si="90"/>
        <v>-3.3610854147394509E-2</v>
      </c>
      <c r="K171" s="36">
        <f t="shared" si="91"/>
        <v>-174.40000000000055</v>
      </c>
      <c r="L171" s="24">
        <f t="shared" si="89"/>
        <v>30</v>
      </c>
      <c r="M171" s="52">
        <f t="shared" si="92"/>
        <v>0</v>
      </c>
      <c r="N171" s="24">
        <f t="shared" si="93"/>
        <v>0</v>
      </c>
      <c r="O171" s="17">
        <f t="shared" si="94"/>
        <v>-174.40000000000055</v>
      </c>
    </row>
    <row r="172" spans="1:18">
      <c r="A172" s="6">
        <v>45180</v>
      </c>
      <c r="B172" t="s">
        <v>508</v>
      </c>
      <c r="C172" s="9">
        <v>23</v>
      </c>
      <c r="D172">
        <v>307.2</v>
      </c>
      <c r="E172" s="29">
        <v>330</v>
      </c>
      <c r="F172" s="50">
        <v>300</v>
      </c>
      <c r="G172" s="21">
        <f t="shared" si="88"/>
        <v>4.1666666666666732</v>
      </c>
      <c r="H172" s="6">
        <v>45205</v>
      </c>
      <c r="I172" s="29">
        <v>314</v>
      </c>
      <c r="J172" s="30">
        <f t="shared" si="90"/>
        <v>2.2135416666666741E-2</v>
      </c>
      <c r="K172" s="35">
        <f t="shared" si="91"/>
        <v>156.40000000000055</v>
      </c>
      <c r="L172" s="21">
        <f t="shared" si="89"/>
        <v>25</v>
      </c>
      <c r="M172" s="9">
        <f t="shared" si="92"/>
        <v>1</v>
      </c>
      <c r="N172">
        <f t="shared" si="93"/>
        <v>156.40000000000055</v>
      </c>
      <c r="O172">
        <f t="shared" si="94"/>
        <v>0</v>
      </c>
      <c r="R172" s="28">
        <v>10856.98</v>
      </c>
    </row>
    <row r="173" spans="1:18">
      <c r="A173" s="6">
        <v>45176</v>
      </c>
      <c r="B173" s="89" t="s">
        <v>428</v>
      </c>
      <c r="C173" s="9">
        <v>18</v>
      </c>
      <c r="D173">
        <v>41.87</v>
      </c>
      <c r="E173" s="29">
        <v>45</v>
      </c>
      <c r="F173" s="50">
        <v>41</v>
      </c>
      <c r="G173" s="21">
        <f t="shared" si="88"/>
        <v>4.5977011494253013</v>
      </c>
      <c r="H173" s="6">
        <v>45203</v>
      </c>
      <c r="I173" s="16">
        <v>39.6</v>
      </c>
      <c r="J173" s="25">
        <f t="shared" si="90"/>
        <v>-5.42154287079053E-2</v>
      </c>
      <c r="K173" s="36">
        <f t="shared" si="91"/>
        <v>-40.8599999999999</v>
      </c>
      <c r="L173" s="24">
        <f t="shared" si="89"/>
        <v>27</v>
      </c>
      <c r="M173" s="52">
        <f t="shared" si="92"/>
        <v>0</v>
      </c>
      <c r="N173" s="24">
        <f t="shared" si="93"/>
        <v>0</v>
      </c>
      <c r="O173" s="17">
        <f t="shared" si="94"/>
        <v>-40.8599999999999</v>
      </c>
      <c r="R173" s="28">
        <v>10652.28</v>
      </c>
    </row>
    <row r="174" spans="1:18">
      <c r="A174" s="6">
        <v>45176</v>
      </c>
      <c r="B174" t="s">
        <v>94</v>
      </c>
      <c r="C174" s="9">
        <v>30</v>
      </c>
      <c r="D174">
        <v>177.2</v>
      </c>
      <c r="E174" s="29">
        <v>200</v>
      </c>
      <c r="F174" s="50">
        <v>173</v>
      </c>
      <c r="G174" s="21">
        <f t="shared" si="88"/>
        <v>6.4285714285714457</v>
      </c>
      <c r="H174" s="6">
        <v>45181</v>
      </c>
      <c r="I174" s="29">
        <v>178.76</v>
      </c>
      <c r="J174" s="30">
        <f t="shared" si="90"/>
        <v>8.8036117381489198E-3</v>
      </c>
      <c r="K174" s="35">
        <f t="shared" si="91"/>
        <v>46.799999999999272</v>
      </c>
      <c r="L174" s="21">
        <f t="shared" si="89"/>
        <v>5</v>
      </c>
      <c r="M174" s="9">
        <f t="shared" si="92"/>
        <v>1</v>
      </c>
      <c r="N174">
        <f t="shared" si="93"/>
        <v>46.799999999999272</v>
      </c>
      <c r="O174">
        <f t="shared" si="94"/>
        <v>0</v>
      </c>
    </row>
    <row r="175" spans="1:18">
      <c r="A175" s="6">
        <v>45176</v>
      </c>
      <c r="B175" s="22" t="s">
        <v>705</v>
      </c>
      <c r="C175" s="57">
        <v>300</v>
      </c>
      <c r="D175">
        <v>1.34</v>
      </c>
      <c r="E175" s="29">
        <v>5</v>
      </c>
      <c r="F175" s="50">
        <v>0.6</v>
      </c>
      <c r="G175" s="21">
        <f t="shared" si="88"/>
        <v>5.9459459459459456</v>
      </c>
      <c r="H175" s="6">
        <v>45250</v>
      </c>
      <c r="I175" s="29">
        <v>2.0299999999999998</v>
      </c>
      <c r="J175" s="30">
        <f>I175/D175 -1</f>
        <v>0.51492537313432818</v>
      </c>
      <c r="K175" s="35">
        <f>(C175*I175) - (C175*D175)</f>
        <v>206.99999999999989</v>
      </c>
      <c r="L175" s="21">
        <f>H175-A175</f>
        <v>74</v>
      </c>
      <c r="M175" s="9">
        <f>IF(J175&gt;0,1,0)</f>
        <v>1</v>
      </c>
      <c r="N175">
        <f>IF(K175&gt;0, K175, 0)</f>
        <v>206.99999999999989</v>
      </c>
      <c r="O175">
        <f>IF(K175&lt;0, K175, 0)</f>
        <v>0</v>
      </c>
      <c r="R175" s="28">
        <v>10723.55</v>
      </c>
    </row>
    <row r="176" spans="1:18">
      <c r="A176" s="6">
        <v>45175</v>
      </c>
      <c r="B176" s="13" t="s">
        <v>560</v>
      </c>
      <c r="C176" s="9">
        <v>46</v>
      </c>
      <c r="D176">
        <v>18.149999999999999</v>
      </c>
      <c r="E176" s="29">
        <v>20</v>
      </c>
      <c r="F176" s="50">
        <v>17.399999999999999</v>
      </c>
      <c r="G176" s="21">
        <f t="shared" si="88"/>
        <v>3.4666666666666686</v>
      </c>
      <c r="H176" s="6">
        <v>45201</v>
      </c>
      <c r="I176" s="29">
        <v>19.899999999999999</v>
      </c>
      <c r="J176" s="30">
        <f t="shared" ref="J176:J187" si="95">I176/D176 -1</f>
        <v>9.6418732782369121E-2</v>
      </c>
      <c r="K176" s="35">
        <f t="shared" ref="K176:K187" si="96">(C176*I176) - (C176*D176)</f>
        <v>80.5</v>
      </c>
      <c r="L176" s="21">
        <f t="shared" ref="L176:L186" si="97">H176-A176</f>
        <v>26</v>
      </c>
      <c r="M176" s="9">
        <f t="shared" ref="M176:M187" si="98">IF(J176&gt;0,1,0)</f>
        <v>1</v>
      </c>
      <c r="N176">
        <f t="shared" ref="N176:N187" si="99">IF(K176&gt;0, K176, 0)</f>
        <v>80.5</v>
      </c>
      <c r="O176">
        <f t="shared" ref="O176:O187" si="100">IF(K176&lt;0, K176, 0)</f>
        <v>0</v>
      </c>
    </row>
    <row r="177" spans="1:18">
      <c r="A177" s="6">
        <v>45175</v>
      </c>
      <c r="B177" s="94" t="s">
        <v>358</v>
      </c>
      <c r="C177" s="9">
        <v>89</v>
      </c>
      <c r="D177">
        <v>45.5</v>
      </c>
      <c r="E177" s="29">
        <v>48</v>
      </c>
      <c r="F177" s="50">
        <v>42</v>
      </c>
      <c r="G177" s="21">
        <f t="shared" si="88"/>
        <v>1.7142857142857142</v>
      </c>
      <c r="H177" s="6">
        <v>45203</v>
      </c>
      <c r="I177" s="16">
        <v>43.7</v>
      </c>
      <c r="J177" s="25">
        <f t="shared" si="95"/>
        <v>-3.9560439560439531E-2</v>
      </c>
      <c r="K177" s="36">
        <f t="shared" si="96"/>
        <v>-160.19999999999982</v>
      </c>
      <c r="L177" s="24">
        <f t="shared" si="97"/>
        <v>28</v>
      </c>
      <c r="M177" s="52">
        <f t="shared" si="98"/>
        <v>0</v>
      </c>
      <c r="N177" s="24">
        <f t="shared" si="99"/>
        <v>0</v>
      </c>
      <c r="O177" s="17">
        <f t="shared" si="100"/>
        <v>-160.19999999999982</v>
      </c>
    </row>
    <row r="178" spans="1:18">
      <c r="A178" s="6">
        <v>45175</v>
      </c>
      <c r="B178" t="s">
        <v>316</v>
      </c>
      <c r="C178" s="9">
        <v>12</v>
      </c>
      <c r="D178">
        <v>445.05</v>
      </c>
      <c r="E178" s="29">
        <v>500</v>
      </c>
      <c r="F178" s="50">
        <v>415</v>
      </c>
      <c r="G178" s="21">
        <f t="shared" si="88"/>
        <v>2.8286189683860221</v>
      </c>
      <c r="H178" s="6">
        <v>45177</v>
      </c>
      <c r="I178" s="16">
        <v>442.18</v>
      </c>
      <c r="J178" s="25">
        <f t="shared" si="95"/>
        <v>-6.4487136276822898E-3</v>
      </c>
      <c r="K178" s="36">
        <f t="shared" si="96"/>
        <v>-34.440000000000509</v>
      </c>
      <c r="L178" s="24">
        <f t="shared" si="97"/>
        <v>2</v>
      </c>
      <c r="M178" s="52">
        <f t="shared" si="98"/>
        <v>0</v>
      </c>
      <c r="N178" s="24">
        <f t="shared" si="99"/>
        <v>0</v>
      </c>
      <c r="O178" s="17">
        <f t="shared" si="100"/>
        <v>-34.440000000000509</v>
      </c>
      <c r="R178" s="28">
        <v>10751.86</v>
      </c>
    </row>
    <row r="179" spans="1:18">
      <c r="A179" s="6">
        <v>45174</v>
      </c>
      <c r="B179" s="61" t="s">
        <v>685</v>
      </c>
      <c r="C179" s="9">
        <v>35</v>
      </c>
      <c r="D179">
        <v>160</v>
      </c>
      <c r="E179" s="29">
        <v>170</v>
      </c>
      <c r="F179" s="50">
        <v>159</v>
      </c>
      <c r="G179" s="21">
        <f t="shared" ref="G179:G185" si="101" xml:space="preserve"> (E179 - F179)/(D179-F179)</f>
        <v>11</v>
      </c>
      <c r="H179" s="6">
        <v>45184</v>
      </c>
      <c r="I179" s="29">
        <v>163.9</v>
      </c>
      <c r="J179" s="30">
        <f t="shared" si="95"/>
        <v>2.4375000000000036E-2</v>
      </c>
      <c r="K179" s="35">
        <f t="shared" si="96"/>
        <v>136.5</v>
      </c>
      <c r="L179" s="21">
        <f t="shared" si="97"/>
        <v>10</v>
      </c>
      <c r="M179" s="9">
        <f t="shared" si="98"/>
        <v>1</v>
      </c>
      <c r="N179">
        <f t="shared" si="99"/>
        <v>136.5</v>
      </c>
      <c r="O179">
        <f t="shared" si="100"/>
        <v>0</v>
      </c>
      <c r="R179" s="28"/>
    </row>
    <row r="180" spans="1:18">
      <c r="A180" s="6">
        <v>45174</v>
      </c>
      <c r="B180" s="61" t="s">
        <v>611</v>
      </c>
      <c r="C180" s="9">
        <v>44</v>
      </c>
      <c r="D180">
        <v>143</v>
      </c>
      <c r="E180" s="29">
        <v>155</v>
      </c>
      <c r="F180" s="50">
        <v>140</v>
      </c>
      <c r="G180" s="21">
        <f t="shared" si="101"/>
        <v>5</v>
      </c>
      <c r="H180" s="6">
        <v>45177</v>
      </c>
      <c r="I180" s="29">
        <v>145.66</v>
      </c>
      <c r="J180" s="30">
        <f t="shared" si="95"/>
        <v>1.8601398601398644E-2</v>
      </c>
      <c r="K180" s="35">
        <f t="shared" si="96"/>
        <v>117.03999999999996</v>
      </c>
      <c r="L180" s="21">
        <f t="shared" si="97"/>
        <v>3</v>
      </c>
      <c r="M180" s="9">
        <f t="shared" si="98"/>
        <v>1</v>
      </c>
      <c r="N180">
        <f t="shared" si="99"/>
        <v>117.03999999999996</v>
      </c>
      <c r="O180">
        <f t="shared" si="100"/>
        <v>0</v>
      </c>
    </row>
    <row r="181" spans="1:18">
      <c r="A181" s="6">
        <v>45174</v>
      </c>
      <c r="B181" s="13" t="s">
        <v>20</v>
      </c>
      <c r="C181" s="9">
        <v>17</v>
      </c>
      <c r="D181">
        <v>341.8</v>
      </c>
      <c r="E181" s="29">
        <v>375</v>
      </c>
      <c r="F181" s="50">
        <v>325</v>
      </c>
      <c r="G181" s="21">
        <f t="shared" si="101"/>
        <v>2.9761904761904741</v>
      </c>
      <c r="H181" s="6">
        <v>45250</v>
      </c>
      <c r="I181" s="29">
        <v>345.3</v>
      </c>
      <c r="J181" s="30">
        <f t="shared" si="95"/>
        <v>1.0239906377998764E-2</v>
      </c>
      <c r="K181" s="35">
        <f t="shared" si="96"/>
        <v>59.5</v>
      </c>
      <c r="L181" s="21">
        <f t="shared" si="97"/>
        <v>76</v>
      </c>
      <c r="M181" s="9">
        <f t="shared" si="98"/>
        <v>1</v>
      </c>
      <c r="N181">
        <f t="shared" si="99"/>
        <v>59.5</v>
      </c>
      <c r="O181">
        <f t="shared" si="100"/>
        <v>0</v>
      </c>
    </row>
    <row r="182" spans="1:18">
      <c r="A182" s="6">
        <v>45174</v>
      </c>
      <c r="B182" t="s">
        <v>704</v>
      </c>
      <c r="C182" s="9">
        <v>89</v>
      </c>
      <c r="D182">
        <v>62.91</v>
      </c>
      <c r="E182" s="29">
        <v>67.150000000000006</v>
      </c>
      <c r="F182" s="50">
        <v>62.5</v>
      </c>
      <c r="G182" s="21">
        <f t="shared" si="101"/>
        <v>11.341463414634255</v>
      </c>
      <c r="H182" s="6">
        <v>45219</v>
      </c>
      <c r="I182" s="16">
        <v>61.69</v>
      </c>
      <c r="J182" s="25">
        <f t="shared" si="95"/>
        <v>-1.9392783341281139E-2</v>
      </c>
      <c r="K182" s="36">
        <f t="shared" si="96"/>
        <v>-108.57999999999993</v>
      </c>
      <c r="L182" s="24">
        <f t="shared" si="97"/>
        <v>45</v>
      </c>
      <c r="M182" s="52">
        <f t="shared" si="98"/>
        <v>0</v>
      </c>
      <c r="N182" s="24">
        <f t="shared" si="99"/>
        <v>0</v>
      </c>
      <c r="O182" s="17">
        <f t="shared" si="100"/>
        <v>-108.57999999999993</v>
      </c>
    </row>
    <row r="183" spans="1:18">
      <c r="A183" s="6">
        <v>45174</v>
      </c>
      <c r="B183" t="s">
        <v>439</v>
      </c>
      <c r="C183" s="9">
        <v>54</v>
      </c>
      <c r="D183">
        <v>110.83</v>
      </c>
      <c r="E183" s="29">
        <v>130</v>
      </c>
      <c r="F183" s="50">
        <v>109</v>
      </c>
      <c r="G183" s="21">
        <f t="shared" si="101"/>
        <v>11.475409836065584</v>
      </c>
      <c r="H183" s="6">
        <v>45237</v>
      </c>
      <c r="I183" s="29">
        <v>113.9</v>
      </c>
      <c r="J183" s="30">
        <f t="shared" si="95"/>
        <v>2.7700081205449756E-2</v>
      </c>
      <c r="K183" s="35">
        <f t="shared" si="96"/>
        <v>165.78000000000065</v>
      </c>
      <c r="L183" s="21">
        <f t="shared" si="97"/>
        <v>63</v>
      </c>
      <c r="M183" s="9">
        <f t="shared" si="98"/>
        <v>1</v>
      </c>
      <c r="N183">
        <f t="shared" si="99"/>
        <v>165.78000000000065</v>
      </c>
      <c r="O183">
        <f t="shared" si="100"/>
        <v>0</v>
      </c>
    </row>
    <row r="184" spans="1:18">
      <c r="A184" s="6">
        <v>45174</v>
      </c>
      <c r="B184" t="s">
        <v>130</v>
      </c>
      <c r="C184" s="9">
        <v>50</v>
      </c>
      <c r="D184">
        <v>116.6</v>
      </c>
      <c r="E184" s="29">
        <v>140</v>
      </c>
      <c r="F184" s="50">
        <v>110</v>
      </c>
      <c r="G184" s="21">
        <f t="shared" si="101"/>
        <v>4.5454545454545494</v>
      </c>
      <c r="H184" s="6">
        <v>45203</v>
      </c>
      <c r="I184" s="16">
        <v>110</v>
      </c>
      <c r="J184" s="25">
        <f t="shared" si="95"/>
        <v>-5.6603773584905648E-2</v>
      </c>
      <c r="K184" s="36">
        <f t="shared" si="96"/>
        <v>-330</v>
      </c>
      <c r="L184" s="24">
        <f t="shared" si="97"/>
        <v>29</v>
      </c>
      <c r="M184" s="52">
        <f t="shared" si="98"/>
        <v>0</v>
      </c>
      <c r="N184" s="24">
        <f t="shared" si="99"/>
        <v>0</v>
      </c>
      <c r="O184" s="17">
        <f t="shared" si="100"/>
        <v>-330</v>
      </c>
    </row>
    <row r="185" spans="1:18">
      <c r="A185" s="6">
        <v>45174</v>
      </c>
      <c r="B185" s="61" t="s">
        <v>697</v>
      </c>
      <c r="C185" s="9">
        <v>215</v>
      </c>
      <c r="D185">
        <v>26.12</v>
      </c>
      <c r="E185" s="29">
        <v>32</v>
      </c>
      <c r="F185" s="50">
        <v>26</v>
      </c>
      <c r="G185" s="21">
        <f t="shared" si="101"/>
        <v>49.999999999999588</v>
      </c>
      <c r="H185" s="6">
        <v>45181</v>
      </c>
      <c r="I185" s="16">
        <v>25.49</v>
      </c>
      <c r="J185" s="25">
        <f t="shared" si="95"/>
        <v>-2.4119448698315615E-2</v>
      </c>
      <c r="K185" s="36">
        <f t="shared" si="96"/>
        <v>-135.45000000000073</v>
      </c>
      <c r="L185" s="24">
        <f t="shared" si="97"/>
        <v>7</v>
      </c>
      <c r="M185" s="52">
        <f t="shared" si="98"/>
        <v>0</v>
      </c>
      <c r="N185" s="24">
        <f t="shared" si="99"/>
        <v>0</v>
      </c>
      <c r="O185" s="17">
        <f t="shared" si="100"/>
        <v>-135.45000000000073</v>
      </c>
      <c r="R185" s="28">
        <v>10446.81</v>
      </c>
    </row>
    <row r="186" spans="1:18">
      <c r="A186" s="6">
        <v>45169</v>
      </c>
      <c r="B186" s="1" t="s">
        <v>369</v>
      </c>
      <c r="C186" s="9">
        <v>14</v>
      </c>
      <c r="D186">
        <v>46.43</v>
      </c>
      <c r="E186" s="29">
        <v>50</v>
      </c>
      <c r="F186" s="50">
        <v>46</v>
      </c>
      <c r="G186" s="21">
        <f xml:space="preserve"> (E186 - F186)/(D186-F186)</f>
        <v>9.3023255813953547</v>
      </c>
      <c r="H186" s="6">
        <v>45247</v>
      </c>
      <c r="I186" s="16">
        <v>42.4</v>
      </c>
      <c r="J186" s="25">
        <f t="shared" si="95"/>
        <v>-8.679732931294426E-2</v>
      </c>
      <c r="K186" s="36">
        <f t="shared" si="96"/>
        <v>-56.419999999999959</v>
      </c>
      <c r="L186" s="24">
        <f t="shared" si="97"/>
        <v>78</v>
      </c>
      <c r="M186" s="52">
        <f t="shared" si="98"/>
        <v>0</v>
      </c>
      <c r="N186" s="24">
        <f t="shared" si="99"/>
        <v>0</v>
      </c>
      <c r="O186" s="17">
        <f t="shared" si="100"/>
        <v>-56.419999999999959</v>
      </c>
      <c r="R186" s="28">
        <v>9998.01</v>
      </c>
    </row>
    <row r="187" spans="1:18">
      <c r="A187" s="6">
        <v>45169</v>
      </c>
      <c r="B187" s="1" t="s">
        <v>686</v>
      </c>
      <c r="C187" s="9">
        <v>14</v>
      </c>
      <c r="D187">
        <v>42.13</v>
      </c>
      <c r="E187" s="29">
        <v>55</v>
      </c>
      <c r="F187" s="50">
        <v>41.5</v>
      </c>
      <c r="G187" s="21">
        <f xml:space="preserve"> (E187 - F187)/(D187-F187)</f>
        <v>21.428571428571342</v>
      </c>
      <c r="H187" s="6">
        <v>45182</v>
      </c>
      <c r="I187" s="16">
        <v>39</v>
      </c>
      <c r="J187" s="25">
        <f t="shared" si="95"/>
        <v>-7.4293852361737578E-2</v>
      </c>
      <c r="K187" s="36">
        <f t="shared" si="96"/>
        <v>-43.82000000000005</v>
      </c>
      <c r="L187" s="24">
        <f t="shared" ref="L187:L201" si="102">H187-A187</f>
        <v>13</v>
      </c>
      <c r="M187" s="52">
        <f t="shared" si="98"/>
        <v>0</v>
      </c>
      <c r="N187" s="24">
        <f t="shared" si="99"/>
        <v>0</v>
      </c>
      <c r="O187" s="17">
        <f t="shared" si="100"/>
        <v>-43.82000000000005</v>
      </c>
    </row>
    <row r="188" spans="1:18">
      <c r="A188" s="6">
        <v>45169</v>
      </c>
      <c r="B188" t="s">
        <v>227</v>
      </c>
      <c r="C188" s="9">
        <v>8</v>
      </c>
      <c r="D188">
        <v>561.79999999999995</v>
      </c>
      <c r="E188" s="29">
        <v>600</v>
      </c>
      <c r="F188" s="50">
        <v>550</v>
      </c>
      <c r="G188" s="21">
        <f xml:space="preserve"> (E188 - F188)/(D188-F188)</f>
        <v>4.2372881355932366</v>
      </c>
      <c r="H188" s="6">
        <v>45170</v>
      </c>
      <c r="I188" s="29">
        <v>563</v>
      </c>
      <c r="J188" s="30">
        <f t="shared" ref="J188:J200" si="103">I188/D188 -1</f>
        <v>2.1359914560341586E-3</v>
      </c>
      <c r="K188" s="35">
        <f t="shared" ref="K188:K200" si="104">(C188*I188) - (C188*D188)</f>
        <v>9.6000000000003638</v>
      </c>
      <c r="L188" s="21">
        <f t="shared" si="102"/>
        <v>1</v>
      </c>
      <c r="M188" s="9">
        <f t="shared" ref="M188:M200" si="105">IF(J188&gt;0,1,0)</f>
        <v>1</v>
      </c>
      <c r="N188">
        <f t="shared" ref="N188:N200" si="106">IF(K188&gt;0, K188, 0)</f>
        <v>9.6000000000003638</v>
      </c>
      <c r="O188">
        <f t="shared" ref="O188:O200" si="107">IF(K188&lt;0, K188, 0)</f>
        <v>0</v>
      </c>
    </row>
    <row r="189" spans="1:18">
      <c r="A189" s="6">
        <v>45169</v>
      </c>
      <c r="B189" s="89" t="s">
        <v>697</v>
      </c>
      <c r="C189" s="9">
        <v>170</v>
      </c>
      <c r="D189">
        <v>26.6</v>
      </c>
      <c r="E189" s="29">
        <v>30</v>
      </c>
      <c r="F189" s="50">
        <v>26</v>
      </c>
      <c r="G189" s="21">
        <f xml:space="preserve"> (E189 - F189)/(D189-F189)</f>
        <v>6.666666666666651</v>
      </c>
      <c r="H189" s="6">
        <v>45170</v>
      </c>
      <c r="I189" s="29">
        <v>26.7</v>
      </c>
      <c r="J189" s="30">
        <f t="shared" si="103"/>
        <v>3.759398496240518E-3</v>
      </c>
      <c r="K189" s="35">
        <f t="shared" si="104"/>
        <v>17</v>
      </c>
      <c r="L189" s="21">
        <f t="shared" si="102"/>
        <v>1</v>
      </c>
      <c r="M189" s="9">
        <f t="shared" si="105"/>
        <v>1</v>
      </c>
      <c r="N189">
        <f t="shared" si="106"/>
        <v>17</v>
      </c>
      <c r="O189">
        <f t="shared" si="107"/>
        <v>0</v>
      </c>
      <c r="R189" s="28">
        <v>9333.0400000000009</v>
      </c>
    </row>
    <row r="190" spans="1:18">
      <c r="A190" s="6">
        <v>45167</v>
      </c>
      <c r="B190" s="1" t="s">
        <v>137</v>
      </c>
      <c r="C190" s="9">
        <v>21</v>
      </c>
      <c r="D190">
        <v>31.4</v>
      </c>
      <c r="E190" s="29">
        <v>33</v>
      </c>
      <c r="F190" s="50">
        <v>29</v>
      </c>
      <c r="G190" s="21">
        <f t="shared" ref="G190:G195" si="108" xml:space="preserve"> (E190 - F190)/(D190-F190)</f>
        <v>1.6666666666666676</v>
      </c>
      <c r="H190" s="6">
        <v>45183</v>
      </c>
      <c r="I190" s="16">
        <v>27.84</v>
      </c>
      <c r="J190" s="25">
        <f>I190/D190 -1</f>
        <v>-0.11337579617834392</v>
      </c>
      <c r="K190" s="36">
        <f>(C190*I190) - (C190*D190)</f>
        <v>-74.759999999999991</v>
      </c>
      <c r="L190" s="24">
        <f t="shared" si="102"/>
        <v>16</v>
      </c>
      <c r="M190" s="52">
        <f>IF(J190&gt;0,1,0)</f>
        <v>0</v>
      </c>
      <c r="N190" s="24">
        <f>IF(K190&gt;0, K190, 0)</f>
        <v>0</v>
      </c>
      <c r="O190" s="17">
        <f>IF(K190&lt;0, K190, 0)</f>
        <v>-74.759999999999991</v>
      </c>
      <c r="R190" s="28"/>
    </row>
    <row r="191" spans="1:18">
      <c r="A191" s="6">
        <v>45167</v>
      </c>
      <c r="B191" t="s">
        <v>87</v>
      </c>
      <c r="C191" s="9">
        <v>23</v>
      </c>
      <c r="D191">
        <v>255.04</v>
      </c>
      <c r="E191" s="29">
        <v>300</v>
      </c>
      <c r="F191" s="50">
        <v>250</v>
      </c>
      <c r="G191" s="21">
        <f t="shared" si="108"/>
        <v>9.9206349206349369</v>
      </c>
      <c r="H191" s="6">
        <v>45177</v>
      </c>
      <c r="I191" s="16">
        <v>248.35</v>
      </c>
      <c r="J191" s="25">
        <f t="shared" si="103"/>
        <v>-2.6231179422835593E-2</v>
      </c>
      <c r="K191" s="36">
        <f t="shared" si="104"/>
        <v>-153.86999999999989</v>
      </c>
      <c r="L191" s="24">
        <f t="shared" si="102"/>
        <v>10</v>
      </c>
      <c r="M191" s="52">
        <f t="shared" si="105"/>
        <v>0</v>
      </c>
      <c r="N191" s="24">
        <f t="shared" si="106"/>
        <v>0</v>
      </c>
      <c r="O191" s="17">
        <f t="shared" si="107"/>
        <v>-153.86999999999989</v>
      </c>
    </row>
    <row r="192" spans="1:18">
      <c r="A192" s="6">
        <v>45167</v>
      </c>
      <c r="B192" t="s">
        <v>130</v>
      </c>
      <c r="C192" s="9">
        <v>50</v>
      </c>
      <c r="D192">
        <v>113.73</v>
      </c>
      <c r="E192" s="29">
        <v>140</v>
      </c>
      <c r="F192" s="50">
        <v>110</v>
      </c>
      <c r="G192" s="21">
        <f t="shared" si="108"/>
        <v>8.0428954423592405</v>
      </c>
      <c r="H192" s="6">
        <v>45170</v>
      </c>
      <c r="I192" s="29">
        <v>115.3</v>
      </c>
      <c r="J192" s="30">
        <f t="shared" si="103"/>
        <v>1.3804624989008918E-2</v>
      </c>
      <c r="K192" s="35">
        <f t="shared" si="104"/>
        <v>78.5</v>
      </c>
      <c r="L192" s="21">
        <f t="shared" si="102"/>
        <v>3</v>
      </c>
      <c r="M192" s="9">
        <f t="shared" si="105"/>
        <v>1</v>
      </c>
      <c r="N192">
        <f t="shared" si="106"/>
        <v>78.5</v>
      </c>
      <c r="O192">
        <f t="shared" si="107"/>
        <v>0</v>
      </c>
    </row>
    <row r="193" spans="1:18">
      <c r="A193" s="6">
        <v>45167</v>
      </c>
      <c r="B193" t="s">
        <v>94</v>
      </c>
      <c r="C193" s="9">
        <v>32</v>
      </c>
      <c r="D193">
        <v>184.39</v>
      </c>
      <c r="E193" s="29">
        <v>200</v>
      </c>
      <c r="F193" s="50">
        <v>180</v>
      </c>
      <c r="G193" s="21">
        <f t="shared" si="108"/>
        <v>4.5558086560364606</v>
      </c>
      <c r="H193" s="6">
        <v>45170</v>
      </c>
      <c r="I193" s="29">
        <v>188.99</v>
      </c>
      <c r="J193" s="30">
        <f t="shared" si="103"/>
        <v>2.4947122945929934E-2</v>
      </c>
      <c r="K193" s="35">
        <f t="shared" si="104"/>
        <v>147.20000000000073</v>
      </c>
      <c r="L193" s="21">
        <f t="shared" si="102"/>
        <v>3</v>
      </c>
      <c r="M193" s="9">
        <f t="shared" si="105"/>
        <v>1</v>
      </c>
      <c r="N193">
        <f t="shared" si="106"/>
        <v>147.20000000000073</v>
      </c>
      <c r="O193">
        <f t="shared" si="107"/>
        <v>0</v>
      </c>
    </row>
    <row r="194" spans="1:18">
      <c r="A194" s="6">
        <v>45167</v>
      </c>
      <c r="B194" s="89" t="s">
        <v>696</v>
      </c>
      <c r="C194" s="9">
        <v>30</v>
      </c>
      <c r="D194">
        <v>147</v>
      </c>
      <c r="E194" s="29">
        <v>170</v>
      </c>
      <c r="F194" s="50">
        <v>140</v>
      </c>
      <c r="G194" s="21">
        <f t="shared" si="108"/>
        <v>4.2857142857142856</v>
      </c>
      <c r="H194" s="6">
        <v>45169</v>
      </c>
      <c r="I194" s="29">
        <v>162.80000000000001</v>
      </c>
      <c r="J194" s="30">
        <f t="shared" si="103"/>
        <v>0.10748299319727894</v>
      </c>
      <c r="K194" s="35">
        <f t="shared" si="104"/>
        <v>474</v>
      </c>
      <c r="L194" s="21">
        <f t="shared" si="102"/>
        <v>2</v>
      </c>
      <c r="M194" s="9">
        <f t="shared" si="105"/>
        <v>1</v>
      </c>
      <c r="N194">
        <f t="shared" si="106"/>
        <v>474</v>
      </c>
      <c r="O194">
        <f t="shared" si="107"/>
        <v>0</v>
      </c>
    </row>
    <row r="195" spans="1:18">
      <c r="A195" s="6">
        <v>45167</v>
      </c>
      <c r="B195" t="s">
        <v>508</v>
      </c>
      <c r="C195" s="9">
        <v>23</v>
      </c>
      <c r="D195">
        <v>298.39999999999998</v>
      </c>
      <c r="E195" s="29">
        <v>330</v>
      </c>
      <c r="F195" s="50">
        <v>285</v>
      </c>
      <c r="G195" s="21">
        <f t="shared" si="108"/>
        <v>3.3582089552238865</v>
      </c>
      <c r="H195" s="6">
        <v>45180</v>
      </c>
      <c r="I195" s="29">
        <v>307.3</v>
      </c>
      <c r="J195" s="30">
        <f t="shared" si="103"/>
        <v>2.9825737265415597E-2</v>
      </c>
      <c r="K195" s="35">
        <f t="shared" si="104"/>
        <v>204.70000000000073</v>
      </c>
      <c r="L195" s="21">
        <f t="shared" si="102"/>
        <v>13</v>
      </c>
      <c r="M195" s="9">
        <f t="shared" si="105"/>
        <v>1</v>
      </c>
      <c r="N195">
        <f t="shared" si="106"/>
        <v>204.70000000000073</v>
      </c>
      <c r="O195">
        <f t="shared" si="107"/>
        <v>0</v>
      </c>
      <c r="R195" s="28">
        <v>8652.02</v>
      </c>
    </row>
    <row r="196" spans="1:18">
      <c r="A196" s="6">
        <v>45166</v>
      </c>
      <c r="B196" t="s">
        <v>94</v>
      </c>
      <c r="C196" s="9">
        <v>32</v>
      </c>
      <c r="D196">
        <v>179</v>
      </c>
      <c r="E196" s="29">
        <v>200</v>
      </c>
      <c r="F196" s="50">
        <v>175</v>
      </c>
      <c r="G196" s="21">
        <f t="shared" ref="G196:G212" si="109" xml:space="preserve"> (E196 - F196)/(D196-F196)</f>
        <v>6.25</v>
      </c>
      <c r="H196" s="6">
        <v>45167</v>
      </c>
      <c r="I196" s="29">
        <v>184.51</v>
      </c>
      <c r="J196" s="30">
        <f t="shared" si="103"/>
        <v>3.0782122905027798E-2</v>
      </c>
      <c r="K196" s="35">
        <f t="shared" si="104"/>
        <v>176.31999999999971</v>
      </c>
      <c r="L196" s="21">
        <f t="shared" si="102"/>
        <v>1</v>
      </c>
      <c r="M196" s="9">
        <f t="shared" si="105"/>
        <v>1</v>
      </c>
      <c r="N196">
        <f t="shared" si="106"/>
        <v>176.31999999999971</v>
      </c>
      <c r="O196">
        <f t="shared" si="107"/>
        <v>0</v>
      </c>
    </row>
    <row r="197" spans="1:18">
      <c r="A197" s="6">
        <v>45166</v>
      </c>
      <c r="B197" t="s">
        <v>87</v>
      </c>
      <c r="C197" s="9">
        <v>23</v>
      </c>
      <c r="D197">
        <v>238.5</v>
      </c>
      <c r="E197" s="29">
        <v>300</v>
      </c>
      <c r="F197" s="50">
        <v>230</v>
      </c>
      <c r="G197" s="21">
        <f t="shared" si="109"/>
        <v>8.235294117647058</v>
      </c>
      <c r="H197" s="6">
        <v>45167</v>
      </c>
      <c r="I197" s="29">
        <v>255.05</v>
      </c>
      <c r="J197" s="30">
        <f t="shared" si="103"/>
        <v>6.9392033542976961E-2</v>
      </c>
      <c r="K197" s="35">
        <f t="shared" si="104"/>
        <v>380.65000000000055</v>
      </c>
      <c r="L197" s="21">
        <f t="shared" si="102"/>
        <v>1</v>
      </c>
      <c r="M197" s="9">
        <f t="shared" si="105"/>
        <v>1</v>
      </c>
      <c r="N197">
        <f t="shared" si="106"/>
        <v>380.65000000000055</v>
      </c>
      <c r="O197">
        <f t="shared" si="107"/>
        <v>0</v>
      </c>
    </row>
    <row r="198" spans="1:18">
      <c r="A198" s="6">
        <v>45166</v>
      </c>
      <c r="B198" t="s">
        <v>508</v>
      </c>
      <c r="C198" s="9">
        <v>23</v>
      </c>
      <c r="D198">
        <v>287.5</v>
      </c>
      <c r="E198" s="29">
        <v>330</v>
      </c>
      <c r="F198" s="50">
        <v>275</v>
      </c>
      <c r="G198" s="21">
        <f t="shared" si="109"/>
        <v>4.4000000000000004</v>
      </c>
      <c r="H198" s="6">
        <v>45167</v>
      </c>
      <c r="I198" s="29">
        <v>298.37</v>
      </c>
      <c r="J198" s="30">
        <f t="shared" si="103"/>
        <v>3.7808695652173929E-2</v>
      </c>
      <c r="K198" s="35">
        <f t="shared" si="104"/>
        <v>250.01000000000022</v>
      </c>
      <c r="L198" s="21">
        <f t="shared" si="102"/>
        <v>1</v>
      </c>
      <c r="M198" s="9">
        <f t="shared" si="105"/>
        <v>1</v>
      </c>
      <c r="N198">
        <f t="shared" si="106"/>
        <v>250.01000000000022</v>
      </c>
      <c r="O198">
        <f t="shared" si="107"/>
        <v>0</v>
      </c>
    </row>
    <row r="199" spans="1:18">
      <c r="A199" s="6">
        <v>45166</v>
      </c>
      <c r="B199" s="89" t="s">
        <v>358</v>
      </c>
      <c r="C199" s="9">
        <v>140</v>
      </c>
      <c r="D199">
        <v>43.81</v>
      </c>
      <c r="E199" s="29">
        <v>48</v>
      </c>
      <c r="F199" s="50">
        <v>42</v>
      </c>
      <c r="G199" s="21">
        <f t="shared" si="109"/>
        <v>3.3149171270718192</v>
      </c>
      <c r="H199" s="6">
        <v>45175</v>
      </c>
      <c r="I199" s="29">
        <v>45.4</v>
      </c>
      <c r="J199" s="30">
        <f t="shared" si="103"/>
        <v>3.6293083770828405E-2</v>
      </c>
      <c r="K199" s="35">
        <f t="shared" si="104"/>
        <v>222.59999999999945</v>
      </c>
      <c r="L199" s="21">
        <f t="shared" si="102"/>
        <v>9</v>
      </c>
      <c r="M199" s="9">
        <f t="shared" si="105"/>
        <v>1</v>
      </c>
      <c r="N199">
        <f t="shared" si="106"/>
        <v>222.59999999999945</v>
      </c>
      <c r="O199">
        <f t="shared" si="107"/>
        <v>0</v>
      </c>
    </row>
    <row r="200" spans="1:18">
      <c r="A200" s="6">
        <v>45166</v>
      </c>
      <c r="B200" t="s">
        <v>227</v>
      </c>
      <c r="C200" s="9">
        <v>8</v>
      </c>
      <c r="D200">
        <v>529.9</v>
      </c>
      <c r="E200" s="29">
        <v>575</v>
      </c>
      <c r="F200" s="50">
        <v>510</v>
      </c>
      <c r="G200" s="21">
        <f t="shared" si="109"/>
        <v>3.266331658291461</v>
      </c>
      <c r="H200" s="6">
        <v>45169</v>
      </c>
      <c r="I200" s="29">
        <v>560.5</v>
      </c>
      <c r="J200" s="30">
        <f t="shared" si="103"/>
        <v>5.7746744668805583E-2</v>
      </c>
      <c r="K200" s="35">
        <f t="shared" si="104"/>
        <v>244.80000000000018</v>
      </c>
      <c r="L200" s="21">
        <f t="shared" si="102"/>
        <v>3</v>
      </c>
      <c r="M200" s="9">
        <f t="shared" si="105"/>
        <v>1</v>
      </c>
      <c r="N200">
        <f t="shared" si="106"/>
        <v>244.80000000000018</v>
      </c>
      <c r="O200">
        <f t="shared" si="107"/>
        <v>0</v>
      </c>
      <c r="R200" s="28">
        <v>7696.04</v>
      </c>
    </row>
    <row r="201" spans="1:18">
      <c r="A201" s="6">
        <v>45163</v>
      </c>
      <c r="B201" s="93" t="s">
        <v>426</v>
      </c>
      <c r="C201" s="9">
        <v>3</v>
      </c>
      <c r="D201">
        <v>323.33999999999997</v>
      </c>
      <c r="E201" s="29">
        <v>360</v>
      </c>
      <c r="F201" s="50">
        <v>315</v>
      </c>
      <c r="G201" s="21">
        <f t="shared" si="109"/>
        <v>5.3956834532374263</v>
      </c>
      <c r="H201" s="6">
        <v>45239</v>
      </c>
      <c r="I201" s="29">
        <v>363</v>
      </c>
      <c r="J201" s="30">
        <f>I201/D201 -1</f>
        <v>0.12265726479866412</v>
      </c>
      <c r="K201" s="35">
        <f>(C201*I201) - (C201*D201)</f>
        <v>118.98000000000002</v>
      </c>
      <c r="L201" s="21">
        <f t="shared" si="102"/>
        <v>76</v>
      </c>
      <c r="M201" s="9">
        <f>IF(J201&gt;0,1,0)</f>
        <v>1</v>
      </c>
      <c r="N201">
        <f>IF(K201&gt;0, K201, 0)</f>
        <v>118.98000000000002</v>
      </c>
      <c r="O201">
        <f>IF(K201&lt;0, K201, 0)</f>
        <v>0</v>
      </c>
      <c r="R201" s="28">
        <v>7974.24</v>
      </c>
    </row>
    <row r="202" spans="1:18">
      <c r="A202" s="6">
        <v>45162</v>
      </c>
      <c r="B202" s="22" t="s">
        <v>533</v>
      </c>
      <c r="C202" s="57">
        <v>100</v>
      </c>
      <c r="D202">
        <v>10.47</v>
      </c>
      <c r="E202" s="29">
        <v>70</v>
      </c>
      <c r="F202" s="50">
        <v>2.5</v>
      </c>
      <c r="G202" s="21">
        <f t="shared" si="109"/>
        <v>8.4692597239648677</v>
      </c>
      <c r="J202" s="30"/>
      <c r="K202" s="38"/>
      <c r="L202" s="37"/>
      <c r="N202" s="38"/>
    </row>
    <row r="203" spans="1:18">
      <c r="A203" s="6">
        <v>45162</v>
      </c>
      <c r="B203" s="61" t="s">
        <v>227</v>
      </c>
      <c r="C203" s="9">
        <v>14</v>
      </c>
      <c r="D203">
        <v>513.55999999999995</v>
      </c>
      <c r="E203" s="29">
        <v>575</v>
      </c>
      <c r="F203" s="50">
        <v>500</v>
      </c>
      <c r="G203" s="21">
        <f t="shared" si="109"/>
        <v>5.5309734513274558</v>
      </c>
      <c r="H203" s="6">
        <v>45163</v>
      </c>
      <c r="I203" s="29">
        <v>525</v>
      </c>
      <c r="J203" s="30">
        <f>I203/D203 -1</f>
        <v>2.227587818365917E-2</v>
      </c>
      <c r="K203" s="35">
        <f>(C203*I203) - (C203*D203)</f>
        <v>160.16000000000076</v>
      </c>
      <c r="L203" s="21">
        <f>H203-A203</f>
        <v>1</v>
      </c>
      <c r="M203" s="9">
        <f>IF(J203&gt;0,1,0)</f>
        <v>1</v>
      </c>
      <c r="N203">
        <f>IF(K203&gt;0, K203, 0)</f>
        <v>160.16000000000076</v>
      </c>
      <c r="O203">
        <f>IF(K203&lt;0, K203, 0)</f>
        <v>0</v>
      </c>
    </row>
    <row r="204" spans="1:18">
      <c r="A204" s="6">
        <v>45162</v>
      </c>
      <c r="B204" t="s">
        <v>229</v>
      </c>
      <c r="C204" s="9">
        <v>32</v>
      </c>
      <c r="D204">
        <v>112.5</v>
      </c>
      <c r="E204" s="29">
        <v>130</v>
      </c>
      <c r="F204" s="50">
        <v>110</v>
      </c>
      <c r="G204" s="21">
        <f t="shared" si="109"/>
        <v>8</v>
      </c>
      <c r="H204" s="6">
        <v>45163</v>
      </c>
      <c r="I204" s="29">
        <v>116</v>
      </c>
      <c r="J204" s="30">
        <f>I204/D204 -1</f>
        <v>3.1111111111111089E-2</v>
      </c>
      <c r="K204" s="35">
        <f>(C204*I204) - (C204*D204)</f>
        <v>112</v>
      </c>
      <c r="L204" s="21">
        <f>H204-A204</f>
        <v>1</v>
      </c>
      <c r="M204" s="9">
        <f>IF(J204&gt;0,1,0)</f>
        <v>1</v>
      </c>
      <c r="N204">
        <f>IF(K204&gt;0, K204, 0)</f>
        <v>112</v>
      </c>
      <c r="O204">
        <f>IF(K204&lt;0, K204, 0)</f>
        <v>0</v>
      </c>
      <c r="R204" s="28">
        <v>8005.25</v>
      </c>
    </row>
    <row r="205" spans="1:18">
      <c r="A205" s="6">
        <v>45161</v>
      </c>
      <c r="B205" s="92" t="s">
        <v>672</v>
      </c>
      <c r="C205" s="57">
        <v>100</v>
      </c>
      <c r="D205">
        <v>8.48</v>
      </c>
      <c r="E205" s="29">
        <v>20</v>
      </c>
      <c r="F205" s="50">
        <v>2.2000000000000002</v>
      </c>
      <c r="G205" s="21">
        <f t="shared" si="109"/>
        <v>2.8343949044585988</v>
      </c>
      <c r="J205" s="30"/>
      <c r="K205" s="38"/>
      <c r="L205" s="37"/>
      <c r="N205" s="38"/>
    </row>
    <row r="206" spans="1:18">
      <c r="A206" s="6">
        <v>45161</v>
      </c>
      <c r="B206" t="s">
        <v>130</v>
      </c>
      <c r="C206" s="9">
        <v>50</v>
      </c>
      <c r="D206">
        <v>111.31</v>
      </c>
      <c r="E206" s="29">
        <v>140</v>
      </c>
      <c r="F206" s="50">
        <v>108</v>
      </c>
      <c r="G206" s="21">
        <f t="shared" si="109"/>
        <v>9.6676737160120787</v>
      </c>
      <c r="H206" s="6">
        <v>45167</v>
      </c>
      <c r="I206" s="29">
        <v>113.73</v>
      </c>
      <c r="J206" s="30">
        <f>I206/D206 -1</f>
        <v>2.1741083460605548E-2</v>
      </c>
      <c r="K206" s="35">
        <f>(C206*I206) - (C206*D206)</f>
        <v>121</v>
      </c>
      <c r="L206" s="21">
        <f>H206-A206</f>
        <v>6</v>
      </c>
      <c r="M206" s="9">
        <f>IF(J206&gt;0,1,0)</f>
        <v>1</v>
      </c>
      <c r="N206">
        <f>IF(K206&gt;0, K206, 0)</f>
        <v>121</v>
      </c>
      <c r="O206">
        <f>IF(K206&lt;0, K206, 0)</f>
        <v>0</v>
      </c>
    </row>
    <row r="207" spans="1:18">
      <c r="A207" s="6">
        <v>45161</v>
      </c>
      <c r="B207" t="s">
        <v>171</v>
      </c>
      <c r="C207" s="9">
        <v>287</v>
      </c>
      <c r="D207">
        <v>8.06</v>
      </c>
      <c r="E207" s="29">
        <v>9</v>
      </c>
      <c r="F207" s="50">
        <v>7.4</v>
      </c>
      <c r="G207" s="21">
        <f t="shared" si="109"/>
        <v>2.424242424242423</v>
      </c>
      <c r="H207" s="6">
        <v>45162</v>
      </c>
      <c r="I207" s="29">
        <v>8.32</v>
      </c>
      <c r="J207" s="30">
        <f>I207/D207 -1</f>
        <v>3.2258064516129004E-2</v>
      </c>
      <c r="K207" s="35">
        <f>(C207*I207) - (C207*D207)</f>
        <v>74.619999999999891</v>
      </c>
      <c r="L207" s="21">
        <f>H207-A207</f>
        <v>1</v>
      </c>
      <c r="M207" s="9">
        <f>IF(J207&gt;0,1,0)</f>
        <v>1</v>
      </c>
      <c r="N207">
        <f>IF(K207&gt;0, K207, 0)</f>
        <v>74.619999999999891</v>
      </c>
      <c r="O207">
        <f>IF(K207&lt;0, K207, 0)</f>
        <v>0</v>
      </c>
      <c r="R207" s="28">
        <v>8005.25</v>
      </c>
    </row>
    <row r="208" spans="1:18">
      <c r="A208" s="6">
        <v>45160</v>
      </c>
      <c r="B208" s="71" t="s">
        <v>353</v>
      </c>
      <c r="C208" s="9">
        <v>50</v>
      </c>
      <c r="D208">
        <v>12.99</v>
      </c>
      <c r="E208" s="29">
        <v>13.5</v>
      </c>
      <c r="F208" s="50">
        <v>12.7</v>
      </c>
      <c r="G208" s="21">
        <f t="shared" si="109"/>
        <v>2.7586206896551659</v>
      </c>
      <c r="H208" s="6">
        <v>45167</v>
      </c>
      <c r="I208" s="29">
        <v>13.55</v>
      </c>
      <c r="J208" s="30">
        <f>I208/D208 -1</f>
        <v>4.3110084680523464E-2</v>
      </c>
      <c r="K208" s="35">
        <f>(C208*I208) - (C208*D208)</f>
        <v>28</v>
      </c>
      <c r="L208" s="21">
        <f>H208-A208</f>
        <v>7</v>
      </c>
      <c r="M208" s="9">
        <f>IF(J208&gt;0,1,0)</f>
        <v>1</v>
      </c>
      <c r="N208">
        <f>IF(K208&gt;0, K208, 0)</f>
        <v>28</v>
      </c>
      <c r="O208">
        <f>IF(K208&lt;0, K208, 0)</f>
        <v>0</v>
      </c>
      <c r="R208" s="28">
        <v>8414.91</v>
      </c>
    </row>
    <row r="209" spans="1:18">
      <c r="A209" s="6">
        <v>45159</v>
      </c>
      <c r="B209" t="s">
        <v>171</v>
      </c>
      <c r="C209" s="9">
        <v>800</v>
      </c>
      <c r="D209">
        <v>7.78</v>
      </c>
      <c r="E209" s="29">
        <v>9</v>
      </c>
      <c r="F209" s="50">
        <v>7</v>
      </c>
      <c r="G209" s="21">
        <f t="shared" si="109"/>
        <v>2.5641025641025634</v>
      </c>
      <c r="H209" s="6">
        <v>45156</v>
      </c>
      <c r="I209" s="29">
        <v>8.06</v>
      </c>
      <c r="J209" s="30">
        <f>I209/D209 -1</f>
        <v>3.5989717223650519E-2</v>
      </c>
      <c r="K209" s="35">
        <f>(C209*I209) - (C209*D209)</f>
        <v>224</v>
      </c>
      <c r="L209" s="21">
        <f>H209-A209</f>
        <v>-3</v>
      </c>
      <c r="M209" s="9">
        <f>IF(J209&gt;0,1,0)</f>
        <v>1</v>
      </c>
      <c r="N209">
        <f>IF(K209&gt;0, K209, 0)</f>
        <v>224</v>
      </c>
      <c r="O209">
        <f>IF(K209&lt;0, K209, 0)</f>
        <v>0</v>
      </c>
    </row>
    <row r="210" spans="1:18">
      <c r="A210" s="6">
        <v>45159</v>
      </c>
      <c r="B210" t="s">
        <v>699</v>
      </c>
      <c r="C210" s="9">
        <v>62</v>
      </c>
      <c r="D210">
        <v>67.25</v>
      </c>
      <c r="E210" s="29">
        <v>73</v>
      </c>
      <c r="F210" s="50">
        <v>65</v>
      </c>
      <c r="G210" s="21">
        <f t="shared" si="109"/>
        <v>3.5555555555555554</v>
      </c>
      <c r="H210" s="6">
        <v>45156</v>
      </c>
      <c r="I210" s="29">
        <v>67.599999999999994</v>
      </c>
      <c r="J210" s="30">
        <f>I210/D210 -1</f>
        <v>5.2044609665427011E-3</v>
      </c>
      <c r="K210" s="35">
        <f>(C210*I210) - (C210*D210)</f>
        <v>21.699999999999818</v>
      </c>
      <c r="L210" s="21">
        <f>H210-A210</f>
        <v>-3</v>
      </c>
      <c r="M210" s="9">
        <f>IF(J210&gt;0,1,0)</f>
        <v>1</v>
      </c>
      <c r="N210">
        <f>IF(K210&gt;0, K210, 0)</f>
        <v>21.699999999999818</v>
      </c>
      <c r="O210">
        <f>IF(K210&lt;0, K210, 0)</f>
        <v>0</v>
      </c>
    </row>
    <row r="211" spans="1:18">
      <c r="A211" s="6">
        <v>45159</v>
      </c>
      <c r="B211" s="22" t="s">
        <v>311</v>
      </c>
      <c r="C211" s="57">
        <v>500</v>
      </c>
      <c r="D211">
        <v>2.2400000000000002</v>
      </c>
      <c r="E211" s="29">
        <v>3</v>
      </c>
      <c r="F211" s="50">
        <v>0.8</v>
      </c>
      <c r="G211" s="21">
        <f t="shared" si="109"/>
        <v>1.5277777777777777</v>
      </c>
      <c r="J211" s="30"/>
      <c r="K211" s="38"/>
      <c r="L211" s="37"/>
      <c r="N211" s="38"/>
    </row>
    <row r="212" spans="1:18">
      <c r="A212" s="6">
        <v>45159</v>
      </c>
      <c r="B212" s="61" t="s">
        <v>696</v>
      </c>
      <c r="C212" s="9">
        <v>26</v>
      </c>
      <c r="D212">
        <v>154.69999999999999</v>
      </c>
      <c r="E212" s="29">
        <v>170</v>
      </c>
      <c r="F212" s="50">
        <v>140</v>
      </c>
      <c r="G212" s="21">
        <f t="shared" si="109"/>
        <v>2.0408163265306136</v>
      </c>
      <c r="H212" s="6">
        <v>45166</v>
      </c>
      <c r="I212" s="16">
        <v>144</v>
      </c>
      <c r="J212" s="25">
        <f>I212/D212 -1</f>
        <v>-6.9166127989657378E-2</v>
      </c>
      <c r="K212" s="36">
        <f>(C212*I212) - (C212*D212)</f>
        <v>-278.19999999999982</v>
      </c>
      <c r="L212" s="24">
        <f>H212-A212</f>
        <v>7</v>
      </c>
      <c r="M212" s="52">
        <f>IF(J212&gt;0,1,0)</f>
        <v>0</v>
      </c>
      <c r="N212" s="24">
        <f>IF(K212&gt;0, K212, 0)</f>
        <v>0</v>
      </c>
      <c r="O212" s="17">
        <f>IF(K212&lt;0, K212, 0)</f>
        <v>-278.19999999999982</v>
      </c>
    </row>
    <row r="213" spans="1:18">
      <c r="A213" s="6">
        <v>45153</v>
      </c>
      <c r="B213" s="22" t="s">
        <v>438</v>
      </c>
      <c r="C213" s="57">
        <v>200</v>
      </c>
      <c r="D213">
        <v>2.1800000000000002</v>
      </c>
      <c r="E213" s="29">
        <v>2.5</v>
      </c>
      <c r="F213" s="50">
        <v>0.45</v>
      </c>
      <c r="G213" s="21">
        <f t="shared" ref="G213:G222" si="110" xml:space="preserve"> (E213 - F213)/(D213-F213)</f>
        <v>1.1849710982658956</v>
      </c>
      <c r="H213" s="6">
        <v>45260</v>
      </c>
      <c r="I213" s="29">
        <v>2.4900000000000002</v>
      </c>
      <c r="J213" s="30">
        <f>I213/D213 -1</f>
        <v>0.14220183486238525</v>
      </c>
      <c r="K213" s="35">
        <f>(C213*I213) - (C213*D213)</f>
        <v>62</v>
      </c>
      <c r="L213" s="21">
        <f>H213-A213</f>
        <v>107</v>
      </c>
      <c r="M213" s="9">
        <f>IF(J213&gt;0,1,0)</f>
        <v>1</v>
      </c>
      <c r="N213">
        <f>IF(K213&gt;0, K213, 0)</f>
        <v>62</v>
      </c>
      <c r="O213">
        <f>IF(K213&lt;0, K213, 0)</f>
        <v>0</v>
      </c>
      <c r="R213" s="28">
        <v>9243.9</v>
      </c>
    </row>
    <row r="214" spans="1:18">
      <c r="A214" s="6">
        <v>45153</v>
      </c>
      <c r="B214" s="13" t="s">
        <v>560</v>
      </c>
      <c r="C214" s="9">
        <v>332</v>
      </c>
      <c r="D214">
        <v>17.8</v>
      </c>
      <c r="E214" s="29">
        <v>23</v>
      </c>
      <c r="F214" s="50">
        <v>17</v>
      </c>
      <c r="G214" s="21">
        <f t="shared" si="110"/>
        <v>7.4999999999999929</v>
      </c>
      <c r="H214" s="6">
        <v>45156</v>
      </c>
      <c r="I214" s="29">
        <v>17.899999999999999</v>
      </c>
      <c r="J214" s="30">
        <f t="shared" ref="J214:J222" si="111">I214/D214 -1</f>
        <v>5.6179775280897903E-3</v>
      </c>
      <c r="K214" s="35">
        <f t="shared" ref="K214:K222" si="112">(C214*I214) - (C214*D214)</f>
        <v>33.199999999998909</v>
      </c>
      <c r="L214" s="21">
        <f t="shared" ref="L214:L222" si="113">H214-A214</f>
        <v>3</v>
      </c>
      <c r="M214" s="9">
        <f t="shared" ref="M214:M222" si="114">IF(J214&gt;0,1,0)</f>
        <v>1</v>
      </c>
      <c r="N214">
        <f t="shared" ref="N214:N222" si="115">IF(K214&gt;0, K214, 0)</f>
        <v>33.199999999998909</v>
      </c>
      <c r="O214">
        <f t="shared" ref="O214:O222" si="116">IF(K214&lt;0, K214, 0)</f>
        <v>0</v>
      </c>
    </row>
    <row r="215" spans="1:18">
      <c r="A215" s="6">
        <v>45152</v>
      </c>
      <c r="B215" s="61" t="s">
        <v>611</v>
      </c>
      <c r="C215" s="9">
        <v>44</v>
      </c>
      <c r="D215">
        <v>133</v>
      </c>
      <c r="E215" s="29">
        <v>155</v>
      </c>
      <c r="F215" s="50">
        <v>131</v>
      </c>
      <c r="G215" s="21">
        <f t="shared" si="110"/>
        <v>12</v>
      </c>
      <c r="H215" s="6">
        <v>45174</v>
      </c>
      <c r="I215" s="29">
        <v>143.19999999999999</v>
      </c>
      <c r="J215" s="30">
        <f t="shared" si="111"/>
        <v>7.6691729323308255E-2</v>
      </c>
      <c r="K215" s="35">
        <f t="shared" si="112"/>
        <v>448.79999999999927</v>
      </c>
      <c r="L215" s="21">
        <f t="shared" si="113"/>
        <v>22</v>
      </c>
      <c r="M215" s="9">
        <f t="shared" si="114"/>
        <v>1</v>
      </c>
      <c r="N215">
        <f t="shared" si="115"/>
        <v>448.79999999999927</v>
      </c>
      <c r="O215">
        <f t="shared" si="116"/>
        <v>0</v>
      </c>
    </row>
    <row r="216" spans="1:18">
      <c r="A216" s="6">
        <v>45148</v>
      </c>
      <c r="B216" s="1" t="s">
        <v>647</v>
      </c>
      <c r="C216" s="9">
        <v>39</v>
      </c>
      <c r="D216">
        <v>17.91</v>
      </c>
      <c r="E216" s="29">
        <v>22</v>
      </c>
      <c r="F216" s="50">
        <v>17</v>
      </c>
      <c r="G216" s="21">
        <f t="shared" si="110"/>
        <v>5.4945054945054936</v>
      </c>
      <c r="H216" s="6">
        <v>45208</v>
      </c>
      <c r="I216" s="16">
        <v>16.5</v>
      </c>
      <c r="J216" s="25">
        <f t="shared" si="111"/>
        <v>-7.8726968174204326E-2</v>
      </c>
      <c r="K216" s="36">
        <f t="shared" si="112"/>
        <v>-54.990000000000009</v>
      </c>
      <c r="L216" s="24">
        <f t="shared" si="113"/>
        <v>60</v>
      </c>
      <c r="M216" s="52">
        <f t="shared" si="114"/>
        <v>0</v>
      </c>
      <c r="N216" s="24">
        <f t="shared" si="115"/>
        <v>0</v>
      </c>
      <c r="O216" s="17">
        <f t="shared" si="116"/>
        <v>-54.990000000000009</v>
      </c>
      <c r="R216" s="28">
        <v>10105.51</v>
      </c>
    </row>
    <row r="217" spans="1:18">
      <c r="A217" s="6">
        <v>45146</v>
      </c>
      <c r="B217" s="13" t="s">
        <v>498</v>
      </c>
      <c r="C217" s="9">
        <v>35</v>
      </c>
      <c r="D217">
        <v>172.7</v>
      </c>
      <c r="E217" s="29">
        <v>180</v>
      </c>
      <c r="F217" s="50">
        <v>170</v>
      </c>
      <c r="G217" s="21">
        <f t="shared" si="110"/>
        <v>3.7037037037037193</v>
      </c>
      <c r="H217" s="6">
        <v>45149</v>
      </c>
      <c r="I217" s="29">
        <v>173.5</v>
      </c>
      <c r="J217" s="30">
        <f t="shared" si="111"/>
        <v>4.6323103647945008E-3</v>
      </c>
      <c r="K217" s="35">
        <f t="shared" si="112"/>
        <v>28</v>
      </c>
      <c r="L217" s="21">
        <f t="shared" si="113"/>
        <v>3</v>
      </c>
      <c r="M217" s="9">
        <f t="shared" si="114"/>
        <v>1</v>
      </c>
      <c r="N217">
        <f t="shared" si="115"/>
        <v>28</v>
      </c>
      <c r="O217">
        <f t="shared" si="116"/>
        <v>0</v>
      </c>
      <c r="R217" s="28">
        <v>10500.96</v>
      </c>
    </row>
    <row r="218" spans="1:18">
      <c r="A218" s="6">
        <v>45145</v>
      </c>
      <c r="B218" s="1" t="s">
        <v>287</v>
      </c>
      <c r="C218" s="9">
        <v>19</v>
      </c>
      <c r="D218">
        <v>41.95</v>
      </c>
      <c r="E218" s="29">
        <v>50</v>
      </c>
      <c r="F218" s="50">
        <v>40</v>
      </c>
      <c r="G218" s="21">
        <f t="shared" si="110"/>
        <v>5.1282051282051206</v>
      </c>
      <c r="H218" s="6">
        <v>45176</v>
      </c>
      <c r="I218" s="16">
        <v>40.46</v>
      </c>
      <c r="J218" s="25">
        <f t="shared" si="111"/>
        <v>-3.5518474374255149E-2</v>
      </c>
      <c r="K218" s="36">
        <f t="shared" si="112"/>
        <v>-28.310000000000059</v>
      </c>
      <c r="L218" s="24">
        <f t="shared" si="113"/>
        <v>31</v>
      </c>
      <c r="M218" s="52">
        <f t="shared" si="114"/>
        <v>0</v>
      </c>
      <c r="N218" s="24">
        <f t="shared" si="115"/>
        <v>0</v>
      </c>
      <c r="O218" s="17">
        <f t="shared" si="116"/>
        <v>-28.310000000000059</v>
      </c>
    </row>
    <row r="219" spans="1:18">
      <c r="A219" s="6">
        <v>45145</v>
      </c>
      <c r="B219" t="s">
        <v>130</v>
      </c>
      <c r="C219" s="9">
        <v>50</v>
      </c>
      <c r="D219">
        <v>120.02</v>
      </c>
      <c r="E219" s="29">
        <v>140</v>
      </c>
      <c r="F219" s="50">
        <v>117</v>
      </c>
      <c r="G219" s="21">
        <f t="shared" si="110"/>
        <v>7.6158940397351094</v>
      </c>
      <c r="H219" s="6">
        <v>45156</v>
      </c>
      <c r="I219" s="16">
        <v>110.4</v>
      </c>
      <c r="J219" s="25">
        <f t="shared" si="111"/>
        <v>-8.0153307782036221E-2</v>
      </c>
      <c r="K219" s="36">
        <f t="shared" si="112"/>
        <v>-481</v>
      </c>
      <c r="L219" s="24">
        <f t="shared" si="113"/>
        <v>11</v>
      </c>
      <c r="M219" s="52">
        <f t="shared" si="114"/>
        <v>0</v>
      </c>
      <c r="N219" s="24">
        <f t="shared" si="115"/>
        <v>0</v>
      </c>
      <c r="O219" s="17">
        <f t="shared" si="116"/>
        <v>-481</v>
      </c>
    </row>
    <row r="220" spans="1:18">
      <c r="A220" s="6">
        <v>45145</v>
      </c>
      <c r="B220" s="22" t="s">
        <v>438</v>
      </c>
      <c r="C220" s="57">
        <v>200</v>
      </c>
      <c r="D220">
        <v>0.3</v>
      </c>
      <c r="E220" s="29">
        <v>1.2</v>
      </c>
      <c r="F220" s="50">
        <v>0</v>
      </c>
      <c r="G220" s="21">
        <f t="shared" si="110"/>
        <v>4</v>
      </c>
      <c r="H220" s="6">
        <v>45183</v>
      </c>
      <c r="I220" s="29">
        <v>0.93</v>
      </c>
      <c r="J220" s="30">
        <f t="shared" si="111"/>
        <v>2.1</v>
      </c>
      <c r="K220" s="35">
        <f t="shared" si="112"/>
        <v>126</v>
      </c>
      <c r="L220" s="21">
        <f t="shared" si="113"/>
        <v>38</v>
      </c>
      <c r="M220" s="9">
        <f t="shared" si="114"/>
        <v>1</v>
      </c>
      <c r="N220">
        <f t="shared" si="115"/>
        <v>126</v>
      </c>
      <c r="O220">
        <f t="shared" si="116"/>
        <v>0</v>
      </c>
    </row>
    <row r="221" spans="1:18">
      <c r="A221" s="6">
        <v>45145</v>
      </c>
      <c r="B221" s="13" t="s">
        <v>286</v>
      </c>
      <c r="C221" s="9">
        <v>161</v>
      </c>
      <c r="D221">
        <v>38.53</v>
      </c>
      <c r="E221" s="29">
        <v>45</v>
      </c>
      <c r="F221" s="50">
        <v>36</v>
      </c>
      <c r="G221" s="21">
        <f t="shared" si="110"/>
        <v>3.5573122529644254</v>
      </c>
      <c r="H221" s="6">
        <v>45201</v>
      </c>
      <c r="I221" s="29">
        <v>41.39</v>
      </c>
      <c r="J221" s="30">
        <f t="shared" si="111"/>
        <v>7.4227874383597126E-2</v>
      </c>
      <c r="K221" s="35">
        <f t="shared" si="112"/>
        <v>460.46000000000004</v>
      </c>
      <c r="L221" s="21">
        <f t="shared" si="113"/>
        <v>56</v>
      </c>
      <c r="M221" s="9">
        <f t="shared" si="114"/>
        <v>1</v>
      </c>
      <c r="N221">
        <f t="shared" si="115"/>
        <v>460.46000000000004</v>
      </c>
      <c r="O221">
        <f t="shared" si="116"/>
        <v>0</v>
      </c>
    </row>
    <row r="222" spans="1:18">
      <c r="A222" s="6">
        <v>45145</v>
      </c>
      <c r="B222" s="13" t="s">
        <v>463</v>
      </c>
      <c r="C222" s="9">
        <v>59</v>
      </c>
      <c r="D222">
        <v>103.39</v>
      </c>
      <c r="E222" s="29">
        <v>110</v>
      </c>
      <c r="F222" s="50">
        <v>100</v>
      </c>
      <c r="G222" s="21">
        <f t="shared" si="110"/>
        <v>2.9498525073746307</v>
      </c>
      <c r="H222" s="6">
        <v>45201</v>
      </c>
      <c r="I222" s="16">
        <v>92.2</v>
      </c>
      <c r="J222" s="25">
        <f t="shared" si="111"/>
        <v>-0.10823097011316374</v>
      </c>
      <c r="K222" s="36">
        <f t="shared" si="112"/>
        <v>-660.21</v>
      </c>
      <c r="L222" s="24">
        <f t="shared" si="113"/>
        <v>56</v>
      </c>
      <c r="M222" s="52">
        <f t="shared" si="114"/>
        <v>0</v>
      </c>
      <c r="N222" s="24">
        <f t="shared" si="115"/>
        <v>0</v>
      </c>
      <c r="O222" s="17">
        <f t="shared" si="116"/>
        <v>-660.21</v>
      </c>
      <c r="R222" s="28">
        <v>11396.55</v>
      </c>
    </row>
    <row r="223" spans="1:18">
      <c r="A223" s="6">
        <v>45142</v>
      </c>
      <c r="B223" s="55" t="s">
        <v>284</v>
      </c>
      <c r="C223" s="57">
        <v>100</v>
      </c>
      <c r="D223">
        <v>4.7</v>
      </c>
      <c r="E223" s="29">
        <v>15</v>
      </c>
      <c r="F223" s="50">
        <v>1.5</v>
      </c>
      <c r="G223" s="21">
        <f xml:space="preserve"> (E223 - F223)/(D223-F223)</f>
        <v>4.21875</v>
      </c>
      <c r="J223" s="30"/>
      <c r="K223" s="38"/>
      <c r="L223" s="37"/>
      <c r="N223" s="38"/>
    </row>
    <row r="224" spans="1:18">
      <c r="A224" s="6">
        <v>45142</v>
      </c>
      <c r="B224" s="91" t="s">
        <v>353</v>
      </c>
      <c r="C224" s="57">
        <v>500</v>
      </c>
      <c r="D224">
        <v>0.22</v>
      </c>
      <c r="E224" s="29">
        <v>1</v>
      </c>
      <c r="F224" s="50">
        <v>0.11</v>
      </c>
      <c r="G224" s="21">
        <f xml:space="preserve"> (E224 - F224)/(D224-F224)</f>
        <v>8.0909090909090917</v>
      </c>
      <c r="H224" s="6">
        <v>45149</v>
      </c>
      <c r="I224" s="29">
        <v>0.3</v>
      </c>
      <c r="J224" s="30">
        <f>I224/D224 -1</f>
        <v>0.36363636363636354</v>
      </c>
      <c r="K224" s="35">
        <f>(C224*I224) - (C224*D224)</f>
        <v>40</v>
      </c>
      <c r="L224" s="21">
        <f>H224-A224</f>
        <v>7</v>
      </c>
      <c r="M224" s="9">
        <f>IF(J224&gt;0,1,0)</f>
        <v>1</v>
      </c>
      <c r="N224">
        <f>IF(K224&gt;0, K224, 0)</f>
        <v>40</v>
      </c>
      <c r="O224">
        <f>IF(K224&lt;0, K224, 0)</f>
        <v>0</v>
      </c>
      <c r="R224" s="28">
        <v>12177.55</v>
      </c>
    </row>
    <row r="225" spans="1:18">
      <c r="A225" s="6">
        <v>45141</v>
      </c>
      <c r="B225" s="22" t="s">
        <v>165</v>
      </c>
      <c r="C225" s="57">
        <v>200</v>
      </c>
      <c r="D225">
        <v>1.31</v>
      </c>
      <c r="E225" s="29">
        <v>3.45</v>
      </c>
      <c r="F225" s="75">
        <v>0.45</v>
      </c>
      <c r="G225" s="21">
        <f t="shared" ref="G225:G231" si="117" xml:space="preserve"> (E225 - F225)/(D225-F225)</f>
        <v>3.4883720930232553</v>
      </c>
      <c r="J225" s="30"/>
      <c r="K225" s="38"/>
      <c r="L225" s="37"/>
      <c r="N225" s="38"/>
    </row>
    <row r="226" spans="1:18">
      <c r="A226" s="6">
        <v>45140</v>
      </c>
      <c r="B226" s="1" t="s">
        <v>364</v>
      </c>
      <c r="C226" s="9">
        <v>118</v>
      </c>
      <c r="D226">
        <v>4.5</v>
      </c>
      <c r="E226" s="29">
        <v>5</v>
      </c>
      <c r="F226" s="50">
        <v>4.25</v>
      </c>
      <c r="G226" s="21">
        <f t="shared" si="117"/>
        <v>3</v>
      </c>
      <c r="H226" s="6">
        <v>45169</v>
      </c>
      <c r="I226" s="29">
        <v>4.87</v>
      </c>
      <c r="J226" s="30">
        <f>I226/D226 -1</f>
        <v>8.2222222222222197E-2</v>
      </c>
      <c r="K226" s="35">
        <f>(C226*I226) - (C226*D226)</f>
        <v>43.659999999999968</v>
      </c>
      <c r="L226" s="21">
        <f>H226-A226</f>
        <v>29</v>
      </c>
      <c r="M226" s="9">
        <f>IF(J226&gt;0,1,0)</f>
        <v>1</v>
      </c>
      <c r="N226">
        <f>IF(K226&gt;0, K226, 0)</f>
        <v>43.659999999999968</v>
      </c>
      <c r="O226">
        <f>IF(K226&lt;0, K226, 0)</f>
        <v>0</v>
      </c>
    </row>
    <row r="227" spans="1:18">
      <c r="A227" s="6">
        <v>45140</v>
      </c>
      <c r="B227" s="13" t="s">
        <v>286</v>
      </c>
      <c r="C227" s="9">
        <v>161</v>
      </c>
      <c r="D227">
        <v>37.299999999999997</v>
      </c>
      <c r="E227" s="29">
        <v>45</v>
      </c>
      <c r="F227" s="50">
        <v>35</v>
      </c>
      <c r="G227" s="21">
        <f t="shared" si="117"/>
        <v>4.3478260869565268</v>
      </c>
      <c r="H227" s="6">
        <v>45145</v>
      </c>
      <c r="I227" s="29">
        <v>38.53</v>
      </c>
      <c r="J227" s="30">
        <f>I227/D227 -1</f>
        <v>3.2975871313672966E-2</v>
      </c>
      <c r="K227" s="35">
        <f>(C227*I227) - (C227*D227)</f>
        <v>198.03000000000065</v>
      </c>
      <c r="L227" s="21">
        <f>H227-A227</f>
        <v>5</v>
      </c>
      <c r="M227" s="9">
        <f>IF(J227&gt;0,1,0)</f>
        <v>1</v>
      </c>
      <c r="N227">
        <f>IF(K227&gt;0, K227, 0)</f>
        <v>198.03000000000065</v>
      </c>
      <c r="O227">
        <f>IF(K227&lt;0, K227, 0)</f>
        <v>0</v>
      </c>
      <c r="R227" s="64">
        <v>12818.89</v>
      </c>
    </row>
    <row r="228" spans="1:18">
      <c r="A228" s="6">
        <v>45139</v>
      </c>
      <c r="B228" s="1" t="s">
        <v>680</v>
      </c>
      <c r="C228" s="9">
        <v>29</v>
      </c>
      <c r="D228">
        <v>28</v>
      </c>
      <c r="E228" s="29">
        <v>30</v>
      </c>
      <c r="F228" s="50">
        <v>27.5</v>
      </c>
      <c r="G228" s="21">
        <f t="shared" si="117"/>
        <v>5</v>
      </c>
      <c r="H228" s="6">
        <v>45145</v>
      </c>
      <c r="I228" s="29">
        <v>28.13</v>
      </c>
      <c r="J228" s="30">
        <f>I228/D228 -1</f>
        <v>4.6428571428571708E-3</v>
      </c>
      <c r="K228" s="35">
        <f>(C228*I228) - (C228*D228)</f>
        <v>3.7699999999999818</v>
      </c>
      <c r="L228" s="21">
        <f>H228-A228</f>
        <v>6</v>
      </c>
      <c r="M228" s="9">
        <f>IF(J228&gt;0,1,0)</f>
        <v>1</v>
      </c>
      <c r="N228">
        <f>IF(K228&gt;0, K228, 0)</f>
        <v>3.7699999999999818</v>
      </c>
      <c r="O228">
        <f>IF(K228&lt;0, K228, 0)</f>
        <v>0</v>
      </c>
    </row>
    <row r="229" spans="1:18">
      <c r="A229" s="6">
        <v>45139</v>
      </c>
      <c r="B229" s="1" t="s">
        <v>686</v>
      </c>
      <c r="C229" s="9">
        <v>20</v>
      </c>
      <c r="D229">
        <v>47.8</v>
      </c>
      <c r="E229" s="29">
        <v>55</v>
      </c>
      <c r="F229" s="50">
        <v>46</v>
      </c>
      <c r="G229" s="21">
        <f t="shared" si="117"/>
        <v>5.000000000000008</v>
      </c>
      <c r="H229" s="6">
        <v>45163</v>
      </c>
      <c r="I229" s="16">
        <v>42</v>
      </c>
      <c r="J229" s="25">
        <f>I229/D229 -1</f>
        <v>-0.12133891213389114</v>
      </c>
      <c r="K229" s="36">
        <f>(C229*I229) - (C229*D229)</f>
        <v>-116</v>
      </c>
      <c r="L229" s="24">
        <f>H229-A229</f>
        <v>24</v>
      </c>
      <c r="M229" s="52">
        <f>IF(J229&gt;0,1,0)</f>
        <v>0</v>
      </c>
      <c r="N229" s="24">
        <f>IF(K229&gt;0, K229, 0)</f>
        <v>0</v>
      </c>
      <c r="O229" s="17">
        <f>IF(K229&lt;0, K229, 0)</f>
        <v>-116</v>
      </c>
    </row>
    <row r="230" spans="1:18">
      <c r="A230" s="6">
        <v>45139</v>
      </c>
      <c r="B230" s="22" t="s">
        <v>63</v>
      </c>
      <c r="C230" s="57">
        <v>100</v>
      </c>
      <c r="D230">
        <v>4.4400000000000004</v>
      </c>
      <c r="E230" s="29">
        <v>7.5</v>
      </c>
      <c r="F230" s="50">
        <v>1.25</v>
      </c>
      <c r="G230" s="21">
        <f t="shared" si="117"/>
        <v>1.959247648902821</v>
      </c>
      <c r="J230" s="30"/>
      <c r="K230" s="38"/>
      <c r="L230" s="37"/>
      <c r="N230" s="38"/>
    </row>
    <row r="231" spans="1:18">
      <c r="A231" s="6">
        <v>45139</v>
      </c>
      <c r="B231" s="89" t="s">
        <v>436</v>
      </c>
      <c r="C231" s="9">
        <v>179</v>
      </c>
      <c r="D231">
        <v>34.93</v>
      </c>
      <c r="E231" s="29">
        <v>38</v>
      </c>
      <c r="F231" s="50">
        <v>34</v>
      </c>
      <c r="G231" s="21">
        <f t="shared" si="117"/>
        <v>4.3010752688172058</v>
      </c>
      <c r="H231" s="6">
        <v>45149</v>
      </c>
      <c r="I231" s="29">
        <v>35.5</v>
      </c>
      <c r="J231" s="30">
        <f t="shared" ref="J231:J237" si="118">I231/D231 -1</f>
        <v>1.6318350987689634E-2</v>
      </c>
      <c r="K231" s="35">
        <f t="shared" ref="K231:K237" si="119">(C231*I231) - (C231*D231)</f>
        <v>102.02999999999975</v>
      </c>
      <c r="L231" s="21">
        <f t="shared" ref="L231:L237" si="120">H231-A231</f>
        <v>10</v>
      </c>
      <c r="M231" s="9">
        <f t="shared" ref="M231:M237" si="121">IF(J231&gt;0,1,0)</f>
        <v>1</v>
      </c>
      <c r="N231">
        <f t="shared" ref="N231:N237" si="122">IF(K231&gt;0, K231, 0)</f>
        <v>102.02999999999975</v>
      </c>
      <c r="O231">
        <f t="shared" ref="O231:O237" si="123">IF(K231&lt;0, K231, 0)</f>
        <v>0</v>
      </c>
      <c r="R231" s="28">
        <v>12812.77</v>
      </c>
    </row>
    <row r="232" spans="1:18">
      <c r="A232" s="6">
        <v>45138</v>
      </c>
      <c r="B232" s="1" t="s">
        <v>684</v>
      </c>
      <c r="C232" s="9">
        <v>27</v>
      </c>
      <c r="D232">
        <v>34</v>
      </c>
      <c r="E232" s="29">
        <v>41</v>
      </c>
      <c r="F232" s="50">
        <v>32.5</v>
      </c>
      <c r="G232" s="21">
        <f t="shared" ref="G232:G237" si="124" xml:space="preserve"> (E232 - F232)/(D232-F232)</f>
        <v>5.666666666666667</v>
      </c>
      <c r="H232" s="6">
        <v>45260</v>
      </c>
      <c r="I232" s="16">
        <v>30.6</v>
      </c>
      <c r="J232" s="25">
        <f t="shared" si="118"/>
        <v>-9.9999999999999978E-2</v>
      </c>
      <c r="K232" s="36">
        <f t="shared" si="119"/>
        <v>-91.799999999999955</v>
      </c>
      <c r="L232" s="24">
        <f t="shared" si="120"/>
        <v>122</v>
      </c>
      <c r="M232" s="52">
        <f t="shared" si="121"/>
        <v>0</v>
      </c>
      <c r="N232" s="24">
        <f t="shared" si="122"/>
        <v>0</v>
      </c>
      <c r="O232" s="17">
        <f t="shared" si="123"/>
        <v>-91.799999999999955</v>
      </c>
    </row>
    <row r="233" spans="1:18">
      <c r="A233" s="6">
        <v>45138</v>
      </c>
      <c r="B233" s="61" t="s">
        <v>575</v>
      </c>
      <c r="C233" s="9">
        <v>71</v>
      </c>
      <c r="D233">
        <v>88.5</v>
      </c>
      <c r="E233" s="29">
        <v>110</v>
      </c>
      <c r="F233" s="50">
        <v>87</v>
      </c>
      <c r="G233" s="21">
        <f t="shared" si="124"/>
        <v>15.333333333333334</v>
      </c>
      <c r="H233" s="6">
        <v>45203</v>
      </c>
      <c r="I233" s="16">
        <v>77.25</v>
      </c>
      <c r="J233" s="25">
        <f t="shared" si="118"/>
        <v>-0.1271186440677966</v>
      </c>
      <c r="K233" s="36">
        <f t="shared" si="119"/>
        <v>-798.75</v>
      </c>
      <c r="L233" s="24">
        <f t="shared" si="120"/>
        <v>65</v>
      </c>
      <c r="M233" s="52">
        <f t="shared" si="121"/>
        <v>0</v>
      </c>
      <c r="N233" s="24">
        <f t="shared" si="122"/>
        <v>0</v>
      </c>
      <c r="O233" s="17">
        <f t="shared" si="123"/>
        <v>-798.75</v>
      </c>
    </row>
    <row r="234" spans="1:18">
      <c r="A234" s="6">
        <v>45138</v>
      </c>
      <c r="B234" t="s">
        <v>521</v>
      </c>
      <c r="C234" s="9">
        <v>50</v>
      </c>
      <c r="D234">
        <v>132.5</v>
      </c>
      <c r="E234" s="29">
        <v>140</v>
      </c>
      <c r="F234" s="50">
        <v>130</v>
      </c>
      <c r="G234" s="21">
        <f t="shared" si="124"/>
        <v>4</v>
      </c>
      <c r="H234" s="6">
        <v>45163</v>
      </c>
      <c r="I234" s="16">
        <v>130</v>
      </c>
      <c r="J234" s="25">
        <f t="shared" si="118"/>
        <v>-1.8867924528301883E-2</v>
      </c>
      <c r="K234" s="36">
        <f t="shared" si="119"/>
        <v>-125</v>
      </c>
      <c r="L234" s="24">
        <f t="shared" si="120"/>
        <v>25</v>
      </c>
      <c r="M234" s="52">
        <f t="shared" si="121"/>
        <v>0</v>
      </c>
      <c r="N234" s="24">
        <f t="shared" si="122"/>
        <v>0</v>
      </c>
      <c r="O234" s="17">
        <f t="shared" si="123"/>
        <v>-125</v>
      </c>
    </row>
    <row r="235" spans="1:18">
      <c r="A235" s="6">
        <v>45138</v>
      </c>
      <c r="B235" t="s">
        <v>87</v>
      </c>
      <c r="C235" s="9">
        <v>23</v>
      </c>
      <c r="D235">
        <v>267.02</v>
      </c>
      <c r="E235" s="29">
        <v>300</v>
      </c>
      <c r="F235" s="50">
        <v>255</v>
      </c>
      <c r="G235" s="21">
        <f t="shared" si="124"/>
        <v>3.7437603993344482</v>
      </c>
      <c r="H235" s="6">
        <v>45142</v>
      </c>
      <c r="I235" s="16">
        <v>253.5</v>
      </c>
      <c r="J235" s="25">
        <f t="shared" si="118"/>
        <v>-5.0632911392405E-2</v>
      </c>
      <c r="K235" s="36">
        <f t="shared" si="119"/>
        <v>-310.95999999999913</v>
      </c>
      <c r="L235" s="24">
        <f t="shared" si="120"/>
        <v>4</v>
      </c>
      <c r="M235" s="52">
        <f t="shared" si="121"/>
        <v>0</v>
      </c>
      <c r="N235" s="24">
        <f t="shared" si="122"/>
        <v>0</v>
      </c>
      <c r="O235" s="17">
        <f t="shared" si="123"/>
        <v>-310.95999999999913</v>
      </c>
    </row>
    <row r="236" spans="1:18">
      <c r="A236" s="6">
        <v>45138</v>
      </c>
      <c r="B236" t="s">
        <v>316</v>
      </c>
      <c r="C236" s="9">
        <v>14</v>
      </c>
      <c r="D236">
        <v>437.5</v>
      </c>
      <c r="E236" s="29">
        <v>500</v>
      </c>
      <c r="F236" s="50">
        <v>413</v>
      </c>
      <c r="G236" s="21">
        <f t="shared" si="124"/>
        <v>3.5510204081632653</v>
      </c>
      <c r="H236" s="6">
        <v>45170</v>
      </c>
      <c r="I236" s="29">
        <v>444</v>
      </c>
      <c r="J236" s="30">
        <f t="shared" si="118"/>
        <v>1.4857142857142902E-2</v>
      </c>
      <c r="K236" s="35">
        <f t="shared" si="119"/>
        <v>91</v>
      </c>
      <c r="L236" s="21">
        <f t="shared" si="120"/>
        <v>32</v>
      </c>
      <c r="M236" s="9">
        <f t="shared" si="121"/>
        <v>1</v>
      </c>
      <c r="N236">
        <f t="shared" si="122"/>
        <v>91</v>
      </c>
      <c r="O236">
        <f t="shared" si="123"/>
        <v>0</v>
      </c>
      <c r="R236" s="28">
        <v>12736.47</v>
      </c>
    </row>
    <row r="237" spans="1:18">
      <c r="A237" s="6">
        <v>45135</v>
      </c>
      <c r="B237" s="22" t="s">
        <v>438</v>
      </c>
      <c r="C237" s="57">
        <v>700</v>
      </c>
      <c r="D237">
        <v>2.09</v>
      </c>
      <c r="E237" s="29">
        <v>4</v>
      </c>
      <c r="F237" s="50">
        <v>0.25</v>
      </c>
      <c r="G237" s="21">
        <f t="shared" si="124"/>
        <v>2.0380434782608696</v>
      </c>
      <c r="H237" s="6">
        <v>45260</v>
      </c>
      <c r="I237" s="29">
        <v>2.4900000000000002</v>
      </c>
      <c r="J237" s="30">
        <f t="shared" si="118"/>
        <v>0.19138755980861255</v>
      </c>
      <c r="K237" s="35">
        <f t="shared" si="119"/>
        <v>280.00000000000023</v>
      </c>
      <c r="L237" s="21">
        <f t="shared" si="120"/>
        <v>125</v>
      </c>
      <c r="M237" s="9">
        <f t="shared" si="121"/>
        <v>1</v>
      </c>
      <c r="N237">
        <f t="shared" si="122"/>
        <v>280.00000000000023</v>
      </c>
      <c r="O237">
        <f t="shared" si="123"/>
        <v>0</v>
      </c>
      <c r="R237" s="28">
        <v>12615.62</v>
      </c>
    </row>
    <row r="238" spans="1:18">
      <c r="A238" s="6">
        <v>45134</v>
      </c>
      <c r="B238" s="1" t="s">
        <v>287</v>
      </c>
      <c r="C238" s="9">
        <v>18</v>
      </c>
      <c r="D238">
        <v>44.6</v>
      </c>
      <c r="E238" s="29">
        <v>50</v>
      </c>
      <c r="F238" s="50">
        <v>42</v>
      </c>
      <c r="G238" s="21">
        <f t="shared" ref="G238:G250" si="125" xml:space="preserve"> (E238 - F238)/(D238-F238)</f>
        <v>3.0769230769230753</v>
      </c>
      <c r="H238" s="6">
        <v>45138</v>
      </c>
      <c r="I238" s="29">
        <v>45.2</v>
      </c>
      <c r="J238" s="30">
        <f t="shared" ref="J238:J254" si="126">I238/D238 -1</f>
        <v>1.3452914798206317E-2</v>
      </c>
      <c r="K238" s="35">
        <f t="shared" ref="K238:K254" si="127">(C238*I238) - (C238*D238)</f>
        <v>10.799999999999955</v>
      </c>
      <c r="L238" s="21">
        <f t="shared" ref="L238:L269" si="128">H238-A238</f>
        <v>4</v>
      </c>
      <c r="M238" s="9">
        <f t="shared" ref="M238:M254" si="129">IF(J238&gt;0,1,0)</f>
        <v>1</v>
      </c>
      <c r="N238">
        <f t="shared" ref="N238:N254" si="130">IF(K238&gt;0, K238, 0)</f>
        <v>10.799999999999955</v>
      </c>
      <c r="O238">
        <f t="shared" ref="O238:O247" si="131">IF(K238&lt;0, K238, 0)</f>
        <v>0</v>
      </c>
    </row>
    <row r="239" spans="1:18">
      <c r="A239" s="6">
        <v>45134</v>
      </c>
      <c r="B239" s="61" t="s">
        <v>358</v>
      </c>
      <c r="C239" s="9">
        <v>73</v>
      </c>
      <c r="D239">
        <v>88.77</v>
      </c>
      <c r="E239" s="29">
        <v>100</v>
      </c>
      <c r="F239" s="50">
        <v>87</v>
      </c>
      <c r="G239" s="21">
        <f xml:space="preserve"> (E239 - F239)/(D239-F239)</f>
        <v>7.3446327683615982</v>
      </c>
      <c r="H239" s="6">
        <v>45156</v>
      </c>
      <c r="I239" s="16">
        <v>86.8</v>
      </c>
      <c r="J239" s="25">
        <f t="shared" si="126"/>
        <v>-2.2192182043483166E-2</v>
      </c>
      <c r="K239" s="36">
        <f t="shared" si="127"/>
        <v>-143.8100000000004</v>
      </c>
      <c r="L239" s="24">
        <f t="shared" si="128"/>
        <v>22</v>
      </c>
      <c r="M239" s="52">
        <f t="shared" si="129"/>
        <v>0</v>
      </c>
      <c r="N239" s="24">
        <f t="shared" si="130"/>
        <v>0</v>
      </c>
      <c r="O239" s="17">
        <f t="shared" si="131"/>
        <v>-143.8100000000004</v>
      </c>
    </row>
    <row r="240" spans="1:18">
      <c r="A240" s="6">
        <v>45134</v>
      </c>
      <c r="B240" s="61" t="s">
        <v>358</v>
      </c>
      <c r="C240" s="9">
        <v>32</v>
      </c>
      <c r="D240">
        <v>88.22</v>
      </c>
      <c r="E240" s="29">
        <v>100</v>
      </c>
      <c r="F240" s="50">
        <v>87</v>
      </c>
      <c r="G240" s="21">
        <f t="shared" si="125"/>
        <v>10.655737704918042</v>
      </c>
      <c r="H240" s="6">
        <v>45135</v>
      </c>
      <c r="I240" s="29">
        <v>88.8</v>
      </c>
      <c r="J240" s="30">
        <f t="shared" si="126"/>
        <v>6.5744729086374409E-3</v>
      </c>
      <c r="K240" s="35">
        <f t="shared" si="127"/>
        <v>18.559999999999945</v>
      </c>
      <c r="L240" s="21">
        <f t="shared" si="128"/>
        <v>1</v>
      </c>
      <c r="M240" s="9">
        <f t="shared" si="129"/>
        <v>1</v>
      </c>
      <c r="N240">
        <f t="shared" si="130"/>
        <v>18.559999999999945</v>
      </c>
      <c r="O240">
        <f t="shared" si="131"/>
        <v>0</v>
      </c>
    </row>
    <row r="241" spans="1:18">
      <c r="A241" s="6">
        <v>45133</v>
      </c>
      <c r="B241" t="s">
        <v>442</v>
      </c>
      <c r="C241" s="9">
        <v>80</v>
      </c>
      <c r="D241">
        <v>75.8</v>
      </c>
      <c r="E241" s="29">
        <v>90</v>
      </c>
      <c r="F241" s="50">
        <v>75</v>
      </c>
      <c r="G241" s="21">
        <f t="shared" si="125"/>
        <v>18.750000000000068</v>
      </c>
      <c r="H241" s="6">
        <v>45161</v>
      </c>
      <c r="I241" s="16">
        <v>68</v>
      </c>
      <c r="J241" s="25">
        <f t="shared" si="126"/>
        <v>-0.1029023746701847</v>
      </c>
      <c r="K241" s="36">
        <f t="shared" si="127"/>
        <v>-624</v>
      </c>
      <c r="L241" s="24">
        <f t="shared" si="128"/>
        <v>28</v>
      </c>
      <c r="M241" s="52">
        <f t="shared" si="129"/>
        <v>0</v>
      </c>
      <c r="N241" s="24">
        <f t="shared" si="130"/>
        <v>0</v>
      </c>
      <c r="O241" s="17">
        <f t="shared" si="131"/>
        <v>-624</v>
      </c>
    </row>
    <row r="242" spans="1:18">
      <c r="A242" s="6">
        <v>45133</v>
      </c>
      <c r="B242" t="s">
        <v>521</v>
      </c>
      <c r="C242" s="9">
        <v>41</v>
      </c>
      <c r="D242">
        <v>128.94999999999999</v>
      </c>
      <c r="E242" s="29">
        <v>140</v>
      </c>
      <c r="F242" s="75">
        <v>125</v>
      </c>
      <c r="G242" s="21">
        <f t="shared" si="125"/>
        <v>3.7974683544303907</v>
      </c>
      <c r="H242" s="6">
        <v>45135</v>
      </c>
      <c r="I242" s="29">
        <v>132.80000000000001</v>
      </c>
      <c r="J242" s="30">
        <f t="shared" si="126"/>
        <v>2.9856533540131958E-2</v>
      </c>
      <c r="K242" s="35">
        <f t="shared" si="127"/>
        <v>157.85000000000036</v>
      </c>
      <c r="L242" s="21">
        <f t="shared" si="128"/>
        <v>2</v>
      </c>
      <c r="M242" s="9">
        <f t="shared" si="129"/>
        <v>1</v>
      </c>
      <c r="N242">
        <f t="shared" si="130"/>
        <v>157.85000000000036</v>
      </c>
      <c r="O242">
        <f t="shared" si="131"/>
        <v>0</v>
      </c>
      <c r="R242" s="28">
        <v>11159.51</v>
      </c>
    </row>
    <row r="243" spans="1:18">
      <c r="A243" s="6">
        <v>45132</v>
      </c>
      <c r="B243" t="s">
        <v>671</v>
      </c>
      <c r="C243" s="9">
        <v>350</v>
      </c>
      <c r="D243">
        <v>17.48</v>
      </c>
      <c r="E243" s="29">
        <v>19.3</v>
      </c>
      <c r="F243" s="50">
        <v>17</v>
      </c>
      <c r="G243" s="21">
        <f t="shared" si="125"/>
        <v>4.7916666666666643</v>
      </c>
      <c r="H243" s="6">
        <v>45135</v>
      </c>
      <c r="I243" s="29">
        <v>18.47</v>
      </c>
      <c r="J243" s="30">
        <f t="shared" si="126"/>
        <v>5.6636155606407224E-2</v>
      </c>
      <c r="K243" s="35">
        <f t="shared" si="127"/>
        <v>346.5</v>
      </c>
      <c r="L243" s="21">
        <f t="shared" si="128"/>
        <v>3</v>
      </c>
      <c r="M243" s="9">
        <f t="shared" si="129"/>
        <v>1</v>
      </c>
      <c r="N243">
        <f t="shared" si="130"/>
        <v>346.5</v>
      </c>
      <c r="O243">
        <f t="shared" si="131"/>
        <v>0</v>
      </c>
      <c r="R243" s="28">
        <v>10863.16</v>
      </c>
    </row>
    <row r="244" spans="1:18">
      <c r="A244" s="6">
        <v>45131</v>
      </c>
      <c r="B244" s="1" t="s">
        <v>311</v>
      </c>
      <c r="C244" s="9">
        <v>61</v>
      </c>
      <c r="D244">
        <v>11.75</v>
      </c>
      <c r="E244" s="29">
        <v>15</v>
      </c>
      <c r="F244" s="50">
        <v>11</v>
      </c>
      <c r="G244" s="21">
        <f t="shared" si="125"/>
        <v>5.333333333333333</v>
      </c>
      <c r="H244" s="6">
        <v>45135</v>
      </c>
      <c r="I244" s="29">
        <v>14.75</v>
      </c>
      <c r="J244" s="30">
        <f t="shared" si="126"/>
        <v>0.25531914893617014</v>
      </c>
      <c r="K244" s="35">
        <f t="shared" si="127"/>
        <v>183</v>
      </c>
      <c r="L244" s="21">
        <f t="shared" si="128"/>
        <v>4</v>
      </c>
      <c r="M244" s="9">
        <f t="shared" si="129"/>
        <v>1</v>
      </c>
      <c r="N244">
        <f t="shared" si="130"/>
        <v>183</v>
      </c>
      <c r="O244">
        <f t="shared" si="131"/>
        <v>0</v>
      </c>
    </row>
    <row r="245" spans="1:18">
      <c r="A245" s="6">
        <v>45131</v>
      </c>
      <c r="B245" t="s">
        <v>684</v>
      </c>
      <c r="C245" s="9">
        <v>194</v>
      </c>
      <c r="D245">
        <v>32</v>
      </c>
      <c r="E245" s="29">
        <v>41</v>
      </c>
      <c r="F245" s="50">
        <v>31</v>
      </c>
      <c r="G245" s="21">
        <f t="shared" si="125"/>
        <v>10</v>
      </c>
      <c r="H245" s="6">
        <v>45135</v>
      </c>
      <c r="I245" s="29">
        <v>33.299999999999997</v>
      </c>
      <c r="J245" s="30">
        <f t="shared" si="126"/>
        <v>4.0624999999999911E-2</v>
      </c>
      <c r="K245" s="35">
        <f t="shared" si="127"/>
        <v>252.19999999999982</v>
      </c>
      <c r="L245" s="21">
        <f t="shared" si="128"/>
        <v>4</v>
      </c>
      <c r="M245" s="9">
        <f t="shared" si="129"/>
        <v>1</v>
      </c>
      <c r="N245">
        <f t="shared" si="130"/>
        <v>252.19999999999982</v>
      </c>
      <c r="O245">
        <f t="shared" si="131"/>
        <v>0</v>
      </c>
    </row>
    <row r="246" spans="1:18">
      <c r="A246" s="6">
        <v>45131</v>
      </c>
      <c r="B246" s="61" t="s">
        <v>685</v>
      </c>
      <c r="C246" s="9">
        <v>36</v>
      </c>
      <c r="D246">
        <v>168</v>
      </c>
      <c r="E246" s="29">
        <v>180</v>
      </c>
      <c r="F246" s="50">
        <v>165</v>
      </c>
      <c r="G246" s="21">
        <f t="shared" si="125"/>
        <v>5</v>
      </c>
      <c r="H246" s="6">
        <v>45156</v>
      </c>
      <c r="I246" s="16">
        <v>160.5</v>
      </c>
      <c r="J246" s="25">
        <f t="shared" si="126"/>
        <v>-4.4642857142857095E-2</v>
      </c>
      <c r="K246" s="36">
        <f t="shared" si="127"/>
        <v>-270</v>
      </c>
      <c r="L246" s="24">
        <f t="shared" si="128"/>
        <v>25</v>
      </c>
      <c r="M246" s="52">
        <f t="shared" si="129"/>
        <v>0</v>
      </c>
      <c r="N246" s="24">
        <f t="shared" si="130"/>
        <v>0</v>
      </c>
      <c r="O246" s="17">
        <f t="shared" si="131"/>
        <v>-270</v>
      </c>
    </row>
    <row r="247" spans="1:18">
      <c r="A247" s="6">
        <v>45131</v>
      </c>
      <c r="B247" t="s">
        <v>25</v>
      </c>
      <c r="C247" s="9">
        <v>71</v>
      </c>
      <c r="D247">
        <v>85.8</v>
      </c>
      <c r="E247" s="29">
        <v>94</v>
      </c>
      <c r="F247" s="50">
        <v>80</v>
      </c>
      <c r="G247" s="21">
        <f t="shared" si="125"/>
        <v>2.4137931034482771</v>
      </c>
      <c r="H247" s="6">
        <v>45138</v>
      </c>
      <c r="I247" s="29">
        <v>87.35</v>
      </c>
      <c r="J247" s="30">
        <f t="shared" si="126"/>
        <v>1.8065268065267981E-2</v>
      </c>
      <c r="K247" s="35">
        <f t="shared" si="127"/>
        <v>110.04999999999927</v>
      </c>
      <c r="L247" s="21">
        <f t="shared" si="128"/>
        <v>7</v>
      </c>
      <c r="M247" s="9">
        <f t="shared" si="129"/>
        <v>1</v>
      </c>
      <c r="N247">
        <f t="shared" si="130"/>
        <v>110.04999999999927</v>
      </c>
      <c r="O247">
        <f t="shared" si="131"/>
        <v>0</v>
      </c>
    </row>
    <row r="248" spans="1:18">
      <c r="A248" s="6">
        <v>45131</v>
      </c>
      <c r="B248" t="s">
        <v>609</v>
      </c>
      <c r="C248" s="9">
        <v>89</v>
      </c>
      <c r="D248">
        <v>71.45</v>
      </c>
      <c r="E248" s="29">
        <v>80</v>
      </c>
      <c r="F248" s="50">
        <v>67</v>
      </c>
      <c r="G248" s="21">
        <f t="shared" si="125"/>
        <v>2.9213483146067398</v>
      </c>
      <c r="H248" s="6">
        <v>45142</v>
      </c>
      <c r="I248" s="29">
        <v>73.03</v>
      </c>
      <c r="J248" s="30">
        <f t="shared" si="126"/>
        <v>2.211336599020286E-2</v>
      </c>
      <c r="K248" s="35">
        <f t="shared" si="127"/>
        <v>140.61999999999989</v>
      </c>
      <c r="L248" s="21">
        <f t="shared" si="128"/>
        <v>11</v>
      </c>
      <c r="M248" s="9">
        <f t="shared" si="129"/>
        <v>1</v>
      </c>
      <c r="N248">
        <f t="shared" si="130"/>
        <v>140.61999999999989</v>
      </c>
    </row>
    <row r="249" spans="1:18">
      <c r="A249" s="6">
        <v>45131</v>
      </c>
      <c r="B249" t="s">
        <v>18</v>
      </c>
      <c r="C249" s="9">
        <v>158</v>
      </c>
      <c r="D249">
        <v>39.5</v>
      </c>
      <c r="E249" s="29">
        <v>55</v>
      </c>
      <c r="F249" s="50">
        <v>38</v>
      </c>
      <c r="G249" s="21">
        <f t="shared" si="125"/>
        <v>11.333333333333334</v>
      </c>
      <c r="H249" s="6">
        <v>45135</v>
      </c>
      <c r="I249" s="29">
        <v>40.200000000000003</v>
      </c>
      <c r="J249" s="30">
        <f t="shared" si="126"/>
        <v>1.7721518987341867E-2</v>
      </c>
      <c r="K249" s="35">
        <f t="shared" si="127"/>
        <v>110.60000000000036</v>
      </c>
      <c r="L249" s="21">
        <f t="shared" si="128"/>
        <v>4</v>
      </c>
      <c r="M249" s="9">
        <f t="shared" si="129"/>
        <v>1</v>
      </c>
      <c r="N249">
        <f t="shared" si="130"/>
        <v>110.60000000000036</v>
      </c>
      <c r="O249">
        <f t="shared" ref="O249:O254" si="132">IF(K249&lt;0, K249, 0)</f>
        <v>0</v>
      </c>
    </row>
    <row r="250" spans="1:18">
      <c r="A250" s="6">
        <v>45131</v>
      </c>
      <c r="B250" t="s">
        <v>70</v>
      </c>
      <c r="C250" s="9">
        <v>50</v>
      </c>
      <c r="D250">
        <v>125.6</v>
      </c>
      <c r="E250" s="29">
        <v>140</v>
      </c>
      <c r="F250" s="50">
        <v>120</v>
      </c>
      <c r="G250" s="21">
        <f t="shared" si="125"/>
        <v>3.5714285714285752</v>
      </c>
      <c r="H250" s="6">
        <v>45135</v>
      </c>
      <c r="I250" s="29">
        <v>129.5</v>
      </c>
      <c r="J250" s="30">
        <f t="shared" si="126"/>
        <v>3.1050955414012815E-2</v>
      </c>
      <c r="K250" s="35">
        <f t="shared" si="127"/>
        <v>195</v>
      </c>
      <c r="L250" s="21">
        <f t="shared" si="128"/>
        <v>4</v>
      </c>
      <c r="M250" s="9">
        <f t="shared" si="129"/>
        <v>1</v>
      </c>
      <c r="N250">
        <f t="shared" si="130"/>
        <v>195</v>
      </c>
      <c r="O250">
        <f t="shared" si="132"/>
        <v>0</v>
      </c>
      <c r="R250" s="64">
        <v>11299.26</v>
      </c>
    </row>
    <row r="251" spans="1:18">
      <c r="A251" s="6">
        <v>45128</v>
      </c>
      <c r="B251" s="1" t="s">
        <v>217</v>
      </c>
      <c r="C251" s="9">
        <v>2</v>
      </c>
      <c r="D251">
        <v>106.83</v>
      </c>
      <c r="E251" s="29">
        <v>115</v>
      </c>
      <c r="F251" s="50">
        <v>100</v>
      </c>
      <c r="G251" s="21">
        <f t="shared" ref="G251:G273" si="133" xml:space="preserve"> (E251 - F251)/(D251-F251)</f>
        <v>2.196193265007321</v>
      </c>
      <c r="H251" s="6">
        <v>45161</v>
      </c>
      <c r="I251" s="16">
        <v>102</v>
      </c>
      <c r="J251" s="25">
        <f t="shared" si="126"/>
        <v>-4.5212019095759559E-2</v>
      </c>
      <c r="K251" s="36">
        <f t="shared" si="127"/>
        <v>-9.6599999999999966</v>
      </c>
      <c r="L251" s="24">
        <f t="shared" si="128"/>
        <v>33</v>
      </c>
      <c r="M251" s="52">
        <f t="shared" si="129"/>
        <v>0</v>
      </c>
      <c r="N251" s="24">
        <f t="shared" si="130"/>
        <v>0</v>
      </c>
      <c r="O251" s="17">
        <f t="shared" si="132"/>
        <v>-9.6599999999999966</v>
      </c>
      <c r="R251" s="28">
        <v>11227.89</v>
      </c>
    </row>
    <row r="252" spans="1:18">
      <c r="A252" s="6">
        <v>45127</v>
      </c>
      <c r="B252" t="s">
        <v>672</v>
      </c>
      <c r="C252" s="9">
        <v>25</v>
      </c>
      <c r="D252">
        <v>245.65</v>
      </c>
      <c r="E252" s="29">
        <v>260</v>
      </c>
      <c r="F252" s="50">
        <v>240</v>
      </c>
      <c r="G252" s="21">
        <f t="shared" si="133"/>
        <v>3.5398230088495541</v>
      </c>
      <c r="H252" s="6">
        <v>45159</v>
      </c>
      <c r="I252" s="16">
        <v>216.5</v>
      </c>
      <c r="J252" s="25">
        <f t="shared" si="126"/>
        <v>-0.11866476694484029</v>
      </c>
      <c r="K252" s="36">
        <f t="shared" si="127"/>
        <v>-728.75</v>
      </c>
      <c r="L252" s="24">
        <f t="shared" si="128"/>
        <v>32</v>
      </c>
      <c r="M252" s="52">
        <f t="shared" si="129"/>
        <v>0</v>
      </c>
      <c r="N252" s="24">
        <f t="shared" si="130"/>
        <v>0</v>
      </c>
      <c r="O252" s="17">
        <f t="shared" si="132"/>
        <v>-728.75</v>
      </c>
      <c r="R252" s="28">
        <v>10861.46</v>
      </c>
    </row>
    <row r="253" spans="1:18">
      <c r="A253" s="6">
        <v>45126</v>
      </c>
      <c r="B253" t="s">
        <v>609</v>
      </c>
      <c r="C253" s="9">
        <v>89</v>
      </c>
      <c r="D253">
        <v>69.5</v>
      </c>
      <c r="E253" s="29">
        <v>80</v>
      </c>
      <c r="F253" s="50">
        <v>67</v>
      </c>
      <c r="G253" s="21">
        <f t="shared" si="133"/>
        <v>5.2</v>
      </c>
      <c r="H253" s="6">
        <v>45128</v>
      </c>
      <c r="I253" s="29">
        <v>70.75</v>
      </c>
      <c r="J253" s="30">
        <f t="shared" si="126"/>
        <v>1.7985611510791477E-2</v>
      </c>
      <c r="K253" s="35">
        <f t="shared" si="127"/>
        <v>111.25</v>
      </c>
      <c r="L253" s="21">
        <f t="shared" si="128"/>
        <v>2</v>
      </c>
      <c r="M253" s="9">
        <f t="shared" si="129"/>
        <v>1</v>
      </c>
      <c r="N253">
        <f t="shared" si="130"/>
        <v>111.25</v>
      </c>
      <c r="O253">
        <f t="shared" si="132"/>
        <v>0</v>
      </c>
    </row>
    <row r="254" spans="1:18">
      <c r="A254" s="6">
        <v>45126</v>
      </c>
      <c r="B254" t="s">
        <v>521</v>
      </c>
      <c r="C254" s="9">
        <v>41</v>
      </c>
      <c r="D254">
        <v>122.3</v>
      </c>
      <c r="E254" s="29">
        <v>130</v>
      </c>
      <c r="F254" s="50">
        <v>120</v>
      </c>
      <c r="G254" s="21">
        <f t="shared" si="133"/>
        <v>4.3478260869565268</v>
      </c>
      <c r="H254" s="6">
        <v>45133</v>
      </c>
      <c r="I254" s="29">
        <v>129.05000000000001</v>
      </c>
      <c r="J254" s="30">
        <f t="shared" si="126"/>
        <v>5.5192150449713928E-2</v>
      </c>
      <c r="K254" s="35">
        <f t="shared" si="127"/>
        <v>276.75</v>
      </c>
      <c r="L254" s="21">
        <f t="shared" si="128"/>
        <v>7</v>
      </c>
      <c r="M254" s="9">
        <f t="shared" si="129"/>
        <v>1</v>
      </c>
      <c r="N254">
        <f t="shared" si="130"/>
        <v>276.75</v>
      </c>
      <c r="O254">
        <f t="shared" si="132"/>
        <v>0</v>
      </c>
      <c r="R254" s="28">
        <v>10560.46</v>
      </c>
    </row>
    <row r="255" spans="1:18">
      <c r="A255" s="6">
        <v>45125</v>
      </c>
      <c r="B255" s="1" t="s">
        <v>681</v>
      </c>
      <c r="C255" s="9">
        <v>53</v>
      </c>
      <c r="D255">
        <v>14.12</v>
      </c>
      <c r="E255" s="29">
        <v>15.3</v>
      </c>
      <c r="F255" s="50">
        <v>13.9</v>
      </c>
      <c r="G255" s="21">
        <f t="shared" si="133"/>
        <v>6.363636363636398</v>
      </c>
      <c r="H255" s="6">
        <v>45205</v>
      </c>
      <c r="I255" s="16">
        <v>12</v>
      </c>
      <c r="J255" s="25">
        <f>I255/D255 -1</f>
        <v>-0.15014164305949007</v>
      </c>
      <c r="K255" s="36">
        <f>(C255*I255) - (C255*D255)</f>
        <v>-112.36000000000001</v>
      </c>
      <c r="L255" s="24">
        <f t="shared" si="128"/>
        <v>80</v>
      </c>
      <c r="M255" s="52">
        <f>IF(J255&gt;0,1,0)</f>
        <v>0</v>
      </c>
      <c r="N255" s="24">
        <f>IF(K255&gt;0, K255, 0)</f>
        <v>0</v>
      </c>
      <c r="O255" s="17">
        <f>IF(K255&lt;0, K255, 0)</f>
        <v>-112.36000000000001</v>
      </c>
    </row>
    <row r="256" spans="1:18">
      <c r="A256" s="6">
        <v>45125</v>
      </c>
      <c r="B256" t="s">
        <v>628</v>
      </c>
      <c r="C256" s="9">
        <v>140</v>
      </c>
      <c r="D256">
        <v>42.8</v>
      </c>
      <c r="E256" s="29">
        <v>55</v>
      </c>
      <c r="F256" s="50">
        <v>41</v>
      </c>
      <c r="G256" s="21">
        <f t="shared" si="133"/>
        <v>7.7777777777777901</v>
      </c>
      <c r="H256" s="6">
        <v>45126</v>
      </c>
      <c r="I256" s="29">
        <v>46.25</v>
      </c>
      <c r="J256" s="30">
        <f t="shared" ref="J256:J264" si="134">I256/D256 -1</f>
        <v>8.0607476635514042E-2</v>
      </c>
      <c r="K256" s="35">
        <f t="shared" ref="K256:K264" si="135">(C256*I256) - (C256*D256)</f>
        <v>483</v>
      </c>
      <c r="L256" s="21">
        <f t="shared" si="128"/>
        <v>1</v>
      </c>
      <c r="M256" s="9">
        <f t="shared" ref="M256:M264" si="136">IF(J256&gt;0,1,0)</f>
        <v>1</v>
      </c>
      <c r="N256">
        <f t="shared" ref="N256:N264" si="137">IF(K256&gt;0, K256, 0)</f>
        <v>483</v>
      </c>
      <c r="O256">
        <f t="shared" ref="O256:O264" si="138">IF(K256&lt;0, K256, 0)</f>
        <v>0</v>
      </c>
    </row>
    <row r="257" spans="1:18">
      <c r="A257" s="6">
        <v>45125</v>
      </c>
      <c r="B257" t="s">
        <v>676</v>
      </c>
      <c r="C257" s="9">
        <v>27</v>
      </c>
      <c r="D257">
        <v>218.87</v>
      </c>
      <c r="E257" s="29">
        <v>230</v>
      </c>
      <c r="F257" s="50">
        <v>211</v>
      </c>
      <c r="G257" s="21">
        <f t="shared" si="133"/>
        <v>2.4142312579415486</v>
      </c>
      <c r="H257" s="6">
        <v>45163</v>
      </c>
      <c r="I257" s="16">
        <v>213</v>
      </c>
      <c r="J257" s="25">
        <f t="shared" si="134"/>
        <v>-2.6819573262667373E-2</v>
      </c>
      <c r="K257" s="36">
        <f t="shared" si="135"/>
        <v>-158.48999999999978</v>
      </c>
      <c r="L257" s="24">
        <f t="shared" si="128"/>
        <v>38</v>
      </c>
      <c r="M257" s="52">
        <f t="shared" si="136"/>
        <v>0</v>
      </c>
      <c r="N257" s="24">
        <f t="shared" si="137"/>
        <v>0</v>
      </c>
      <c r="O257" s="17">
        <f t="shared" si="138"/>
        <v>-158.48999999999978</v>
      </c>
      <c r="R257" s="28">
        <v>9788.4599999999991</v>
      </c>
    </row>
    <row r="258" spans="1:18">
      <c r="A258" s="6">
        <v>45124</v>
      </c>
      <c r="B258" s="1" t="s">
        <v>311</v>
      </c>
      <c r="C258" s="9">
        <v>61</v>
      </c>
      <c r="D258">
        <v>10.58</v>
      </c>
      <c r="E258" s="29">
        <v>15</v>
      </c>
      <c r="F258" s="50">
        <v>10</v>
      </c>
      <c r="G258" s="21">
        <f t="shared" si="133"/>
        <v>8.6206896551724128</v>
      </c>
      <c r="H258" s="6">
        <v>45131</v>
      </c>
      <c r="I258" s="29">
        <v>11.75</v>
      </c>
      <c r="J258" s="30">
        <f t="shared" si="134"/>
        <v>0.11058601134215507</v>
      </c>
      <c r="K258" s="35">
        <f t="shared" si="135"/>
        <v>71.37</v>
      </c>
      <c r="L258" s="21">
        <f t="shared" si="128"/>
        <v>7</v>
      </c>
      <c r="M258" s="9">
        <f t="shared" si="136"/>
        <v>1</v>
      </c>
      <c r="N258">
        <f t="shared" si="137"/>
        <v>71.37</v>
      </c>
      <c r="O258">
        <f t="shared" si="138"/>
        <v>0</v>
      </c>
    </row>
    <row r="259" spans="1:18">
      <c r="A259" s="6">
        <v>45124</v>
      </c>
      <c r="B259" t="s">
        <v>439</v>
      </c>
      <c r="C259" s="9">
        <v>103</v>
      </c>
      <c r="D259">
        <v>109.48</v>
      </c>
      <c r="E259" s="29">
        <v>130</v>
      </c>
      <c r="F259" s="50">
        <v>100</v>
      </c>
      <c r="G259" s="21">
        <f t="shared" si="133"/>
        <v>3.1645569620253151</v>
      </c>
      <c r="H259" s="6">
        <v>45170</v>
      </c>
      <c r="I259" s="29">
        <v>109.5</v>
      </c>
      <c r="J259" s="30">
        <f t="shared" si="134"/>
        <v>1.8268176835944949E-4</v>
      </c>
      <c r="K259" s="35">
        <f t="shared" si="135"/>
        <v>2.0599999999994907</v>
      </c>
      <c r="L259" s="21">
        <f t="shared" si="128"/>
        <v>46</v>
      </c>
      <c r="M259" s="9">
        <f t="shared" si="136"/>
        <v>1</v>
      </c>
      <c r="N259">
        <f t="shared" si="137"/>
        <v>2.0599999999994907</v>
      </c>
      <c r="O259">
        <f t="shared" si="138"/>
        <v>0</v>
      </c>
    </row>
    <row r="260" spans="1:18">
      <c r="A260" s="6">
        <v>45124</v>
      </c>
      <c r="B260" t="s">
        <v>185</v>
      </c>
      <c r="C260" s="9">
        <v>1031</v>
      </c>
      <c r="D260">
        <v>6.67</v>
      </c>
      <c r="E260" s="29">
        <v>14</v>
      </c>
      <c r="F260" s="50">
        <v>8</v>
      </c>
      <c r="G260" s="21">
        <f t="shared" si="133"/>
        <v>-4.511278195488722</v>
      </c>
      <c r="H260" s="6">
        <v>45170</v>
      </c>
      <c r="I260" s="29">
        <v>6.98</v>
      </c>
      <c r="J260" s="30">
        <f t="shared" si="134"/>
        <v>4.6476761619190565E-2</v>
      </c>
      <c r="K260" s="35">
        <f t="shared" si="135"/>
        <v>319.61000000000058</v>
      </c>
      <c r="L260" s="21">
        <f t="shared" si="128"/>
        <v>46</v>
      </c>
      <c r="M260" s="9">
        <f t="shared" si="136"/>
        <v>1</v>
      </c>
      <c r="N260">
        <f t="shared" si="137"/>
        <v>319.61000000000058</v>
      </c>
      <c r="O260">
        <f t="shared" si="138"/>
        <v>0</v>
      </c>
    </row>
    <row r="261" spans="1:18">
      <c r="A261" s="6">
        <v>45124</v>
      </c>
      <c r="B261" t="s">
        <v>185</v>
      </c>
      <c r="C261" s="9">
        <v>546</v>
      </c>
      <c r="D261">
        <v>8.2799999999999994</v>
      </c>
      <c r="E261" s="29">
        <v>14</v>
      </c>
      <c r="F261" s="50">
        <v>8</v>
      </c>
      <c r="G261" s="21">
        <f t="shared" si="133"/>
        <v>21.428571428571477</v>
      </c>
      <c r="H261" s="6">
        <v>45145</v>
      </c>
      <c r="I261" s="16">
        <v>6.48</v>
      </c>
      <c r="J261" s="25">
        <f t="shared" si="134"/>
        <v>-0.21739130434782594</v>
      </c>
      <c r="K261" s="36">
        <f t="shared" si="135"/>
        <v>-982.79999999999882</v>
      </c>
      <c r="L261" s="24">
        <f t="shared" si="128"/>
        <v>21</v>
      </c>
      <c r="M261" s="52">
        <f t="shared" si="136"/>
        <v>0</v>
      </c>
      <c r="N261" s="24">
        <f t="shared" si="137"/>
        <v>0</v>
      </c>
      <c r="O261" s="17">
        <f t="shared" si="138"/>
        <v>-982.79999999999882</v>
      </c>
      <c r="R261" s="28">
        <v>8933.5</v>
      </c>
    </row>
    <row r="262" spans="1:18">
      <c r="A262" s="6">
        <v>45121</v>
      </c>
      <c r="B262" s="1" t="s">
        <v>605</v>
      </c>
      <c r="C262" s="9">
        <v>14</v>
      </c>
      <c r="D262">
        <v>57</v>
      </c>
      <c r="E262" s="29">
        <v>60</v>
      </c>
      <c r="F262" s="50">
        <v>56</v>
      </c>
      <c r="G262" s="21">
        <f t="shared" si="133"/>
        <v>4</v>
      </c>
      <c r="H262" s="6">
        <v>45133</v>
      </c>
      <c r="I262" s="29">
        <v>58.4</v>
      </c>
      <c r="J262" s="30">
        <f t="shared" si="134"/>
        <v>2.4561403508772006E-2</v>
      </c>
      <c r="K262" s="35">
        <f t="shared" si="135"/>
        <v>19.600000000000023</v>
      </c>
      <c r="L262" s="21">
        <f t="shared" si="128"/>
        <v>12</v>
      </c>
      <c r="M262" s="9">
        <f t="shared" si="136"/>
        <v>1</v>
      </c>
      <c r="N262">
        <f t="shared" si="137"/>
        <v>19.600000000000023</v>
      </c>
      <c r="O262">
        <f t="shared" si="138"/>
        <v>0</v>
      </c>
    </row>
    <row r="263" spans="1:18">
      <c r="A263" s="6">
        <v>45121</v>
      </c>
      <c r="B263" s="1" t="s">
        <v>679</v>
      </c>
      <c r="C263" s="9">
        <v>3</v>
      </c>
      <c r="D263">
        <v>240</v>
      </c>
      <c r="E263" s="29">
        <v>260</v>
      </c>
      <c r="F263" s="50">
        <v>238</v>
      </c>
      <c r="G263" s="21">
        <f t="shared" si="133"/>
        <v>11</v>
      </c>
      <c r="H263" s="6">
        <v>45125</v>
      </c>
      <c r="I263" s="29">
        <v>249</v>
      </c>
      <c r="J263" s="30">
        <f t="shared" si="134"/>
        <v>3.7500000000000089E-2</v>
      </c>
      <c r="K263" s="35">
        <f t="shared" si="135"/>
        <v>27</v>
      </c>
      <c r="L263" s="21">
        <f t="shared" si="128"/>
        <v>4</v>
      </c>
      <c r="M263" s="9">
        <f t="shared" si="136"/>
        <v>1</v>
      </c>
      <c r="N263">
        <f t="shared" si="137"/>
        <v>27</v>
      </c>
      <c r="O263">
        <f t="shared" si="138"/>
        <v>0</v>
      </c>
    </row>
    <row r="264" spans="1:18">
      <c r="A264" s="6">
        <v>45121</v>
      </c>
      <c r="B264" s="22" t="s">
        <v>18</v>
      </c>
      <c r="C264" s="57">
        <v>200</v>
      </c>
      <c r="D264">
        <v>0.74</v>
      </c>
      <c r="E264" s="29">
        <v>1.44</v>
      </c>
      <c r="F264" s="50">
        <v>0.7</v>
      </c>
      <c r="G264" s="21">
        <f t="shared" si="133"/>
        <v>18.499999999999982</v>
      </c>
      <c r="H264" s="6">
        <v>45127</v>
      </c>
      <c r="I264" s="29">
        <v>1.44</v>
      </c>
      <c r="J264" s="30">
        <f t="shared" si="134"/>
        <v>0.94594594594594583</v>
      </c>
      <c r="K264" s="35">
        <f t="shared" si="135"/>
        <v>140</v>
      </c>
      <c r="L264" s="21">
        <f t="shared" si="128"/>
        <v>6</v>
      </c>
      <c r="M264" s="9">
        <f t="shared" si="136"/>
        <v>1</v>
      </c>
      <c r="N264">
        <f t="shared" si="137"/>
        <v>140</v>
      </c>
      <c r="O264">
        <f t="shared" si="138"/>
        <v>0</v>
      </c>
      <c r="R264" s="64">
        <v>8985.85</v>
      </c>
    </row>
    <row r="265" spans="1:18">
      <c r="A265" s="6">
        <v>45120</v>
      </c>
      <c r="B265" s="1" t="s">
        <v>213</v>
      </c>
      <c r="C265" s="9">
        <v>9</v>
      </c>
      <c r="D265">
        <v>85.32</v>
      </c>
      <c r="E265" s="29">
        <v>90</v>
      </c>
      <c r="F265" s="50">
        <v>84</v>
      </c>
      <c r="G265" s="21">
        <f t="shared" si="133"/>
        <v>4.545454545454569</v>
      </c>
      <c r="H265" s="6">
        <v>45201</v>
      </c>
      <c r="I265" s="16">
        <v>77.5</v>
      </c>
      <c r="J265" s="25">
        <f>I265/D265 -1</f>
        <v>-9.1654946085325761E-2</v>
      </c>
      <c r="K265" s="36">
        <f>(C265*I265) - (C265*D265)</f>
        <v>-70.379999999999882</v>
      </c>
      <c r="L265" s="24">
        <f t="shared" si="128"/>
        <v>81</v>
      </c>
      <c r="M265" s="52">
        <f>IF(J265&gt;0,1,0)</f>
        <v>0</v>
      </c>
      <c r="N265" s="24">
        <f>IF(K265&gt;0, K265, 0)</f>
        <v>0</v>
      </c>
      <c r="O265" s="17">
        <f>IF(K265&lt;0, K265, 0)</f>
        <v>-70.379999999999882</v>
      </c>
    </row>
    <row r="266" spans="1:18">
      <c r="A266" s="6">
        <v>45120</v>
      </c>
      <c r="B266" s="1" t="s">
        <v>63</v>
      </c>
      <c r="C266" s="9">
        <v>8</v>
      </c>
      <c r="D266">
        <v>96.18</v>
      </c>
      <c r="E266" s="29">
        <v>105</v>
      </c>
      <c r="F266" s="50">
        <v>91</v>
      </c>
      <c r="G266" s="21">
        <f t="shared" si="133"/>
        <v>2.7027027027026991</v>
      </c>
      <c r="H266" s="6">
        <v>45169</v>
      </c>
      <c r="I266" s="16">
        <v>86</v>
      </c>
      <c r="J266" s="25">
        <f>I266/D266 -1</f>
        <v>-0.10584321064670421</v>
      </c>
      <c r="K266" s="36">
        <f>(C266*I266) - (C266*D266)</f>
        <v>-81.440000000000055</v>
      </c>
      <c r="L266" s="24">
        <f t="shared" si="128"/>
        <v>49</v>
      </c>
      <c r="M266" s="52">
        <f>IF(J266&gt;0,1,0)</f>
        <v>0</v>
      </c>
      <c r="N266" s="24">
        <f>IF(K266&gt;0, K266, 0)</f>
        <v>0</v>
      </c>
      <c r="O266" s="17">
        <f>IF(K266&lt;0, K266, 0)</f>
        <v>-81.440000000000055</v>
      </c>
    </row>
    <row r="267" spans="1:18">
      <c r="A267" s="6">
        <v>45120</v>
      </c>
      <c r="B267" t="s">
        <v>426</v>
      </c>
      <c r="C267" s="9">
        <v>17</v>
      </c>
      <c r="D267">
        <v>343</v>
      </c>
      <c r="E267" s="29">
        <v>360</v>
      </c>
      <c r="F267" s="50">
        <v>335</v>
      </c>
      <c r="G267" s="21">
        <f t="shared" si="133"/>
        <v>3.125</v>
      </c>
      <c r="H267" s="6">
        <v>45126</v>
      </c>
      <c r="I267" s="29">
        <v>360</v>
      </c>
      <c r="J267" s="30">
        <f t="shared" ref="J267:J274" si="139">I267/D267 -1</f>
        <v>4.9562682215743337E-2</v>
      </c>
      <c r="K267" s="35">
        <f t="shared" ref="K267:K274" si="140">(C267*I267) - (C267*D267)</f>
        <v>289</v>
      </c>
      <c r="L267" s="21">
        <f t="shared" si="128"/>
        <v>6</v>
      </c>
      <c r="M267" s="9">
        <f t="shared" ref="M267:M274" si="141">IF(J267&gt;0,1,0)</f>
        <v>1</v>
      </c>
      <c r="N267">
        <f t="shared" ref="N267:N274" si="142">IF(K267&gt;0, K267, 0)</f>
        <v>289</v>
      </c>
      <c r="O267">
        <f t="shared" ref="O267:O274" si="143">IF(K267&lt;0, K267, 0)</f>
        <v>0</v>
      </c>
    </row>
    <row r="268" spans="1:18">
      <c r="A268" s="6">
        <v>45120</v>
      </c>
      <c r="B268" t="s">
        <v>47</v>
      </c>
      <c r="C268" s="9">
        <v>149</v>
      </c>
      <c r="D268">
        <v>38.479999999999997</v>
      </c>
      <c r="E268" s="29">
        <v>41</v>
      </c>
      <c r="F268" s="50">
        <v>37</v>
      </c>
      <c r="G268" s="21">
        <f t="shared" si="133"/>
        <v>2.7027027027027084</v>
      </c>
      <c r="H268" s="6">
        <v>45132</v>
      </c>
      <c r="I268" s="29">
        <v>39.74</v>
      </c>
      <c r="J268" s="30">
        <f t="shared" si="139"/>
        <v>3.2744282744282982E-2</v>
      </c>
      <c r="K268" s="35">
        <f t="shared" si="140"/>
        <v>187.74000000000069</v>
      </c>
      <c r="L268" s="21">
        <f t="shared" si="128"/>
        <v>12</v>
      </c>
      <c r="M268" s="9">
        <f t="shared" si="141"/>
        <v>1</v>
      </c>
      <c r="N268">
        <f t="shared" si="142"/>
        <v>187.74000000000069</v>
      </c>
      <c r="O268">
        <f t="shared" si="143"/>
        <v>0</v>
      </c>
    </row>
    <row r="269" spans="1:18">
      <c r="A269" s="6">
        <v>45120</v>
      </c>
      <c r="B269" t="s">
        <v>287</v>
      </c>
      <c r="C269" s="9">
        <v>149</v>
      </c>
      <c r="D269">
        <v>44.16</v>
      </c>
      <c r="E269" s="29">
        <v>50</v>
      </c>
      <c r="F269" s="50">
        <v>42</v>
      </c>
      <c r="G269" s="21">
        <f t="shared" si="133"/>
        <v>3.7037037037037095</v>
      </c>
      <c r="H269" s="6">
        <v>45121</v>
      </c>
      <c r="I269" s="29">
        <v>44.41</v>
      </c>
      <c r="J269" s="30">
        <f t="shared" si="139"/>
        <v>5.6612318840578713E-3</v>
      </c>
      <c r="K269" s="35">
        <f t="shared" si="140"/>
        <v>37.25</v>
      </c>
      <c r="L269" s="21">
        <f t="shared" si="128"/>
        <v>1</v>
      </c>
      <c r="M269" s="9">
        <f t="shared" si="141"/>
        <v>1</v>
      </c>
      <c r="N269">
        <f t="shared" si="142"/>
        <v>37.25</v>
      </c>
      <c r="O269">
        <f t="shared" si="143"/>
        <v>0</v>
      </c>
      <c r="R269" s="28">
        <v>8732.2800000000007</v>
      </c>
    </row>
    <row r="270" spans="1:18">
      <c r="A270" s="6">
        <v>45119</v>
      </c>
      <c r="B270" t="s">
        <v>314</v>
      </c>
      <c r="C270" s="9">
        <v>44</v>
      </c>
      <c r="D270">
        <v>130.1</v>
      </c>
      <c r="E270" s="29">
        <v>138</v>
      </c>
      <c r="F270" s="50">
        <v>126</v>
      </c>
      <c r="G270" s="21">
        <f t="shared" si="133"/>
        <v>2.9268292682926869</v>
      </c>
      <c r="H270" s="6">
        <v>45120</v>
      </c>
      <c r="I270" s="29">
        <v>134.5</v>
      </c>
      <c r="J270" s="30">
        <f t="shared" si="139"/>
        <v>3.3820138355111551E-2</v>
      </c>
      <c r="K270" s="35">
        <f t="shared" si="140"/>
        <v>193.60000000000036</v>
      </c>
      <c r="L270" s="21">
        <f t="shared" ref="L270:L298" si="144">H270-A270</f>
        <v>1</v>
      </c>
      <c r="M270" s="9">
        <f t="shared" si="141"/>
        <v>1</v>
      </c>
      <c r="N270">
        <f t="shared" si="142"/>
        <v>193.60000000000036</v>
      </c>
      <c r="O270">
        <f t="shared" si="143"/>
        <v>0</v>
      </c>
    </row>
    <row r="271" spans="1:18">
      <c r="A271" s="6">
        <v>45119</v>
      </c>
      <c r="B271" t="s">
        <v>287</v>
      </c>
      <c r="C271" s="9">
        <v>149</v>
      </c>
      <c r="D271">
        <v>41.2</v>
      </c>
      <c r="E271" s="29">
        <v>50</v>
      </c>
      <c r="F271" s="50">
        <v>40</v>
      </c>
      <c r="G271" s="21">
        <f t="shared" si="133"/>
        <v>8.3333333333333144</v>
      </c>
      <c r="H271" s="6">
        <v>45120</v>
      </c>
      <c r="I271" s="29">
        <v>44.16</v>
      </c>
      <c r="J271" s="30">
        <f t="shared" si="139"/>
        <v>7.1844660194174681E-2</v>
      </c>
      <c r="K271" s="35">
        <f t="shared" si="140"/>
        <v>441.03999999999905</v>
      </c>
      <c r="L271" s="21">
        <f t="shared" si="144"/>
        <v>1</v>
      </c>
      <c r="M271" s="9">
        <f t="shared" si="141"/>
        <v>1</v>
      </c>
      <c r="N271">
        <f t="shared" si="142"/>
        <v>441.03999999999905</v>
      </c>
      <c r="O271">
        <f t="shared" si="143"/>
        <v>0</v>
      </c>
    </row>
    <row r="272" spans="1:18">
      <c r="A272" s="6">
        <v>45119</v>
      </c>
      <c r="B272" t="s">
        <v>47</v>
      </c>
      <c r="C272" s="9">
        <v>149</v>
      </c>
      <c r="D272">
        <v>37.4</v>
      </c>
      <c r="E272" s="29">
        <v>41</v>
      </c>
      <c r="F272" s="50">
        <v>37</v>
      </c>
      <c r="G272" s="21">
        <f t="shared" si="133"/>
        <v>10.000000000000036</v>
      </c>
      <c r="H272" s="6">
        <v>45120</v>
      </c>
      <c r="I272" s="29">
        <v>38.5</v>
      </c>
      <c r="J272" s="30">
        <f t="shared" si="139"/>
        <v>2.941176470588247E-2</v>
      </c>
      <c r="K272" s="35">
        <f t="shared" si="140"/>
        <v>163.90000000000055</v>
      </c>
      <c r="L272" s="21">
        <f t="shared" si="144"/>
        <v>1</v>
      </c>
      <c r="M272" s="9">
        <f t="shared" si="141"/>
        <v>1</v>
      </c>
      <c r="N272">
        <f t="shared" si="142"/>
        <v>163.90000000000055</v>
      </c>
      <c r="O272">
        <f t="shared" si="143"/>
        <v>0</v>
      </c>
    </row>
    <row r="273" spans="1:18">
      <c r="A273" s="6">
        <v>45119</v>
      </c>
      <c r="B273" t="s">
        <v>598</v>
      </c>
      <c r="C273" s="9">
        <v>113</v>
      </c>
      <c r="D273">
        <v>53.45</v>
      </c>
      <c r="E273" s="29">
        <v>55</v>
      </c>
      <c r="F273" s="50">
        <v>52</v>
      </c>
      <c r="G273" s="21">
        <f t="shared" si="133"/>
        <v>2.0689655172413755</v>
      </c>
      <c r="H273" s="6">
        <v>45121</v>
      </c>
      <c r="I273" s="16">
        <v>52.75</v>
      </c>
      <c r="J273" s="25">
        <f t="shared" si="139"/>
        <v>-1.3096351730589428E-2</v>
      </c>
      <c r="K273" s="36">
        <f t="shared" si="140"/>
        <v>-79.100000000000364</v>
      </c>
      <c r="L273" s="24">
        <f t="shared" si="144"/>
        <v>2</v>
      </c>
      <c r="M273" s="52">
        <f t="shared" si="141"/>
        <v>0</v>
      </c>
      <c r="N273" s="24">
        <f t="shared" si="142"/>
        <v>0</v>
      </c>
      <c r="O273" s="17">
        <f t="shared" si="143"/>
        <v>-79.100000000000364</v>
      </c>
    </row>
    <row r="274" spans="1:18">
      <c r="A274" s="6">
        <v>45118</v>
      </c>
      <c r="B274" s="1" t="s">
        <v>434</v>
      </c>
      <c r="C274" s="9">
        <v>17</v>
      </c>
      <c r="D274">
        <v>44</v>
      </c>
      <c r="E274" s="29">
        <v>50</v>
      </c>
      <c r="F274" s="50">
        <v>41</v>
      </c>
      <c r="G274" s="21">
        <f t="shared" ref="G274:G279" si="145" xml:space="preserve"> (E274 - F274)/(D274-F274)</f>
        <v>3</v>
      </c>
      <c r="H274" s="6">
        <v>45175</v>
      </c>
      <c r="I274" s="29">
        <v>48.85</v>
      </c>
      <c r="J274" s="30">
        <f t="shared" si="139"/>
        <v>0.11022727272727284</v>
      </c>
      <c r="K274" s="35">
        <f t="shared" si="140"/>
        <v>82.450000000000045</v>
      </c>
      <c r="L274" s="21">
        <f t="shared" si="144"/>
        <v>57</v>
      </c>
      <c r="M274" s="9">
        <f t="shared" si="141"/>
        <v>1</v>
      </c>
      <c r="N274">
        <f t="shared" si="142"/>
        <v>82.450000000000045</v>
      </c>
      <c r="O274">
        <f t="shared" si="143"/>
        <v>0</v>
      </c>
    </row>
    <row r="275" spans="1:18">
      <c r="A275" s="6">
        <v>45118</v>
      </c>
      <c r="B275" t="s">
        <v>436</v>
      </c>
      <c r="C275" s="9">
        <v>179</v>
      </c>
      <c r="D275">
        <v>34.119999999999997</v>
      </c>
      <c r="E275" s="29">
        <v>38</v>
      </c>
      <c r="F275" s="50">
        <v>33.5</v>
      </c>
      <c r="G275" s="21">
        <f t="shared" si="145"/>
        <v>7.2580645161290622</v>
      </c>
      <c r="H275" s="6">
        <v>45121</v>
      </c>
      <c r="I275" s="29">
        <v>34.6</v>
      </c>
      <c r="J275" s="30">
        <f t="shared" ref="J275:J298" si="146">I275/D275 -1</f>
        <v>1.406799531066838E-2</v>
      </c>
      <c r="K275" s="35">
        <f t="shared" ref="K275:K298" si="147">(C275*I275) - (C275*D275)</f>
        <v>85.920000000000982</v>
      </c>
      <c r="L275" s="21">
        <f t="shared" si="144"/>
        <v>3</v>
      </c>
      <c r="M275" s="9">
        <f t="shared" ref="M275:M298" si="148">IF(J275&gt;0,1,0)</f>
        <v>1</v>
      </c>
      <c r="N275">
        <f t="shared" ref="N275:N298" si="149">IF(K275&gt;0, K275, 0)</f>
        <v>85.920000000000982</v>
      </c>
      <c r="O275">
        <f t="shared" ref="O275:O298" si="150">IF(K275&lt;0, K275, 0)</f>
        <v>0</v>
      </c>
      <c r="R275" s="28">
        <v>7735.27</v>
      </c>
    </row>
    <row r="276" spans="1:18">
      <c r="A276" s="6">
        <v>45118</v>
      </c>
      <c r="B276" t="s">
        <v>598</v>
      </c>
      <c r="C276" s="9">
        <v>131</v>
      </c>
      <c r="D276">
        <v>52.25</v>
      </c>
      <c r="E276" s="29">
        <v>55</v>
      </c>
      <c r="F276" s="50">
        <v>50</v>
      </c>
      <c r="G276" s="21">
        <f t="shared" si="145"/>
        <v>2.2222222222222223</v>
      </c>
      <c r="H276" s="6">
        <v>45119</v>
      </c>
      <c r="I276" s="29">
        <v>53.54</v>
      </c>
      <c r="J276" s="30">
        <f t="shared" si="146"/>
        <v>2.4688995215311094E-2</v>
      </c>
      <c r="K276" s="35">
        <f t="shared" si="147"/>
        <v>168.98999999999978</v>
      </c>
      <c r="L276" s="21">
        <f t="shared" si="144"/>
        <v>1</v>
      </c>
      <c r="M276" s="9">
        <f t="shared" si="148"/>
        <v>1</v>
      </c>
      <c r="N276">
        <f t="shared" si="149"/>
        <v>168.98999999999978</v>
      </c>
      <c r="O276">
        <f t="shared" si="150"/>
        <v>0</v>
      </c>
    </row>
    <row r="277" spans="1:18">
      <c r="A277" s="6">
        <v>45118</v>
      </c>
      <c r="B277" s="61" t="s">
        <v>633</v>
      </c>
      <c r="C277" s="9">
        <v>68</v>
      </c>
      <c r="D277">
        <v>88.5</v>
      </c>
      <c r="E277" s="29">
        <v>100</v>
      </c>
      <c r="F277" s="50">
        <v>87</v>
      </c>
      <c r="G277" s="21">
        <f t="shared" si="145"/>
        <v>8.6666666666666661</v>
      </c>
      <c r="H277" s="6">
        <v>45119</v>
      </c>
      <c r="I277" s="29">
        <v>90.5</v>
      </c>
      <c r="J277" s="30">
        <f t="shared" si="146"/>
        <v>2.2598870056497189E-2</v>
      </c>
      <c r="K277" s="35">
        <f t="shared" si="147"/>
        <v>136</v>
      </c>
      <c r="L277" s="21">
        <f t="shared" si="144"/>
        <v>1</v>
      </c>
      <c r="M277" s="9">
        <f t="shared" si="148"/>
        <v>1</v>
      </c>
      <c r="N277">
        <f t="shared" si="149"/>
        <v>136</v>
      </c>
      <c r="O277">
        <f t="shared" si="150"/>
        <v>0</v>
      </c>
    </row>
    <row r="278" spans="1:18">
      <c r="A278" s="6">
        <v>45118</v>
      </c>
      <c r="B278" t="s">
        <v>632</v>
      </c>
      <c r="C278" s="9">
        <v>59</v>
      </c>
      <c r="D278">
        <v>93.3</v>
      </c>
      <c r="E278" s="29">
        <v>120</v>
      </c>
      <c r="F278" s="50">
        <v>92</v>
      </c>
      <c r="G278" s="21">
        <f t="shared" si="145"/>
        <v>21.538461538461586</v>
      </c>
      <c r="H278" s="6">
        <v>45121</v>
      </c>
      <c r="I278" s="16">
        <v>92.1</v>
      </c>
      <c r="J278" s="25">
        <f t="shared" si="146"/>
        <v>-1.2861736334405127E-2</v>
      </c>
      <c r="K278" s="36">
        <f t="shared" si="147"/>
        <v>-70.800000000000182</v>
      </c>
      <c r="L278" s="24">
        <f t="shared" si="144"/>
        <v>3</v>
      </c>
      <c r="M278" s="52">
        <f t="shared" si="148"/>
        <v>0</v>
      </c>
      <c r="N278" s="24">
        <f t="shared" si="149"/>
        <v>0</v>
      </c>
      <c r="O278" s="17">
        <f t="shared" si="150"/>
        <v>-70.800000000000182</v>
      </c>
    </row>
    <row r="279" spans="1:18">
      <c r="A279" s="6">
        <v>45118</v>
      </c>
      <c r="B279" s="61" t="s">
        <v>227</v>
      </c>
      <c r="C279" s="9">
        <v>12</v>
      </c>
      <c r="D279">
        <v>504.35</v>
      </c>
      <c r="E279" s="29">
        <v>540</v>
      </c>
      <c r="F279" s="50">
        <v>500</v>
      </c>
      <c r="G279" s="21">
        <f t="shared" si="145"/>
        <v>9.1954022988505262</v>
      </c>
      <c r="H279" s="6">
        <v>45121</v>
      </c>
      <c r="I279" s="29">
        <v>514</v>
      </c>
      <c r="J279" s="30">
        <f t="shared" si="146"/>
        <v>1.913353821750774E-2</v>
      </c>
      <c r="K279" s="35">
        <f t="shared" si="147"/>
        <v>115.79999999999927</v>
      </c>
      <c r="L279" s="21">
        <f t="shared" si="144"/>
        <v>3</v>
      </c>
      <c r="M279" s="9">
        <f t="shared" si="148"/>
        <v>1</v>
      </c>
      <c r="N279">
        <f t="shared" si="149"/>
        <v>115.79999999999927</v>
      </c>
      <c r="O279">
        <f t="shared" si="150"/>
        <v>0</v>
      </c>
      <c r="R279" s="28">
        <v>6988.28</v>
      </c>
    </row>
    <row r="280" spans="1:18">
      <c r="A280" s="6">
        <v>45117</v>
      </c>
      <c r="B280" s="1" t="s">
        <v>75</v>
      </c>
      <c r="C280" s="9">
        <v>28</v>
      </c>
      <c r="D280">
        <v>8.9600000000000009</v>
      </c>
      <c r="E280" s="29">
        <v>9.5</v>
      </c>
      <c r="F280" s="50">
        <v>8.5</v>
      </c>
      <c r="G280" s="21">
        <f xml:space="preserve"> (E280 - F280)/(D280-F280)</f>
        <v>2.1739130434782568</v>
      </c>
      <c r="H280" s="6">
        <v>45128</v>
      </c>
      <c r="I280" s="29">
        <v>9</v>
      </c>
      <c r="J280" s="30">
        <f t="shared" si="146"/>
        <v>4.4642857142855874E-3</v>
      </c>
      <c r="K280" s="35">
        <f t="shared" si="147"/>
        <v>1.1199999999999761</v>
      </c>
      <c r="L280" s="21">
        <f t="shared" si="144"/>
        <v>11</v>
      </c>
      <c r="M280" s="9">
        <f t="shared" si="148"/>
        <v>1</v>
      </c>
      <c r="N280">
        <f t="shared" si="149"/>
        <v>1.1199999999999761</v>
      </c>
      <c r="O280">
        <f t="shared" si="150"/>
        <v>0</v>
      </c>
    </row>
    <row r="281" spans="1:18">
      <c r="A281" s="6">
        <v>45117</v>
      </c>
      <c r="B281" t="s">
        <v>438</v>
      </c>
      <c r="C281" s="9">
        <v>179</v>
      </c>
      <c r="D281">
        <v>29.55</v>
      </c>
      <c r="E281" s="29">
        <v>29</v>
      </c>
      <c r="F281" s="50">
        <v>30</v>
      </c>
      <c r="G281" s="21">
        <f xml:space="preserve"> (E281 - F281)/(D281-F281)</f>
        <v>2.2222222222222259</v>
      </c>
      <c r="H281" s="6">
        <v>45119</v>
      </c>
      <c r="I281" s="29">
        <v>31.55</v>
      </c>
      <c r="J281" s="30">
        <f t="shared" si="146"/>
        <v>6.7681895093062661E-2</v>
      </c>
      <c r="K281" s="35">
        <f t="shared" si="147"/>
        <v>358</v>
      </c>
      <c r="L281" s="21">
        <f t="shared" si="144"/>
        <v>2</v>
      </c>
      <c r="M281" s="9">
        <f t="shared" si="148"/>
        <v>1</v>
      </c>
      <c r="N281">
        <f t="shared" si="149"/>
        <v>358</v>
      </c>
      <c r="O281">
        <f t="shared" si="150"/>
        <v>0</v>
      </c>
    </row>
    <row r="282" spans="1:18">
      <c r="A282" s="6">
        <v>45117</v>
      </c>
      <c r="B282" t="s">
        <v>287</v>
      </c>
      <c r="C282" s="9">
        <v>140</v>
      </c>
      <c r="D282">
        <v>39.67</v>
      </c>
      <c r="E282" s="29">
        <v>50</v>
      </c>
      <c r="F282" s="50">
        <v>37</v>
      </c>
      <c r="G282" s="21">
        <f xml:space="preserve"> (E282 - F282)/(D282-F282)</f>
        <v>4.8689138576778994</v>
      </c>
      <c r="H282" s="6">
        <v>45118</v>
      </c>
      <c r="I282" s="29">
        <v>40.200000000000003</v>
      </c>
      <c r="J282" s="30">
        <f t="shared" si="146"/>
        <v>1.3360221830098329E-2</v>
      </c>
      <c r="K282" s="35">
        <f t="shared" si="147"/>
        <v>74.199999999999818</v>
      </c>
      <c r="L282" s="21">
        <f t="shared" si="144"/>
        <v>1</v>
      </c>
      <c r="M282" s="9">
        <f t="shared" si="148"/>
        <v>1</v>
      </c>
      <c r="N282">
        <f t="shared" si="149"/>
        <v>74.199999999999818</v>
      </c>
      <c r="O282">
        <f t="shared" si="150"/>
        <v>0</v>
      </c>
    </row>
    <row r="283" spans="1:18">
      <c r="A283" s="6">
        <v>45117</v>
      </c>
      <c r="B283" s="61" t="s">
        <v>633</v>
      </c>
      <c r="C283" s="9">
        <v>68</v>
      </c>
      <c r="D283">
        <v>86.5</v>
      </c>
      <c r="E283" s="29">
        <v>90</v>
      </c>
      <c r="F283" s="50">
        <v>85</v>
      </c>
      <c r="G283" s="21">
        <f xml:space="preserve"> (E283 - F283)/(D283-F283)</f>
        <v>3.3333333333333335</v>
      </c>
      <c r="H283" s="6">
        <v>45118</v>
      </c>
      <c r="I283" s="29">
        <v>88.5</v>
      </c>
      <c r="J283" s="30">
        <f t="shared" si="146"/>
        <v>2.3121387283236983E-2</v>
      </c>
      <c r="K283" s="35">
        <f t="shared" si="147"/>
        <v>136</v>
      </c>
      <c r="L283" s="21">
        <f t="shared" si="144"/>
        <v>1</v>
      </c>
      <c r="M283" s="9">
        <f t="shared" si="148"/>
        <v>1</v>
      </c>
      <c r="N283">
        <f t="shared" si="149"/>
        <v>136</v>
      </c>
      <c r="O283">
        <f t="shared" si="150"/>
        <v>0</v>
      </c>
      <c r="R283" s="28">
        <v>5642.92</v>
      </c>
    </row>
    <row r="284" spans="1:18">
      <c r="A284" s="6">
        <v>45114</v>
      </c>
      <c r="B284" s="1" t="s">
        <v>311</v>
      </c>
      <c r="C284" s="9">
        <v>71</v>
      </c>
      <c r="D284">
        <v>9.99</v>
      </c>
      <c r="E284" s="29">
        <v>15.2</v>
      </c>
      <c r="F284" s="50">
        <v>9</v>
      </c>
      <c r="G284" s="21">
        <f t="shared" ref="G284:G294" si="151" xml:space="preserve"> (E284 - F284)/(D284-F284)</f>
        <v>6.2626262626262603</v>
      </c>
      <c r="H284" s="6">
        <v>45118</v>
      </c>
      <c r="I284" s="29">
        <v>10.8</v>
      </c>
      <c r="J284" s="30">
        <f t="shared" si="146"/>
        <v>8.1081081081081141E-2</v>
      </c>
      <c r="K284" s="35">
        <f t="shared" si="147"/>
        <v>57.510000000000105</v>
      </c>
      <c r="L284" s="21">
        <f t="shared" si="144"/>
        <v>4</v>
      </c>
      <c r="M284" s="9">
        <f t="shared" si="148"/>
        <v>1</v>
      </c>
      <c r="N284">
        <f t="shared" si="149"/>
        <v>57.510000000000105</v>
      </c>
      <c r="O284">
        <f t="shared" si="150"/>
        <v>0</v>
      </c>
      <c r="R284" s="28">
        <v>5490.69</v>
      </c>
    </row>
    <row r="285" spans="1:18">
      <c r="A285" s="6">
        <v>45113</v>
      </c>
      <c r="B285" t="s">
        <v>20</v>
      </c>
      <c r="C285" s="9">
        <v>14</v>
      </c>
      <c r="D285">
        <v>331.41</v>
      </c>
      <c r="E285" s="29">
        <v>350</v>
      </c>
      <c r="F285" s="50">
        <v>315</v>
      </c>
      <c r="G285" s="21">
        <f t="shared" si="151"/>
        <v>2.1328458257160237</v>
      </c>
      <c r="H285" s="6">
        <v>45114</v>
      </c>
      <c r="I285" s="16">
        <v>307.5</v>
      </c>
      <c r="J285" s="25">
        <f t="shared" si="146"/>
        <v>-7.2146284059020571E-2</v>
      </c>
      <c r="K285" s="36">
        <f t="shared" si="147"/>
        <v>-334.74000000000069</v>
      </c>
      <c r="L285" s="24">
        <f t="shared" si="144"/>
        <v>1</v>
      </c>
      <c r="M285" s="52">
        <f t="shared" si="148"/>
        <v>0</v>
      </c>
      <c r="N285" s="24">
        <f t="shared" si="149"/>
        <v>0</v>
      </c>
      <c r="O285" s="17">
        <f t="shared" si="150"/>
        <v>-334.74000000000069</v>
      </c>
    </row>
    <row r="286" spans="1:18">
      <c r="A286" s="6">
        <v>45112</v>
      </c>
      <c r="B286" s="1" t="s">
        <v>364</v>
      </c>
      <c r="C286" s="9">
        <v>163</v>
      </c>
      <c r="D286">
        <v>4.3</v>
      </c>
      <c r="E286" s="29">
        <v>6.3</v>
      </c>
      <c r="F286" s="50">
        <v>4</v>
      </c>
      <c r="G286" s="21">
        <f t="shared" si="151"/>
        <v>7.6666666666666705</v>
      </c>
      <c r="H286" s="6">
        <v>45114</v>
      </c>
      <c r="I286" s="29">
        <v>4.3600000000000003</v>
      </c>
      <c r="J286" s="30">
        <f t="shared" si="146"/>
        <v>1.3953488372093092E-2</v>
      </c>
      <c r="K286" s="35">
        <f t="shared" si="147"/>
        <v>9.7800000000000864</v>
      </c>
      <c r="L286" s="21">
        <f t="shared" si="144"/>
        <v>2</v>
      </c>
      <c r="M286" s="9">
        <f t="shared" si="148"/>
        <v>1</v>
      </c>
      <c r="N286">
        <f t="shared" si="149"/>
        <v>9.7800000000000864</v>
      </c>
      <c r="O286">
        <f t="shared" si="150"/>
        <v>0</v>
      </c>
    </row>
    <row r="287" spans="1:18">
      <c r="A287" s="6">
        <v>45112</v>
      </c>
      <c r="B287" t="s">
        <v>287</v>
      </c>
      <c r="C287" s="9">
        <v>140</v>
      </c>
      <c r="D287">
        <v>41.8</v>
      </c>
      <c r="E287" s="29">
        <v>50</v>
      </c>
      <c r="F287" s="50">
        <v>37</v>
      </c>
      <c r="G287" s="21">
        <f t="shared" si="151"/>
        <v>2.7083333333333348</v>
      </c>
      <c r="H287" s="6">
        <v>45114</v>
      </c>
      <c r="I287" s="16">
        <v>40</v>
      </c>
      <c r="J287" s="25">
        <f t="shared" si="146"/>
        <v>-4.3062200956937691E-2</v>
      </c>
      <c r="K287" s="36">
        <f t="shared" si="147"/>
        <v>-252</v>
      </c>
      <c r="L287" s="24">
        <f t="shared" si="144"/>
        <v>2</v>
      </c>
      <c r="M287" s="52">
        <f t="shared" si="148"/>
        <v>0</v>
      </c>
      <c r="N287" s="24">
        <f t="shared" si="149"/>
        <v>0</v>
      </c>
      <c r="O287" s="17">
        <f t="shared" si="150"/>
        <v>-252</v>
      </c>
    </row>
    <row r="288" spans="1:18">
      <c r="A288" s="6">
        <v>45112</v>
      </c>
      <c r="B288" t="s">
        <v>116</v>
      </c>
      <c r="C288" s="9">
        <v>32</v>
      </c>
      <c r="D288">
        <v>185.6</v>
      </c>
      <c r="E288" s="29">
        <v>200</v>
      </c>
      <c r="F288" s="50">
        <v>180</v>
      </c>
      <c r="G288" s="21">
        <f t="shared" si="151"/>
        <v>3.5714285714285752</v>
      </c>
      <c r="H288" s="6">
        <v>45128</v>
      </c>
      <c r="I288" s="29">
        <v>190.5</v>
      </c>
      <c r="J288" s="30">
        <f t="shared" si="146"/>
        <v>2.6400862068965525E-2</v>
      </c>
      <c r="K288" s="35">
        <f t="shared" si="147"/>
        <v>156.80000000000018</v>
      </c>
      <c r="L288" s="21">
        <f t="shared" si="144"/>
        <v>16</v>
      </c>
      <c r="M288" s="9">
        <f t="shared" si="148"/>
        <v>1</v>
      </c>
      <c r="N288">
        <f t="shared" si="149"/>
        <v>156.80000000000018</v>
      </c>
      <c r="O288">
        <f t="shared" si="150"/>
        <v>0</v>
      </c>
    </row>
    <row r="289" spans="1:18">
      <c r="A289" s="6">
        <v>45112</v>
      </c>
      <c r="B289" t="s">
        <v>224</v>
      </c>
      <c r="C289" s="9">
        <v>26</v>
      </c>
      <c r="D289">
        <v>226.04</v>
      </c>
      <c r="E289" s="29">
        <v>260</v>
      </c>
      <c r="F289" s="50">
        <v>220</v>
      </c>
      <c r="G289" s="21">
        <f t="shared" si="151"/>
        <v>6.6225165562913997</v>
      </c>
      <c r="H289" s="6">
        <v>45125</v>
      </c>
      <c r="I289" s="29">
        <v>232.5</v>
      </c>
      <c r="J289" s="30">
        <f t="shared" si="146"/>
        <v>2.8579012564148076E-2</v>
      </c>
      <c r="K289" s="35">
        <f t="shared" si="147"/>
        <v>167.96000000000004</v>
      </c>
      <c r="L289" s="21">
        <f t="shared" si="144"/>
        <v>13</v>
      </c>
      <c r="M289" s="9">
        <f t="shared" si="148"/>
        <v>1</v>
      </c>
      <c r="N289">
        <f t="shared" si="149"/>
        <v>167.96000000000004</v>
      </c>
      <c r="O289">
        <f t="shared" si="150"/>
        <v>0</v>
      </c>
    </row>
    <row r="290" spans="1:18">
      <c r="A290" s="6">
        <v>45112</v>
      </c>
      <c r="B290" t="s">
        <v>498</v>
      </c>
      <c r="C290" s="9">
        <v>35</v>
      </c>
      <c r="D290">
        <v>163.4</v>
      </c>
      <c r="E290" s="29">
        <v>180</v>
      </c>
      <c r="F290" s="50">
        <v>161</v>
      </c>
      <c r="G290" s="21">
        <f t="shared" si="151"/>
        <v>7.9166666666666483</v>
      </c>
      <c r="H290" s="6">
        <v>45127</v>
      </c>
      <c r="I290" s="29">
        <v>168</v>
      </c>
      <c r="J290" s="30">
        <f t="shared" si="146"/>
        <v>2.8151774785801775E-2</v>
      </c>
      <c r="K290" s="35">
        <f t="shared" si="147"/>
        <v>161</v>
      </c>
      <c r="L290" s="21">
        <f t="shared" si="144"/>
        <v>15</v>
      </c>
      <c r="M290" s="9">
        <f t="shared" si="148"/>
        <v>1</v>
      </c>
      <c r="N290">
        <f t="shared" si="149"/>
        <v>161</v>
      </c>
      <c r="O290">
        <f t="shared" si="150"/>
        <v>0</v>
      </c>
    </row>
    <row r="291" spans="1:18">
      <c r="A291" s="6">
        <v>45112</v>
      </c>
      <c r="B291" s="61" t="s">
        <v>227</v>
      </c>
      <c r="C291" s="9">
        <v>12</v>
      </c>
      <c r="D291">
        <v>488.1</v>
      </c>
      <c r="E291" s="29">
        <v>540</v>
      </c>
      <c r="F291" s="50">
        <v>455</v>
      </c>
      <c r="G291" s="21">
        <f t="shared" si="151"/>
        <v>2.5679758308157083</v>
      </c>
      <c r="H291" s="6">
        <v>45118</v>
      </c>
      <c r="I291" s="29">
        <v>504.35</v>
      </c>
      <c r="J291" s="30">
        <f t="shared" si="146"/>
        <v>3.3292358123335308E-2</v>
      </c>
      <c r="K291" s="35">
        <f t="shared" si="147"/>
        <v>195</v>
      </c>
      <c r="L291" s="21">
        <f t="shared" si="144"/>
        <v>6</v>
      </c>
      <c r="M291" s="9">
        <f t="shared" si="148"/>
        <v>1</v>
      </c>
      <c r="N291">
        <f t="shared" si="149"/>
        <v>195</v>
      </c>
      <c r="O291">
        <f t="shared" si="150"/>
        <v>0</v>
      </c>
    </row>
    <row r="292" spans="1:18">
      <c r="A292" s="6">
        <v>45112</v>
      </c>
      <c r="B292" t="s">
        <v>508</v>
      </c>
      <c r="C292" s="9">
        <v>17</v>
      </c>
      <c r="D292">
        <v>295.97000000000003</v>
      </c>
      <c r="E292" s="29">
        <v>323</v>
      </c>
      <c r="F292" s="50">
        <v>280</v>
      </c>
      <c r="G292" s="21">
        <f t="shared" si="151"/>
        <v>2.6925485284909159</v>
      </c>
      <c r="H292" s="6">
        <v>45114</v>
      </c>
      <c r="I292" s="16">
        <v>291</v>
      </c>
      <c r="J292" s="25">
        <f t="shared" si="146"/>
        <v>-1.6792242457005835E-2</v>
      </c>
      <c r="K292" s="36">
        <f t="shared" si="147"/>
        <v>-84.490000000000691</v>
      </c>
      <c r="L292" s="24">
        <f t="shared" si="144"/>
        <v>2</v>
      </c>
      <c r="M292" s="52">
        <f t="shared" si="148"/>
        <v>0</v>
      </c>
      <c r="N292" s="24">
        <f t="shared" si="149"/>
        <v>0</v>
      </c>
      <c r="O292" s="17">
        <f t="shared" si="150"/>
        <v>-84.490000000000691</v>
      </c>
    </row>
    <row r="293" spans="1:18">
      <c r="A293" s="6">
        <v>45112</v>
      </c>
      <c r="B293" t="s">
        <v>632</v>
      </c>
      <c r="C293" s="9">
        <v>59</v>
      </c>
      <c r="D293">
        <v>85</v>
      </c>
      <c r="E293" s="29">
        <v>120</v>
      </c>
      <c r="F293" s="50">
        <v>80</v>
      </c>
      <c r="G293" s="21">
        <f t="shared" si="151"/>
        <v>8</v>
      </c>
      <c r="H293" s="6">
        <v>45118</v>
      </c>
      <c r="I293" s="29">
        <v>93.35</v>
      </c>
      <c r="J293" s="30">
        <f t="shared" si="146"/>
        <v>9.8235294117646976E-2</v>
      </c>
      <c r="K293" s="35">
        <f t="shared" si="147"/>
        <v>492.64999999999964</v>
      </c>
      <c r="L293" s="21">
        <f t="shared" si="144"/>
        <v>6</v>
      </c>
      <c r="M293" s="9">
        <f t="shared" si="148"/>
        <v>1</v>
      </c>
      <c r="N293">
        <f t="shared" si="149"/>
        <v>492.64999999999964</v>
      </c>
      <c r="O293">
        <f t="shared" si="150"/>
        <v>0</v>
      </c>
    </row>
    <row r="294" spans="1:18">
      <c r="A294" s="6">
        <v>45112</v>
      </c>
      <c r="B294" t="s">
        <v>521</v>
      </c>
      <c r="C294" s="9">
        <v>50</v>
      </c>
      <c r="D294">
        <v>121.91</v>
      </c>
      <c r="E294" s="29">
        <v>130</v>
      </c>
      <c r="F294" s="50">
        <v>120</v>
      </c>
      <c r="G294" s="21">
        <f t="shared" si="151"/>
        <v>5.2356020942408472</v>
      </c>
      <c r="H294" s="6">
        <v>45121</v>
      </c>
      <c r="I294" s="29">
        <v>125.2</v>
      </c>
      <c r="J294" s="30">
        <f t="shared" si="146"/>
        <v>2.6987121647116696E-2</v>
      </c>
      <c r="K294" s="35">
        <f t="shared" si="147"/>
        <v>164.5</v>
      </c>
      <c r="L294" s="21">
        <f t="shared" si="144"/>
        <v>9</v>
      </c>
      <c r="M294" s="9">
        <f t="shared" si="148"/>
        <v>1</v>
      </c>
      <c r="N294">
        <f t="shared" si="149"/>
        <v>164.5</v>
      </c>
      <c r="O294">
        <f t="shared" si="150"/>
        <v>0</v>
      </c>
      <c r="R294" s="28">
        <v>5357.4</v>
      </c>
    </row>
    <row r="295" spans="1:18">
      <c r="A295" s="6">
        <v>45107</v>
      </c>
      <c r="B295" s="1" t="s">
        <v>75</v>
      </c>
      <c r="C295" s="9">
        <v>43</v>
      </c>
      <c r="D295">
        <v>8.56</v>
      </c>
      <c r="E295" s="29">
        <v>9.5</v>
      </c>
      <c r="F295" s="50">
        <v>8</v>
      </c>
      <c r="G295" s="21">
        <f t="shared" ref="G295:G318" si="152" xml:space="preserve"> (E295 - F295)/(D295-F295)</f>
        <v>2.6785714285714262</v>
      </c>
      <c r="H295" s="6">
        <v>45112</v>
      </c>
      <c r="I295" s="29">
        <v>9.1300000000000008</v>
      </c>
      <c r="J295" s="30">
        <f t="shared" si="146"/>
        <v>6.6588785046729049E-2</v>
      </c>
      <c r="K295" s="35">
        <f t="shared" si="147"/>
        <v>24.509999999999991</v>
      </c>
      <c r="L295" s="21">
        <f t="shared" si="144"/>
        <v>5</v>
      </c>
      <c r="M295" s="9">
        <f t="shared" si="148"/>
        <v>1</v>
      </c>
      <c r="N295">
        <f t="shared" si="149"/>
        <v>24.509999999999991</v>
      </c>
      <c r="O295">
        <f t="shared" si="150"/>
        <v>0</v>
      </c>
    </row>
    <row r="296" spans="1:18">
      <c r="A296" s="6">
        <v>45107</v>
      </c>
      <c r="B296" t="s">
        <v>508</v>
      </c>
      <c r="C296" s="9">
        <v>17</v>
      </c>
      <c r="D296">
        <v>287.2</v>
      </c>
      <c r="E296" s="29">
        <v>300</v>
      </c>
      <c r="F296" s="50">
        <v>280</v>
      </c>
      <c r="G296" s="21">
        <f t="shared" si="152"/>
        <v>2.7777777777777821</v>
      </c>
      <c r="H296" s="6">
        <v>45112</v>
      </c>
      <c r="I296" s="29">
        <v>296</v>
      </c>
      <c r="J296" s="30">
        <f t="shared" si="146"/>
        <v>3.0640668523676862E-2</v>
      </c>
      <c r="K296" s="35">
        <f t="shared" si="147"/>
        <v>149.60000000000036</v>
      </c>
      <c r="L296" s="21">
        <f t="shared" si="144"/>
        <v>5</v>
      </c>
      <c r="M296" s="9">
        <f t="shared" si="148"/>
        <v>1</v>
      </c>
      <c r="N296">
        <f t="shared" si="149"/>
        <v>149.60000000000036</v>
      </c>
      <c r="O296">
        <f t="shared" si="150"/>
        <v>0</v>
      </c>
      <c r="R296" s="28">
        <v>5082.6400000000003</v>
      </c>
    </row>
    <row r="297" spans="1:18">
      <c r="A297" s="6">
        <v>45106</v>
      </c>
      <c r="B297" t="s">
        <v>169</v>
      </c>
      <c r="C297" s="9">
        <v>410</v>
      </c>
      <c r="D297">
        <v>13.24</v>
      </c>
      <c r="E297" s="29">
        <v>16</v>
      </c>
      <c r="F297" s="50">
        <v>13</v>
      </c>
      <c r="G297" s="21">
        <f t="shared" si="152"/>
        <v>12.499999999999989</v>
      </c>
      <c r="H297" s="6">
        <v>45107</v>
      </c>
      <c r="I297" s="29">
        <v>13.32</v>
      </c>
      <c r="J297" s="30">
        <f t="shared" si="146"/>
        <v>6.0422960725075026E-3</v>
      </c>
      <c r="K297" s="35">
        <f t="shared" si="147"/>
        <v>32.800000000000182</v>
      </c>
      <c r="L297" s="21">
        <f t="shared" si="144"/>
        <v>1</v>
      </c>
      <c r="M297" s="9">
        <f t="shared" si="148"/>
        <v>1</v>
      </c>
      <c r="N297">
        <f t="shared" si="149"/>
        <v>32.800000000000182</v>
      </c>
      <c r="O297">
        <f t="shared" si="150"/>
        <v>0</v>
      </c>
      <c r="R297" s="28">
        <v>4871.8500000000004</v>
      </c>
    </row>
    <row r="298" spans="1:18">
      <c r="A298" s="6">
        <v>45105</v>
      </c>
      <c r="B298" s="1" t="s">
        <v>58</v>
      </c>
      <c r="C298" s="9">
        <v>68</v>
      </c>
      <c r="D298">
        <v>7.71</v>
      </c>
      <c r="E298" s="29">
        <v>8.5</v>
      </c>
      <c r="F298" s="50">
        <v>7.2</v>
      </c>
      <c r="G298" s="21">
        <f t="shared" si="152"/>
        <v>2.549019607843138</v>
      </c>
      <c r="H298" s="6">
        <v>45140</v>
      </c>
      <c r="I298" s="29">
        <v>7.8</v>
      </c>
      <c r="J298" s="30">
        <f t="shared" si="146"/>
        <v>1.1673151750972721E-2</v>
      </c>
      <c r="K298" s="35">
        <f t="shared" si="147"/>
        <v>6.1200000000000045</v>
      </c>
      <c r="L298" s="21">
        <f t="shared" si="144"/>
        <v>35</v>
      </c>
      <c r="M298" s="9">
        <f t="shared" si="148"/>
        <v>1</v>
      </c>
      <c r="N298">
        <f t="shared" si="149"/>
        <v>6.1200000000000045</v>
      </c>
      <c r="O298">
        <f t="shared" si="150"/>
        <v>0</v>
      </c>
    </row>
    <row r="299" spans="1:18">
      <c r="A299" s="6">
        <v>45105</v>
      </c>
      <c r="B299" t="s">
        <v>301</v>
      </c>
      <c r="C299" s="9">
        <v>200</v>
      </c>
      <c r="D299">
        <v>2.95</v>
      </c>
      <c r="E299" s="29">
        <v>7</v>
      </c>
      <c r="F299" s="50">
        <v>1</v>
      </c>
      <c r="G299" s="21">
        <f t="shared" si="152"/>
        <v>3.0769230769230766</v>
      </c>
      <c r="H299" s="6">
        <v>45272</v>
      </c>
      <c r="I299" s="29">
        <v>3.2</v>
      </c>
      <c r="J299" s="30">
        <f>I299/D299 -1</f>
        <v>8.4745762711864403E-2</v>
      </c>
      <c r="K299" s="35">
        <f>(C299*I299) - (C299*D299)</f>
        <v>50</v>
      </c>
      <c r="L299" s="21">
        <f>H299-A299</f>
        <v>167</v>
      </c>
      <c r="M299" s="9">
        <f>IF(J299&gt;0,1,0)</f>
        <v>1</v>
      </c>
      <c r="N299">
        <f>IF(K299&gt;0, K299, 0)</f>
        <v>50</v>
      </c>
      <c r="O299">
        <f>IF(K299&lt;0, K299, 0)</f>
        <v>0</v>
      </c>
    </row>
    <row r="300" spans="1:18">
      <c r="A300" s="6">
        <v>45105</v>
      </c>
      <c r="B300" t="s">
        <v>521</v>
      </c>
      <c r="C300" s="9">
        <v>50</v>
      </c>
      <c r="D300">
        <v>120.19</v>
      </c>
      <c r="E300" s="29">
        <v>130</v>
      </c>
      <c r="F300" s="50">
        <v>120</v>
      </c>
      <c r="G300" s="21">
        <f t="shared" si="152"/>
        <v>52.63157894736905</v>
      </c>
      <c r="H300" s="6">
        <v>45112</v>
      </c>
      <c r="I300" s="29">
        <v>121.93</v>
      </c>
      <c r="J300" s="30">
        <f t="shared" ref="J300:J319" si="153">I300/D300 -1</f>
        <v>1.4477077959896834E-2</v>
      </c>
      <c r="K300" s="35">
        <f t="shared" ref="K300:K319" si="154">(C300*I300) - (C300*D300)</f>
        <v>87</v>
      </c>
      <c r="L300" s="21">
        <f t="shared" ref="L300:L341" si="155">H300-A300</f>
        <v>7</v>
      </c>
      <c r="M300" s="9">
        <f t="shared" ref="M300:M319" si="156">IF(J300&gt;0,1,0)</f>
        <v>1</v>
      </c>
      <c r="N300">
        <f t="shared" ref="N300:N319" si="157">IF(K300&gt;0, K300, 0)</f>
        <v>87</v>
      </c>
      <c r="O300">
        <f t="shared" ref="O300:O319" si="158">IF(K300&lt;0, K300, 0)</f>
        <v>0</v>
      </c>
      <c r="R300" s="28">
        <v>4613.45</v>
      </c>
    </row>
    <row r="301" spans="1:18">
      <c r="A301" s="6">
        <v>45104</v>
      </c>
      <c r="B301" s="1" t="s">
        <v>137</v>
      </c>
      <c r="C301" s="9">
        <v>12</v>
      </c>
      <c r="D301">
        <v>29.6</v>
      </c>
      <c r="E301" s="29">
        <v>31</v>
      </c>
      <c r="F301" s="50">
        <v>28</v>
      </c>
      <c r="G301" s="21">
        <f t="shared" si="152"/>
        <v>1.8749999999999982</v>
      </c>
      <c r="H301" s="6">
        <v>45107</v>
      </c>
      <c r="I301" s="29">
        <v>30.71</v>
      </c>
      <c r="J301" s="30">
        <f t="shared" si="153"/>
        <v>3.7500000000000089E-2</v>
      </c>
      <c r="K301" s="35">
        <f t="shared" si="154"/>
        <v>13.319999999999936</v>
      </c>
      <c r="L301" s="21">
        <f t="shared" si="155"/>
        <v>3</v>
      </c>
      <c r="M301" s="9">
        <f t="shared" si="156"/>
        <v>1</v>
      </c>
      <c r="N301">
        <f t="shared" si="157"/>
        <v>13.319999999999936</v>
      </c>
      <c r="O301">
        <f t="shared" si="158"/>
        <v>0</v>
      </c>
    </row>
    <row r="302" spans="1:18">
      <c r="A302" s="6">
        <v>45104</v>
      </c>
      <c r="B302" s="1" t="s">
        <v>645</v>
      </c>
      <c r="C302" s="9">
        <v>21</v>
      </c>
      <c r="D302">
        <v>12.27</v>
      </c>
      <c r="E302" s="29">
        <v>14</v>
      </c>
      <c r="F302" s="50">
        <v>12</v>
      </c>
      <c r="G302" s="21">
        <f t="shared" si="152"/>
        <v>7.407407407407419</v>
      </c>
      <c r="H302" s="6">
        <v>45112</v>
      </c>
      <c r="I302" s="29">
        <v>12.92</v>
      </c>
      <c r="J302" s="30">
        <f t="shared" si="153"/>
        <v>5.2974735126324335E-2</v>
      </c>
      <c r="K302" s="35">
        <f t="shared" si="154"/>
        <v>13.649999999999977</v>
      </c>
      <c r="L302" s="21">
        <f t="shared" si="155"/>
        <v>8</v>
      </c>
      <c r="M302" s="9">
        <f t="shared" si="156"/>
        <v>1</v>
      </c>
      <c r="N302">
        <f t="shared" si="157"/>
        <v>13.649999999999977</v>
      </c>
      <c r="O302">
        <f t="shared" si="158"/>
        <v>0</v>
      </c>
    </row>
    <row r="303" spans="1:18">
      <c r="A303" s="6">
        <v>45104</v>
      </c>
      <c r="B303" t="s">
        <v>434</v>
      </c>
      <c r="C303" s="9">
        <v>140</v>
      </c>
      <c r="D303">
        <v>41.75</v>
      </c>
      <c r="E303" s="29">
        <v>50</v>
      </c>
      <c r="F303" s="50">
        <v>41</v>
      </c>
      <c r="G303" s="21">
        <f t="shared" si="152"/>
        <v>12</v>
      </c>
      <c r="H303" s="6">
        <v>45106</v>
      </c>
      <c r="I303" s="29">
        <v>42.31</v>
      </c>
      <c r="J303" s="30">
        <f t="shared" si="153"/>
        <v>1.3413173652694566E-2</v>
      </c>
      <c r="K303" s="35">
        <f t="shared" si="154"/>
        <v>78.400000000000546</v>
      </c>
      <c r="L303" s="21">
        <f t="shared" si="155"/>
        <v>2</v>
      </c>
      <c r="M303" s="9">
        <f t="shared" si="156"/>
        <v>1</v>
      </c>
      <c r="N303">
        <f t="shared" si="157"/>
        <v>78.400000000000546</v>
      </c>
      <c r="O303">
        <f t="shared" si="158"/>
        <v>0</v>
      </c>
    </row>
    <row r="304" spans="1:18">
      <c r="A304" s="6">
        <v>45104</v>
      </c>
      <c r="B304" t="s">
        <v>439</v>
      </c>
      <c r="C304" s="9">
        <v>50</v>
      </c>
      <c r="D304">
        <v>110.62</v>
      </c>
      <c r="E304" s="29">
        <v>120</v>
      </c>
      <c r="F304" s="50">
        <v>102</v>
      </c>
      <c r="G304" s="21">
        <f t="shared" si="152"/>
        <v>2.088167053364268</v>
      </c>
      <c r="H304" s="6">
        <v>45107</v>
      </c>
      <c r="I304" s="29">
        <v>114.1</v>
      </c>
      <c r="J304" s="30">
        <f t="shared" si="153"/>
        <v>3.1459048996564709E-2</v>
      </c>
      <c r="K304" s="35">
        <f t="shared" si="154"/>
        <v>174</v>
      </c>
      <c r="L304" s="21">
        <f t="shared" si="155"/>
        <v>3</v>
      </c>
      <c r="M304" s="9">
        <f t="shared" si="156"/>
        <v>1</v>
      </c>
      <c r="N304">
        <f t="shared" si="157"/>
        <v>174</v>
      </c>
      <c r="O304">
        <f t="shared" si="158"/>
        <v>0</v>
      </c>
      <c r="R304" s="28">
        <v>4888.53</v>
      </c>
    </row>
    <row r="305" spans="1:18">
      <c r="A305" s="6">
        <v>45103</v>
      </c>
      <c r="B305" s="1" t="s">
        <v>92</v>
      </c>
      <c r="C305" s="9">
        <v>14</v>
      </c>
      <c r="D305">
        <v>65.55</v>
      </c>
      <c r="E305" s="29">
        <v>70</v>
      </c>
      <c r="F305" s="50">
        <v>65</v>
      </c>
      <c r="G305" s="21">
        <f t="shared" si="152"/>
        <v>9.0909090909091379</v>
      </c>
      <c r="H305" s="6">
        <v>45139</v>
      </c>
      <c r="I305" s="29">
        <v>71</v>
      </c>
      <c r="J305" s="30">
        <f t="shared" si="153"/>
        <v>8.3142639206712499E-2</v>
      </c>
      <c r="K305" s="35">
        <f t="shared" si="154"/>
        <v>76.300000000000068</v>
      </c>
      <c r="L305" s="21">
        <f t="shared" si="155"/>
        <v>36</v>
      </c>
      <c r="M305" s="9">
        <f t="shared" si="156"/>
        <v>1</v>
      </c>
      <c r="N305">
        <f t="shared" si="157"/>
        <v>76.300000000000068</v>
      </c>
      <c r="O305">
        <f t="shared" si="158"/>
        <v>0</v>
      </c>
    </row>
    <row r="306" spans="1:18">
      <c r="A306" s="6">
        <v>45103</v>
      </c>
      <c r="B306" s="22" t="s">
        <v>286</v>
      </c>
      <c r="C306" s="57">
        <v>100</v>
      </c>
      <c r="D306">
        <v>1.7</v>
      </c>
      <c r="E306" s="29">
        <v>5</v>
      </c>
      <c r="F306" s="50">
        <v>0.8</v>
      </c>
      <c r="G306" s="21">
        <f t="shared" si="152"/>
        <v>4.666666666666667</v>
      </c>
      <c r="H306" s="6">
        <v>45118</v>
      </c>
      <c r="I306" s="29">
        <v>3.3</v>
      </c>
      <c r="J306" s="30">
        <f t="shared" si="153"/>
        <v>0.94117647058823528</v>
      </c>
      <c r="K306" s="35">
        <f t="shared" si="154"/>
        <v>160</v>
      </c>
      <c r="L306" s="21">
        <f t="shared" si="155"/>
        <v>15</v>
      </c>
      <c r="M306" s="9">
        <f t="shared" si="156"/>
        <v>1</v>
      </c>
      <c r="N306">
        <f t="shared" si="157"/>
        <v>160</v>
      </c>
      <c r="O306">
        <f t="shared" si="158"/>
        <v>0</v>
      </c>
    </row>
    <row r="307" spans="1:18">
      <c r="A307" s="6">
        <v>45103</v>
      </c>
      <c r="B307" s="22" t="s">
        <v>286</v>
      </c>
      <c r="C307" s="57">
        <v>100</v>
      </c>
      <c r="D307">
        <v>1.7</v>
      </c>
      <c r="E307" s="29">
        <v>5</v>
      </c>
      <c r="F307" s="50">
        <v>0.8</v>
      </c>
      <c r="G307" s="21">
        <f t="shared" si="152"/>
        <v>4.666666666666667</v>
      </c>
      <c r="H307" s="6">
        <v>45114</v>
      </c>
      <c r="I307" s="29">
        <v>3.4</v>
      </c>
      <c r="J307" s="30">
        <f t="shared" si="153"/>
        <v>1</v>
      </c>
      <c r="K307" s="35">
        <f t="shared" si="154"/>
        <v>170</v>
      </c>
      <c r="L307" s="21">
        <f t="shared" si="155"/>
        <v>11</v>
      </c>
      <c r="M307" s="9">
        <f t="shared" si="156"/>
        <v>1</v>
      </c>
      <c r="N307">
        <f t="shared" si="157"/>
        <v>170</v>
      </c>
      <c r="O307">
        <f t="shared" si="158"/>
        <v>0</v>
      </c>
    </row>
    <row r="308" spans="1:18">
      <c r="A308" s="6">
        <v>45103</v>
      </c>
      <c r="B308" t="s">
        <v>439</v>
      </c>
      <c r="C308" s="9">
        <v>50</v>
      </c>
      <c r="D308">
        <v>108.38</v>
      </c>
      <c r="E308" s="29">
        <v>120</v>
      </c>
      <c r="F308" s="50">
        <v>100</v>
      </c>
      <c r="G308" s="21">
        <f t="shared" si="152"/>
        <v>2.3866348448687362</v>
      </c>
      <c r="H308" s="6">
        <v>45104</v>
      </c>
      <c r="I308" s="29">
        <v>110.65</v>
      </c>
      <c r="J308" s="30">
        <f t="shared" si="153"/>
        <v>2.0944823768223042E-2</v>
      </c>
      <c r="K308" s="35">
        <f t="shared" si="154"/>
        <v>113.5</v>
      </c>
      <c r="L308" s="21">
        <f t="shared" si="155"/>
        <v>1</v>
      </c>
      <c r="M308" s="9">
        <f t="shared" si="156"/>
        <v>1</v>
      </c>
      <c r="N308">
        <f t="shared" si="157"/>
        <v>113.5</v>
      </c>
      <c r="O308">
        <f t="shared" si="158"/>
        <v>0</v>
      </c>
    </row>
    <row r="309" spans="1:18">
      <c r="A309" s="6">
        <v>45103</v>
      </c>
      <c r="B309" t="s">
        <v>516</v>
      </c>
      <c r="C309" s="9">
        <v>89</v>
      </c>
      <c r="D309">
        <v>59.56</v>
      </c>
      <c r="E309" s="29">
        <v>72</v>
      </c>
      <c r="F309" s="50">
        <v>54</v>
      </c>
      <c r="G309" s="21">
        <f t="shared" si="152"/>
        <v>3.2374100719424446</v>
      </c>
      <c r="H309" s="6">
        <v>45104</v>
      </c>
      <c r="I309" s="29">
        <v>65</v>
      </c>
      <c r="J309" s="30">
        <f t="shared" si="153"/>
        <v>9.133646742780388E-2</v>
      </c>
      <c r="K309" s="35">
        <f t="shared" si="154"/>
        <v>484.15999999999985</v>
      </c>
      <c r="L309" s="21">
        <f t="shared" si="155"/>
        <v>1</v>
      </c>
      <c r="M309" s="9">
        <f t="shared" si="156"/>
        <v>1</v>
      </c>
      <c r="N309">
        <f t="shared" si="157"/>
        <v>484.15999999999985</v>
      </c>
      <c r="O309">
        <f t="shared" si="158"/>
        <v>0</v>
      </c>
      <c r="R309" s="28">
        <v>4574.3900000000003</v>
      </c>
    </row>
    <row r="310" spans="1:18">
      <c r="A310" s="6">
        <v>45099</v>
      </c>
      <c r="B310" t="s">
        <v>622</v>
      </c>
      <c r="C310" s="9">
        <v>26</v>
      </c>
      <c r="D310">
        <v>186.9</v>
      </c>
      <c r="E310" s="29">
        <v>250</v>
      </c>
      <c r="F310" s="50">
        <v>180</v>
      </c>
      <c r="G310" s="21">
        <f t="shared" si="152"/>
        <v>10.144927536231876</v>
      </c>
      <c r="H310" s="6">
        <v>45107</v>
      </c>
      <c r="I310" s="29">
        <v>190</v>
      </c>
      <c r="J310" s="30">
        <f t="shared" si="153"/>
        <v>1.6586409844836725E-2</v>
      </c>
      <c r="K310" s="35">
        <f t="shared" si="154"/>
        <v>80.599999999999454</v>
      </c>
      <c r="L310" s="21">
        <f t="shared" si="155"/>
        <v>8</v>
      </c>
      <c r="M310" s="9">
        <f t="shared" si="156"/>
        <v>1</v>
      </c>
      <c r="N310">
        <f t="shared" si="157"/>
        <v>80.599999999999454</v>
      </c>
      <c r="O310">
        <f t="shared" si="158"/>
        <v>0</v>
      </c>
      <c r="R310" s="28">
        <v>4773.99</v>
      </c>
    </row>
    <row r="311" spans="1:18">
      <c r="A311" s="6">
        <v>45098</v>
      </c>
      <c r="B311" s="22" t="s">
        <v>438</v>
      </c>
      <c r="C311" s="57">
        <v>200</v>
      </c>
      <c r="D311">
        <v>1.0900000000000001</v>
      </c>
      <c r="E311" s="29">
        <v>4.5</v>
      </c>
      <c r="F311" s="50">
        <v>0.55000000000000004</v>
      </c>
      <c r="G311" s="21">
        <f t="shared" si="152"/>
        <v>7.3148148148148149</v>
      </c>
      <c r="H311" s="6">
        <v>45119</v>
      </c>
      <c r="I311" s="29">
        <v>1.51</v>
      </c>
      <c r="J311" s="30">
        <f t="shared" si="153"/>
        <v>0.3853211009174311</v>
      </c>
      <c r="K311" s="35">
        <f t="shared" si="154"/>
        <v>83.999999999999972</v>
      </c>
      <c r="L311" s="21">
        <f t="shared" si="155"/>
        <v>21</v>
      </c>
      <c r="M311" s="9">
        <f t="shared" si="156"/>
        <v>1</v>
      </c>
      <c r="N311">
        <f t="shared" si="157"/>
        <v>83.999999999999972</v>
      </c>
      <c r="O311">
        <f t="shared" si="158"/>
        <v>0</v>
      </c>
    </row>
    <row r="312" spans="1:18">
      <c r="A312" s="6">
        <v>45098</v>
      </c>
      <c r="B312" s="22" t="s">
        <v>628</v>
      </c>
      <c r="C312" s="57">
        <v>100</v>
      </c>
      <c r="D312">
        <v>3.9</v>
      </c>
      <c r="E312" s="29">
        <v>22.5</v>
      </c>
      <c r="F312" s="50">
        <v>1.8</v>
      </c>
      <c r="G312" s="21">
        <f xml:space="preserve"> (E312 - F312)/(D312-F312)</f>
        <v>9.8571428571428577</v>
      </c>
      <c r="H312" s="6">
        <v>45128</v>
      </c>
      <c r="I312" s="29">
        <v>12</v>
      </c>
      <c r="J312" s="30">
        <f t="shared" si="153"/>
        <v>2.0769230769230771</v>
      </c>
      <c r="K312" s="35">
        <f t="shared" si="154"/>
        <v>810</v>
      </c>
      <c r="L312" s="21">
        <f t="shared" si="155"/>
        <v>30</v>
      </c>
      <c r="M312" s="9">
        <f t="shared" si="156"/>
        <v>1</v>
      </c>
      <c r="N312">
        <f t="shared" si="157"/>
        <v>810</v>
      </c>
      <c r="O312">
        <f t="shared" si="158"/>
        <v>0</v>
      </c>
    </row>
    <row r="313" spans="1:18">
      <c r="A313" s="6">
        <v>45098</v>
      </c>
      <c r="B313" s="22" t="s">
        <v>628</v>
      </c>
      <c r="C313" s="57">
        <v>100</v>
      </c>
      <c r="D313">
        <v>3.9</v>
      </c>
      <c r="E313" s="29">
        <v>22.5</v>
      </c>
      <c r="F313" s="50">
        <v>1.8</v>
      </c>
      <c r="G313" s="21">
        <f t="shared" si="152"/>
        <v>9.8571428571428577</v>
      </c>
      <c r="H313" s="6">
        <v>45125</v>
      </c>
      <c r="I313" s="29">
        <v>7.7</v>
      </c>
      <c r="J313" s="30">
        <f t="shared" si="153"/>
        <v>0.97435897435897445</v>
      </c>
      <c r="K313" s="35">
        <f t="shared" si="154"/>
        <v>380</v>
      </c>
      <c r="L313" s="21">
        <f t="shared" si="155"/>
        <v>27</v>
      </c>
      <c r="M313" s="9">
        <f t="shared" si="156"/>
        <v>1</v>
      </c>
      <c r="N313">
        <f t="shared" si="157"/>
        <v>380</v>
      </c>
      <c r="O313">
        <f t="shared" si="158"/>
        <v>0</v>
      </c>
    </row>
    <row r="314" spans="1:18">
      <c r="A314" s="6">
        <v>45098</v>
      </c>
      <c r="B314" t="s">
        <v>84</v>
      </c>
      <c r="C314" s="9">
        <v>50</v>
      </c>
      <c r="D314">
        <v>108.95</v>
      </c>
      <c r="E314" s="29">
        <v>110</v>
      </c>
      <c r="F314" s="50">
        <v>105</v>
      </c>
      <c r="G314" s="21">
        <f t="shared" si="152"/>
        <v>1.2658227848101258</v>
      </c>
      <c r="H314" s="6">
        <v>45106</v>
      </c>
      <c r="I314" s="29">
        <v>112.55</v>
      </c>
      <c r="J314" s="30">
        <f t="shared" si="153"/>
        <v>3.3042680128499313E-2</v>
      </c>
      <c r="K314" s="35">
        <f t="shared" si="154"/>
        <v>180</v>
      </c>
      <c r="L314" s="21">
        <f t="shared" si="155"/>
        <v>8</v>
      </c>
      <c r="M314" s="9">
        <f t="shared" si="156"/>
        <v>1</v>
      </c>
      <c r="N314">
        <f t="shared" si="157"/>
        <v>180</v>
      </c>
      <c r="O314">
        <f t="shared" si="158"/>
        <v>0</v>
      </c>
      <c r="R314" s="28">
        <v>5065.71</v>
      </c>
    </row>
    <row r="315" spans="1:18">
      <c r="A315" s="6">
        <v>45097</v>
      </c>
      <c r="B315" t="s">
        <v>116</v>
      </c>
      <c r="C315" s="9">
        <v>32</v>
      </c>
      <c r="D315">
        <v>186.53</v>
      </c>
      <c r="E315" s="29">
        <v>200</v>
      </c>
      <c r="F315" s="50">
        <v>180</v>
      </c>
      <c r="G315" s="21">
        <f t="shared" si="152"/>
        <v>3.0627871362940269</v>
      </c>
      <c r="H315" s="6">
        <v>45107</v>
      </c>
      <c r="I315" s="16">
        <v>185.3</v>
      </c>
      <c r="J315" s="25">
        <f t="shared" si="153"/>
        <v>-6.5941135474185675E-3</v>
      </c>
      <c r="K315" s="36">
        <f t="shared" si="154"/>
        <v>-39.359999999999673</v>
      </c>
      <c r="L315" s="24">
        <f t="shared" si="155"/>
        <v>10</v>
      </c>
      <c r="M315" s="52">
        <f t="shared" si="156"/>
        <v>0</v>
      </c>
      <c r="N315" s="24">
        <f t="shared" si="157"/>
        <v>0</v>
      </c>
      <c r="O315" s="17">
        <f t="shared" si="158"/>
        <v>-39.359999999999673</v>
      </c>
    </row>
    <row r="316" spans="1:18">
      <c r="A316" s="6">
        <v>45097</v>
      </c>
      <c r="B316" t="s">
        <v>438</v>
      </c>
      <c r="C316" s="9">
        <v>179</v>
      </c>
      <c r="D316">
        <v>30.2</v>
      </c>
      <c r="E316" s="29">
        <v>35</v>
      </c>
      <c r="F316" s="50">
        <v>30</v>
      </c>
      <c r="G316" s="21">
        <f t="shared" si="152"/>
        <v>25.000000000000089</v>
      </c>
      <c r="H316" s="6">
        <v>45105</v>
      </c>
      <c r="I316" s="16">
        <v>29.24</v>
      </c>
      <c r="J316" s="25">
        <f t="shared" si="153"/>
        <v>-3.1788079470198682E-2</v>
      </c>
      <c r="K316" s="36">
        <f t="shared" si="154"/>
        <v>-171.84000000000015</v>
      </c>
      <c r="L316" s="24">
        <f t="shared" si="155"/>
        <v>8</v>
      </c>
      <c r="M316" s="52">
        <f t="shared" si="156"/>
        <v>0</v>
      </c>
      <c r="N316" s="24">
        <f t="shared" si="157"/>
        <v>0</v>
      </c>
      <c r="O316" s="17">
        <f t="shared" si="158"/>
        <v>-171.84000000000015</v>
      </c>
    </row>
    <row r="317" spans="1:18">
      <c r="A317" s="6">
        <v>45097</v>
      </c>
      <c r="B317" t="s">
        <v>84</v>
      </c>
      <c r="C317" s="9">
        <v>50</v>
      </c>
      <c r="D317">
        <v>107</v>
      </c>
      <c r="E317" s="29">
        <v>110</v>
      </c>
      <c r="F317" s="50">
        <v>105</v>
      </c>
      <c r="G317" s="21">
        <f t="shared" si="152"/>
        <v>2.5</v>
      </c>
      <c r="H317" s="6">
        <v>45098</v>
      </c>
      <c r="I317" s="29">
        <v>108.78</v>
      </c>
      <c r="J317" s="30">
        <f t="shared" si="153"/>
        <v>1.6635514018691566E-2</v>
      </c>
      <c r="K317" s="35">
        <f t="shared" si="154"/>
        <v>89</v>
      </c>
      <c r="L317" s="21">
        <f t="shared" si="155"/>
        <v>1</v>
      </c>
      <c r="M317" s="9">
        <f t="shared" si="156"/>
        <v>1</v>
      </c>
      <c r="N317">
        <f t="shared" si="157"/>
        <v>89</v>
      </c>
      <c r="O317">
        <f t="shared" si="158"/>
        <v>0</v>
      </c>
    </row>
    <row r="318" spans="1:18">
      <c r="A318" s="6">
        <v>45097</v>
      </c>
      <c r="B318" t="s">
        <v>644</v>
      </c>
      <c r="C318" s="9">
        <v>125</v>
      </c>
      <c r="D318">
        <v>44.3</v>
      </c>
      <c r="E318" s="29">
        <v>50</v>
      </c>
      <c r="F318" s="50">
        <v>40</v>
      </c>
      <c r="G318" s="21">
        <f t="shared" si="152"/>
        <v>2.3255813953488387</v>
      </c>
      <c r="H318" s="6">
        <v>45117</v>
      </c>
      <c r="I318" s="29">
        <v>45.25</v>
      </c>
      <c r="J318" s="30">
        <f t="shared" si="153"/>
        <v>2.1444695259593693E-2</v>
      </c>
      <c r="K318" s="35">
        <f t="shared" si="154"/>
        <v>118.75</v>
      </c>
      <c r="L318" s="21">
        <f t="shared" si="155"/>
        <v>20</v>
      </c>
      <c r="M318" s="9">
        <f t="shared" si="156"/>
        <v>1</v>
      </c>
      <c r="N318">
        <f t="shared" si="157"/>
        <v>118.75</v>
      </c>
      <c r="O318">
        <f t="shared" si="158"/>
        <v>0</v>
      </c>
      <c r="R318" s="28">
        <v>4976.71</v>
      </c>
    </row>
    <row r="319" spans="1:18">
      <c r="A319" s="6">
        <v>45093</v>
      </c>
      <c r="B319" s="1" t="s">
        <v>445</v>
      </c>
      <c r="C319" s="9">
        <v>8</v>
      </c>
      <c r="D319">
        <v>113.78</v>
      </c>
      <c r="E319" s="29">
        <v>130</v>
      </c>
      <c r="F319" s="50">
        <v>110</v>
      </c>
      <c r="G319" s="21">
        <f t="shared" ref="G319:G327" si="159" xml:space="preserve"> (E319 - F319)/(D319-F319)</f>
        <v>5.2910052910052894</v>
      </c>
      <c r="H319" s="6">
        <v>45160</v>
      </c>
      <c r="I319" s="16">
        <v>101.25</v>
      </c>
      <c r="J319" s="25">
        <f t="shared" si="153"/>
        <v>-0.11012480224995602</v>
      </c>
      <c r="K319" s="36">
        <f t="shared" si="154"/>
        <v>-100.24000000000001</v>
      </c>
      <c r="L319" s="24">
        <f t="shared" si="155"/>
        <v>67</v>
      </c>
      <c r="M319" s="52">
        <f t="shared" si="156"/>
        <v>0</v>
      </c>
      <c r="N319" s="24">
        <f t="shared" si="157"/>
        <v>0</v>
      </c>
      <c r="O319" s="17">
        <f t="shared" si="158"/>
        <v>-100.24000000000001</v>
      </c>
      <c r="R319" s="28">
        <v>5416.71</v>
      </c>
    </row>
    <row r="320" spans="1:18">
      <c r="A320" s="6">
        <v>45092</v>
      </c>
      <c r="B320" t="s">
        <v>287</v>
      </c>
      <c r="C320" s="9">
        <v>143</v>
      </c>
      <c r="D320">
        <v>41.79</v>
      </c>
      <c r="E320" s="29">
        <v>50</v>
      </c>
      <c r="F320" s="50">
        <v>39</v>
      </c>
      <c r="G320" s="21">
        <f t="shared" si="159"/>
        <v>3.9426523297491052</v>
      </c>
      <c r="H320" s="6">
        <v>45107</v>
      </c>
      <c r="I320" s="16">
        <v>41.25</v>
      </c>
      <c r="J320" s="25">
        <f t="shared" ref="J320:J333" si="160">I320/D320 -1</f>
        <v>-1.2921751615218913E-2</v>
      </c>
      <c r="K320" s="36">
        <f t="shared" ref="K320:K333" si="161">(C320*I320) - (C320*D320)</f>
        <v>-77.220000000000255</v>
      </c>
      <c r="L320" s="24">
        <f t="shared" si="155"/>
        <v>15</v>
      </c>
      <c r="M320" s="52">
        <f t="shared" ref="M320:M333" si="162">IF(J320&gt;0,1,0)</f>
        <v>0</v>
      </c>
      <c r="N320" s="24">
        <f t="shared" ref="N320:N333" si="163">IF(K320&gt;0, K320, 0)</f>
        <v>0</v>
      </c>
      <c r="O320" s="17">
        <f t="shared" ref="O320:O333" si="164">IF(K320&lt;0, K320, 0)</f>
        <v>-77.220000000000255</v>
      </c>
      <c r="R320" s="28">
        <v>5643.39</v>
      </c>
    </row>
    <row r="321" spans="1:18">
      <c r="A321" s="6">
        <v>45091</v>
      </c>
      <c r="B321" t="s">
        <v>286</v>
      </c>
      <c r="C321" s="9">
        <v>140</v>
      </c>
      <c r="D321">
        <v>40.299999999999997</v>
      </c>
      <c r="E321" s="29">
        <v>45</v>
      </c>
      <c r="F321" s="50">
        <v>40</v>
      </c>
      <c r="G321" s="21">
        <f t="shared" si="159"/>
        <v>16.666666666666824</v>
      </c>
      <c r="H321" s="6">
        <v>45114</v>
      </c>
      <c r="I321" s="29">
        <v>40.700000000000003</v>
      </c>
      <c r="J321" s="30">
        <f t="shared" si="160"/>
        <v>9.9255583126551805E-3</v>
      </c>
      <c r="K321" s="35">
        <f t="shared" si="161"/>
        <v>56</v>
      </c>
      <c r="L321" s="21">
        <f t="shared" si="155"/>
        <v>23</v>
      </c>
      <c r="M321" s="9">
        <f t="shared" si="162"/>
        <v>1</v>
      </c>
      <c r="N321">
        <f t="shared" si="163"/>
        <v>56</v>
      </c>
      <c r="O321">
        <f t="shared" si="164"/>
        <v>0</v>
      </c>
    </row>
    <row r="322" spans="1:18">
      <c r="A322" s="6">
        <v>45091</v>
      </c>
      <c r="B322" t="s">
        <v>628</v>
      </c>
      <c r="C322" s="9">
        <v>140</v>
      </c>
      <c r="D322">
        <v>41</v>
      </c>
      <c r="E322" s="29">
        <v>50</v>
      </c>
      <c r="F322" s="50">
        <v>35</v>
      </c>
      <c r="G322" s="21">
        <f t="shared" si="159"/>
        <v>2.5</v>
      </c>
      <c r="H322" s="6">
        <v>45125</v>
      </c>
      <c r="I322" s="29">
        <v>43</v>
      </c>
      <c r="J322" s="30">
        <f t="shared" si="160"/>
        <v>4.8780487804878092E-2</v>
      </c>
      <c r="K322" s="35">
        <f t="shared" si="161"/>
        <v>280</v>
      </c>
      <c r="L322" s="21">
        <f t="shared" si="155"/>
        <v>34</v>
      </c>
      <c r="M322" s="9">
        <f t="shared" si="162"/>
        <v>1</v>
      </c>
      <c r="N322">
        <f t="shared" si="163"/>
        <v>280</v>
      </c>
      <c r="O322">
        <f t="shared" si="164"/>
        <v>0</v>
      </c>
    </row>
    <row r="323" spans="1:18">
      <c r="A323" s="6">
        <v>45091</v>
      </c>
      <c r="B323" t="s">
        <v>205</v>
      </c>
      <c r="C323" s="9">
        <v>14</v>
      </c>
      <c r="D323">
        <v>444</v>
      </c>
      <c r="E323" s="29">
        <v>485</v>
      </c>
      <c r="F323" s="50">
        <v>430</v>
      </c>
      <c r="G323" s="21">
        <f t="shared" si="159"/>
        <v>3.9285714285714284</v>
      </c>
      <c r="H323" s="6">
        <v>45093</v>
      </c>
      <c r="I323" s="29">
        <v>444</v>
      </c>
      <c r="J323" s="30">
        <f t="shared" si="160"/>
        <v>0</v>
      </c>
      <c r="K323" s="35">
        <f t="shared" si="161"/>
        <v>0</v>
      </c>
      <c r="L323" s="21">
        <f t="shared" si="155"/>
        <v>2</v>
      </c>
      <c r="M323" s="9">
        <f t="shared" si="162"/>
        <v>0</v>
      </c>
      <c r="N323">
        <f t="shared" si="163"/>
        <v>0</v>
      </c>
      <c r="O323">
        <f t="shared" si="164"/>
        <v>0</v>
      </c>
    </row>
    <row r="324" spans="1:18">
      <c r="A324" s="6">
        <v>45091</v>
      </c>
      <c r="B324" t="s">
        <v>67</v>
      </c>
      <c r="C324" s="9">
        <v>44</v>
      </c>
      <c r="D324">
        <v>127.22</v>
      </c>
      <c r="E324" s="29">
        <v>140</v>
      </c>
      <c r="F324" s="50">
        <v>125</v>
      </c>
      <c r="G324" s="21">
        <f t="shared" si="159"/>
        <v>6.7567567567567606</v>
      </c>
      <c r="H324" s="6">
        <v>45093</v>
      </c>
      <c r="I324" s="29">
        <v>130.44999999999999</v>
      </c>
      <c r="J324" s="30">
        <f t="shared" si="160"/>
        <v>2.5389089765760042E-2</v>
      </c>
      <c r="K324" s="35">
        <f t="shared" si="161"/>
        <v>142.11999999999898</v>
      </c>
      <c r="L324" s="21">
        <f t="shared" si="155"/>
        <v>2</v>
      </c>
      <c r="M324" s="9">
        <f t="shared" si="162"/>
        <v>1</v>
      </c>
      <c r="N324">
        <f t="shared" si="163"/>
        <v>142.11999999999898</v>
      </c>
      <c r="O324">
        <f t="shared" si="164"/>
        <v>0</v>
      </c>
    </row>
    <row r="325" spans="1:18">
      <c r="A325" s="6">
        <v>45091</v>
      </c>
      <c r="B325" s="22" t="s">
        <v>47</v>
      </c>
      <c r="C325" s="57">
        <v>100</v>
      </c>
      <c r="D325">
        <v>0.21</v>
      </c>
      <c r="E325" s="29">
        <v>2.54</v>
      </c>
      <c r="F325" s="50">
        <v>1.1000000000000001</v>
      </c>
      <c r="G325" s="21">
        <f t="shared" si="159"/>
        <v>-1.6179775280898874</v>
      </c>
      <c r="H325" s="6">
        <v>45117</v>
      </c>
      <c r="I325" s="29">
        <v>1.27</v>
      </c>
      <c r="J325" s="30">
        <f t="shared" si="160"/>
        <v>5.0476190476190483</v>
      </c>
      <c r="K325" s="35">
        <f t="shared" si="161"/>
        <v>106</v>
      </c>
      <c r="L325" s="21">
        <f t="shared" si="155"/>
        <v>26</v>
      </c>
      <c r="M325" s="9">
        <f t="shared" si="162"/>
        <v>1</v>
      </c>
      <c r="N325">
        <f t="shared" si="163"/>
        <v>106</v>
      </c>
      <c r="O325">
        <f t="shared" si="164"/>
        <v>0</v>
      </c>
    </row>
    <row r="326" spans="1:18">
      <c r="A326" s="6">
        <v>45091</v>
      </c>
      <c r="B326" t="s">
        <v>287</v>
      </c>
      <c r="C326" s="9">
        <v>143</v>
      </c>
      <c r="D326">
        <v>39.6</v>
      </c>
      <c r="E326" s="29">
        <v>50</v>
      </c>
      <c r="F326" s="50">
        <v>37</v>
      </c>
      <c r="G326" s="21">
        <f t="shared" si="159"/>
        <v>4.9999999999999973</v>
      </c>
      <c r="H326" s="6">
        <v>45092</v>
      </c>
      <c r="I326" s="29">
        <v>41.8</v>
      </c>
      <c r="J326" s="30">
        <f t="shared" si="160"/>
        <v>5.5555555555555358E-2</v>
      </c>
      <c r="K326" s="35">
        <f t="shared" si="161"/>
        <v>314.59999999999945</v>
      </c>
      <c r="L326" s="21">
        <f t="shared" si="155"/>
        <v>1</v>
      </c>
      <c r="M326" s="9">
        <f t="shared" si="162"/>
        <v>1</v>
      </c>
      <c r="N326">
        <f t="shared" si="163"/>
        <v>314.59999999999945</v>
      </c>
      <c r="O326">
        <f t="shared" si="164"/>
        <v>0</v>
      </c>
    </row>
    <row r="327" spans="1:18">
      <c r="A327" s="6">
        <v>45091</v>
      </c>
      <c r="B327" t="s">
        <v>255</v>
      </c>
      <c r="C327" s="9">
        <v>359</v>
      </c>
      <c r="D327">
        <v>14.59</v>
      </c>
      <c r="E327" s="29">
        <v>20</v>
      </c>
      <c r="F327" s="50">
        <v>14</v>
      </c>
      <c r="G327" s="21">
        <f t="shared" si="159"/>
        <v>10.169491525423732</v>
      </c>
      <c r="H327" s="6">
        <v>45092</v>
      </c>
      <c r="I327" s="29">
        <v>15.2</v>
      </c>
      <c r="J327" s="30">
        <f t="shared" si="160"/>
        <v>4.1809458533241806E-2</v>
      </c>
      <c r="K327" s="35">
        <f t="shared" si="161"/>
        <v>218.98999999999978</v>
      </c>
      <c r="L327" s="21">
        <f t="shared" si="155"/>
        <v>1</v>
      </c>
      <c r="M327" s="9">
        <f t="shared" si="162"/>
        <v>1</v>
      </c>
      <c r="N327">
        <f t="shared" si="163"/>
        <v>218.98999999999978</v>
      </c>
      <c r="O327">
        <f t="shared" si="164"/>
        <v>0</v>
      </c>
    </row>
    <row r="328" spans="1:18">
      <c r="A328" s="6">
        <v>45090</v>
      </c>
      <c r="B328" s="1" t="s">
        <v>217</v>
      </c>
      <c r="C328" s="9">
        <v>8</v>
      </c>
      <c r="D328">
        <v>99.5</v>
      </c>
      <c r="E328" s="29">
        <v>115</v>
      </c>
      <c r="F328" s="50">
        <v>95</v>
      </c>
      <c r="G328" s="21">
        <f xml:space="preserve"> (E328 - F328)/(D328-F328)</f>
        <v>4.4444444444444446</v>
      </c>
      <c r="H328" s="6">
        <v>45120</v>
      </c>
      <c r="I328" s="29">
        <v>103.52</v>
      </c>
      <c r="J328" s="30">
        <f t="shared" si="160"/>
        <v>4.0402010050251125E-2</v>
      </c>
      <c r="K328" s="35">
        <f t="shared" si="161"/>
        <v>32.159999999999968</v>
      </c>
      <c r="L328" s="21">
        <f t="shared" si="155"/>
        <v>30</v>
      </c>
      <c r="M328" s="9">
        <f t="shared" si="162"/>
        <v>1</v>
      </c>
      <c r="N328">
        <f t="shared" si="163"/>
        <v>32.159999999999968</v>
      </c>
      <c r="O328">
        <f t="shared" si="164"/>
        <v>0</v>
      </c>
    </row>
    <row r="329" spans="1:18">
      <c r="A329" s="6">
        <v>45090</v>
      </c>
      <c r="B329" t="s">
        <v>521</v>
      </c>
      <c r="C329" s="9">
        <v>44</v>
      </c>
      <c r="D329">
        <v>123.94</v>
      </c>
      <c r="E329" s="29">
        <v>130</v>
      </c>
      <c r="F329" s="50">
        <v>120</v>
      </c>
      <c r="G329" s="21">
        <f xml:space="preserve"> (E329 - F329)/(D329-F329)</f>
        <v>2.5380710659898491</v>
      </c>
      <c r="H329" s="6">
        <v>45092</v>
      </c>
      <c r="I329" s="29">
        <v>125.35</v>
      </c>
      <c r="J329" s="30">
        <f t="shared" si="160"/>
        <v>1.1376472486687161E-2</v>
      </c>
      <c r="K329" s="35">
        <f t="shared" si="161"/>
        <v>62.039999999999964</v>
      </c>
      <c r="L329" s="21">
        <f t="shared" si="155"/>
        <v>2</v>
      </c>
      <c r="M329" s="9">
        <f t="shared" si="162"/>
        <v>1</v>
      </c>
      <c r="N329">
        <f t="shared" si="163"/>
        <v>62.039999999999964</v>
      </c>
      <c r="O329">
        <f t="shared" si="164"/>
        <v>0</v>
      </c>
      <c r="R329" s="28">
        <v>5047.76</v>
      </c>
    </row>
    <row r="330" spans="1:18">
      <c r="A330" s="6">
        <v>45089</v>
      </c>
      <c r="B330" t="s">
        <v>205</v>
      </c>
      <c r="C330" s="9">
        <v>14</v>
      </c>
      <c r="D330">
        <v>424</v>
      </c>
      <c r="E330" s="29">
        <v>485</v>
      </c>
      <c r="F330" s="50">
        <v>410</v>
      </c>
      <c r="G330" s="21">
        <f t="shared" ref="G330:G335" si="165" xml:space="preserve"> (E330 - F330)/(D330-F330)</f>
        <v>5.3571428571428568</v>
      </c>
      <c r="H330" s="6">
        <v>45090</v>
      </c>
      <c r="I330" s="29">
        <v>444</v>
      </c>
      <c r="J330" s="30">
        <f t="shared" si="160"/>
        <v>4.7169811320754818E-2</v>
      </c>
      <c r="K330" s="35">
        <f t="shared" si="161"/>
        <v>280</v>
      </c>
      <c r="L330" s="21">
        <f t="shared" si="155"/>
        <v>1</v>
      </c>
      <c r="M330" s="9">
        <f t="shared" si="162"/>
        <v>1</v>
      </c>
      <c r="N330">
        <f t="shared" si="163"/>
        <v>280</v>
      </c>
      <c r="O330">
        <f t="shared" si="164"/>
        <v>0</v>
      </c>
    </row>
    <row r="331" spans="1:18">
      <c r="A331" s="6">
        <v>45089</v>
      </c>
      <c r="B331" t="s">
        <v>92</v>
      </c>
      <c r="C331" s="9">
        <v>80</v>
      </c>
      <c r="D331">
        <v>67</v>
      </c>
      <c r="E331" s="29">
        <v>75</v>
      </c>
      <c r="F331" s="50">
        <v>65</v>
      </c>
      <c r="G331" s="21">
        <f t="shared" si="165"/>
        <v>5</v>
      </c>
      <c r="H331" s="6">
        <v>45090</v>
      </c>
      <c r="I331" s="29">
        <v>67.819999999999993</v>
      </c>
      <c r="J331" s="30">
        <f t="shared" si="160"/>
        <v>1.2238805970149258E-2</v>
      </c>
      <c r="K331" s="35">
        <f t="shared" si="161"/>
        <v>65.599999999999454</v>
      </c>
      <c r="L331" s="21">
        <f t="shared" si="155"/>
        <v>1</v>
      </c>
      <c r="M331" s="9">
        <f t="shared" si="162"/>
        <v>1</v>
      </c>
      <c r="N331">
        <f t="shared" si="163"/>
        <v>65.599999999999454</v>
      </c>
      <c r="O331">
        <f t="shared" si="164"/>
        <v>0</v>
      </c>
    </row>
    <row r="332" spans="1:18">
      <c r="A332" s="6">
        <v>45089</v>
      </c>
      <c r="B332" t="s">
        <v>255</v>
      </c>
      <c r="C332" s="9">
        <v>410</v>
      </c>
      <c r="D332">
        <v>14.21</v>
      </c>
      <c r="E332" s="29">
        <v>15</v>
      </c>
      <c r="F332" s="50">
        <v>13.5</v>
      </c>
      <c r="G332" s="21">
        <f t="shared" si="165"/>
        <v>2.1126760563380258</v>
      </c>
      <c r="H332" s="6">
        <v>45090</v>
      </c>
      <c r="I332" s="29">
        <v>15.1</v>
      </c>
      <c r="J332" s="30">
        <f t="shared" si="160"/>
        <v>6.263194933145666E-2</v>
      </c>
      <c r="K332" s="35">
        <f t="shared" si="161"/>
        <v>364.89999999999964</v>
      </c>
      <c r="L332" s="21">
        <f t="shared" si="155"/>
        <v>1</v>
      </c>
      <c r="M332" s="9">
        <f t="shared" si="162"/>
        <v>1</v>
      </c>
      <c r="N332">
        <f t="shared" si="163"/>
        <v>364.89999999999964</v>
      </c>
      <c r="O332">
        <f t="shared" si="164"/>
        <v>0</v>
      </c>
    </row>
    <row r="333" spans="1:18">
      <c r="A333" s="6">
        <v>45089</v>
      </c>
      <c r="B333" t="s">
        <v>287</v>
      </c>
      <c r="C333" s="9">
        <v>152</v>
      </c>
      <c r="D333">
        <v>37.4</v>
      </c>
      <c r="E333" s="29">
        <v>50</v>
      </c>
      <c r="F333" s="50">
        <v>37</v>
      </c>
      <c r="G333" s="21">
        <f t="shared" si="165"/>
        <v>32.500000000000114</v>
      </c>
      <c r="H333" s="6">
        <v>45090</v>
      </c>
      <c r="I333" s="29">
        <v>39.25</v>
      </c>
      <c r="J333" s="30">
        <f t="shared" si="160"/>
        <v>4.9465240641711317E-2</v>
      </c>
      <c r="K333" s="35">
        <f t="shared" si="161"/>
        <v>281.19999999999982</v>
      </c>
      <c r="L333" s="21">
        <f t="shared" si="155"/>
        <v>1</v>
      </c>
      <c r="M333" s="9">
        <f t="shared" si="162"/>
        <v>1</v>
      </c>
      <c r="N333">
        <f t="shared" si="163"/>
        <v>281.19999999999982</v>
      </c>
      <c r="O333">
        <f t="shared" si="164"/>
        <v>0</v>
      </c>
    </row>
    <row r="334" spans="1:18">
      <c r="A334" s="6">
        <v>45089</v>
      </c>
      <c r="B334" s="22" t="s">
        <v>558</v>
      </c>
      <c r="C334" s="57">
        <v>500</v>
      </c>
      <c r="D334">
        <v>0.25</v>
      </c>
      <c r="E334" s="29">
        <v>2</v>
      </c>
      <c r="F334" s="50">
        <v>0.12</v>
      </c>
      <c r="G334" s="21">
        <f t="shared" si="165"/>
        <v>14.46153846153846</v>
      </c>
      <c r="H334" s="6">
        <v>45129</v>
      </c>
      <c r="I334" s="16">
        <v>0</v>
      </c>
      <c r="J334" s="25">
        <f>I334/D334 -1</f>
        <v>-1</v>
      </c>
      <c r="K334" s="36">
        <f>(C334*I334) - (C334*D334)</f>
        <v>-125</v>
      </c>
      <c r="L334" s="24">
        <f t="shared" si="155"/>
        <v>40</v>
      </c>
      <c r="M334" s="52">
        <f>IF(J334&gt;0,1,0)</f>
        <v>0</v>
      </c>
      <c r="N334" s="24">
        <f>IF(K334&gt;0, K334, 0)</f>
        <v>0</v>
      </c>
      <c r="O334" s="17">
        <f>IF(K334&lt;0, K334, 0)</f>
        <v>-125</v>
      </c>
    </row>
    <row r="335" spans="1:18">
      <c r="A335" s="6">
        <v>45089</v>
      </c>
      <c r="B335" s="61" t="s">
        <v>227</v>
      </c>
      <c r="C335" s="9">
        <v>14</v>
      </c>
      <c r="D335">
        <v>475.87</v>
      </c>
      <c r="E335" s="29">
        <v>510</v>
      </c>
      <c r="F335" s="50">
        <v>450</v>
      </c>
      <c r="G335" s="21">
        <f t="shared" si="165"/>
        <v>2.3192887514495553</v>
      </c>
      <c r="H335" s="6">
        <v>45090</v>
      </c>
      <c r="I335" s="29">
        <v>477.74</v>
      </c>
      <c r="J335" s="30">
        <f t="shared" ref="J335:J341" si="166">I335/D335 -1</f>
        <v>3.9296446508501059E-3</v>
      </c>
      <c r="K335" s="35">
        <f t="shared" ref="K335:K341" si="167">(C335*I335) - (C335*D335)</f>
        <v>26.180000000000291</v>
      </c>
      <c r="L335" s="21">
        <f t="shared" si="155"/>
        <v>1</v>
      </c>
      <c r="M335" s="9">
        <f t="shared" ref="M335:M341" si="168">IF(J335&gt;0,1,0)</f>
        <v>1</v>
      </c>
      <c r="N335">
        <f t="shared" ref="N335:N341" si="169">IF(K335&gt;0, K335, 0)</f>
        <v>26.180000000000291</v>
      </c>
      <c r="O335">
        <f t="shared" ref="O335:O341" si="170">IF(K335&lt;0, K335, 0)</f>
        <v>0</v>
      </c>
      <c r="R335" s="28">
        <v>3761.68</v>
      </c>
    </row>
    <row r="336" spans="1:18">
      <c r="A336" s="6">
        <v>45085</v>
      </c>
      <c r="B336" t="s">
        <v>521</v>
      </c>
      <c r="C336" s="9">
        <v>44</v>
      </c>
      <c r="D336">
        <v>122.14</v>
      </c>
      <c r="E336" s="29">
        <v>130</v>
      </c>
      <c r="F336" s="50">
        <v>120</v>
      </c>
      <c r="G336" s="21">
        <f t="shared" ref="G336:G352" si="171" xml:space="preserve"> (E336 - F336)/(D336-F336)</f>
        <v>4.6728971962616814</v>
      </c>
      <c r="H336" s="6">
        <v>45086</v>
      </c>
      <c r="I336" s="29">
        <v>122.4</v>
      </c>
      <c r="J336" s="30">
        <f t="shared" si="166"/>
        <v>2.1287047650238033E-3</v>
      </c>
      <c r="K336" s="35">
        <f t="shared" si="167"/>
        <v>11.440000000000509</v>
      </c>
      <c r="L336" s="21">
        <f t="shared" si="155"/>
        <v>1</v>
      </c>
      <c r="M336" s="9">
        <f t="shared" si="168"/>
        <v>1</v>
      </c>
      <c r="N336">
        <f t="shared" si="169"/>
        <v>11.440000000000509</v>
      </c>
      <c r="O336">
        <f t="shared" si="170"/>
        <v>0</v>
      </c>
      <c r="R336" s="28">
        <v>3758.85</v>
      </c>
    </row>
    <row r="337" spans="1:18">
      <c r="A337" s="6">
        <v>45085</v>
      </c>
      <c r="B337" t="s">
        <v>464</v>
      </c>
      <c r="C337" s="9">
        <v>25</v>
      </c>
      <c r="D337">
        <v>213.2</v>
      </c>
      <c r="E337" s="29">
        <v>250</v>
      </c>
      <c r="F337" s="50">
        <v>200</v>
      </c>
      <c r="G337" s="21">
        <f t="shared" si="171"/>
        <v>3.7878787878787912</v>
      </c>
      <c r="H337" s="6">
        <v>45089</v>
      </c>
      <c r="I337" s="29">
        <v>218.03</v>
      </c>
      <c r="J337" s="30">
        <f t="shared" si="166"/>
        <v>2.2654784240150105E-2</v>
      </c>
      <c r="K337" s="35">
        <f t="shared" si="167"/>
        <v>120.75</v>
      </c>
      <c r="L337" s="21">
        <f t="shared" si="155"/>
        <v>4</v>
      </c>
      <c r="M337" s="9">
        <f t="shared" si="168"/>
        <v>1</v>
      </c>
      <c r="N337">
        <f t="shared" si="169"/>
        <v>120.75</v>
      </c>
      <c r="O337">
        <f t="shared" si="170"/>
        <v>0</v>
      </c>
      <c r="R337" s="28">
        <v>3073.6</v>
      </c>
    </row>
    <row r="338" spans="1:18">
      <c r="A338" s="6">
        <v>45084</v>
      </c>
      <c r="B338" s="1" t="s">
        <v>631</v>
      </c>
      <c r="C338" s="9">
        <v>23</v>
      </c>
      <c r="D338">
        <v>16.399999999999999</v>
      </c>
      <c r="E338" s="29">
        <v>20</v>
      </c>
      <c r="F338" s="50">
        <v>15</v>
      </c>
      <c r="G338" s="21">
        <f t="shared" si="171"/>
        <v>3.5714285714285752</v>
      </c>
      <c r="H338" s="6">
        <v>45120</v>
      </c>
      <c r="I338" s="29">
        <v>16.850000000000001</v>
      </c>
      <c r="J338" s="30">
        <f t="shared" si="166"/>
        <v>2.7439024390244038E-2</v>
      </c>
      <c r="K338" s="35">
        <f t="shared" si="167"/>
        <v>10.350000000000023</v>
      </c>
      <c r="L338" s="21">
        <f t="shared" si="155"/>
        <v>36</v>
      </c>
      <c r="M338" s="9">
        <f t="shared" si="168"/>
        <v>1</v>
      </c>
      <c r="N338">
        <f t="shared" si="169"/>
        <v>10.350000000000023</v>
      </c>
      <c r="O338">
        <f t="shared" si="170"/>
        <v>0</v>
      </c>
    </row>
    <row r="339" spans="1:18">
      <c r="A339" s="6">
        <v>45084</v>
      </c>
      <c r="B339" t="s">
        <v>287</v>
      </c>
      <c r="C339" s="9">
        <v>161</v>
      </c>
      <c r="D339">
        <v>34.979999999999997</v>
      </c>
      <c r="E339" s="29">
        <v>40</v>
      </c>
      <c r="F339" s="50">
        <v>34</v>
      </c>
      <c r="G339" s="21">
        <f t="shared" si="171"/>
        <v>6.122448979591856</v>
      </c>
      <c r="H339" s="6">
        <v>45085</v>
      </c>
      <c r="I339" s="29">
        <v>36.119999999999997</v>
      </c>
      <c r="J339" s="30">
        <f t="shared" si="166"/>
        <v>3.2590051457975999E-2</v>
      </c>
      <c r="K339" s="35">
        <f t="shared" si="167"/>
        <v>183.53999999999996</v>
      </c>
      <c r="L339" s="21">
        <f t="shared" si="155"/>
        <v>1</v>
      </c>
      <c r="M339" s="9">
        <f t="shared" si="168"/>
        <v>1</v>
      </c>
      <c r="N339">
        <f t="shared" si="169"/>
        <v>183.53999999999996</v>
      </c>
      <c r="O339">
        <f t="shared" si="170"/>
        <v>0</v>
      </c>
      <c r="R339" s="28">
        <v>2886.03</v>
      </c>
    </row>
    <row r="340" spans="1:18">
      <c r="A340" s="6">
        <v>45083</v>
      </c>
      <c r="B340" s="1" t="s">
        <v>445</v>
      </c>
      <c r="C340" s="9">
        <v>8</v>
      </c>
      <c r="D340">
        <v>105.87</v>
      </c>
      <c r="E340" s="29">
        <v>130</v>
      </c>
      <c r="F340" s="50">
        <v>100</v>
      </c>
      <c r="G340" s="21">
        <f t="shared" si="171"/>
        <v>5.11073253833049</v>
      </c>
      <c r="H340" s="6">
        <v>45093</v>
      </c>
      <c r="I340" s="29">
        <v>113.86</v>
      </c>
      <c r="J340" s="30">
        <f t="shared" si="166"/>
        <v>7.5469915934636811E-2</v>
      </c>
      <c r="K340" s="35">
        <f t="shared" si="167"/>
        <v>63.919999999999959</v>
      </c>
      <c r="L340" s="21">
        <f t="shared" si="155"/>
        <v>10</v>
      </c>
      <c r="M340" s="9">
        <f t="shared" si="168"/>
        <v>1</v>
      </c>
      <c r="N340">
        <f t="shared" si="169"/>
        <v>63.919999999999959</v>
      </c>
      <c r="O340">
        <f t="shared" si="170"/>
        <v>0</v>
      </c>
    </row>
    <row r="341" spans="1:18">
      <c r="A341" s="6">
        <v>45083</v>
      </c>
      <c r="B341" s="1" t="s">
        <v>132</v>
      </c>
      <c r="C341" s="9">
        <v>350</v>
      </c>
      <c r="D341">
        <v>2.06</v>
      </c>
      <c r="E341" s="29">
        <v>4</v>
      </c>
      <c r="F341" s="50">
        <v>2</v>
      </c>
      <c r="G341" s="21">
        <f t="shared" si="171"/>
        <v>33.3333333333333</v>
      </c>
      <c r="H341" s="6">
        <v>45120</v>
      </c>
      <c r="I341" s="29">
        <v>2.4</v>
      </c>
      <c r="J341" s="30">
        <f t="shared" si="166"/>
        <v>0.16504854368932032</v>
      </c>
      <c r="K341" s="35">
        <f t="shared" si="167"/>
        <v>119</v>
      </c>
      <c r="L341" s="21">
        <f t="shared" si="155"/>
        <v>37</v>
      </c>
      <c r="M341" s="9">
        <f t="shared" si="168"/>
        <v>1</v>
      </c>
      <c r="N341">
        <f t="shared" si="169"/>
        <v>119</v>
      </c>
      <c r="O341">
        <f t="shared" si="170"/>
        <v>0</v>
      </c>
    </row>
    <row r="342" spans="1:18">
      <c r="A342" s="6">
        <v>45083</v>
      </c>
      <c r="B342" s="22" t="s">
        <v>374</v>
      </c>
      <c r="C342" s="57">
        <v>100</v>
      </c>
      <c r="D342">
        <v>7.75</v>
      </c>
      <c r="E342" s="29">
        <v>10</v>
      </c>
      <c r="F342" s="50">
        <v>1.7</v>
      </c>
      <c r="G342" s="21">
        <f t="shared" si="171"/>
        <v>1.3719008264462811</v>
      </c>
      <c r="J342" s="30"/>
      <c r="K342" s="38"/>
      <c r="L342" s="37"/>
      <c r="N342" s="38"/>
    </row>
    <row r="343" spans="1:18">
      <c r="A343" s="6">
        <v>45083</v>
      </c>
      <c r="B343" t="s">
        <v>464</v>
      </c>
      <c r="C343" s="9">
        <v>25</v>
      </c>
      <c r="D343">
        <v>206.89</v>
      </c>
      <c r="E343" s="29">
        <v>250</v>
      </c>
      <c r="F343" s="50">
        <v>200</v>
      </c>
      <c r="G343" s="21">
        <f t="shared" si="171"/>
        <v>7.2568940493468936</v>
      </c>
      <c r="H343" s="6">
        <v>45085</v>
      </c>
      <c r="I343" s="29">
        <v>214.04</v>
      </c>
      <c r="J343" s="30">
        <f t="shared" ref="J343:J348" si="172">I343/D343 -1</f>
        <v>3.4559427715211033E-2</v>
      </c>
      <c r="K343" s="35">
        <f t="shared" ref="K343:K348" si="173">(C343*I343) - (C343*D343)</f>
        <v>178.75</v>
      </c>
      <c r="L343" s="21">
        <f t="shared" ref="L343:L348" si="174">H343-A343</f>
        <v>2</v>
      </c>
      <c r="M343" s="9">
        <f t="shared" ref="M343:M348" si="175">IF(J343&gt;0,1,0)</f>
        <v>1</v>
      </c>
      <c r="N343">
        <f t="shared" ref="N343:N348" si="176">IF(K343&gt;0, K343, 0)</f>
        <v>178.75</v>
      </c>
      <c r="O343">
        <f t="shared" ref="O343:O348" si="177">IF(K343&lt;0, K343, 0)</f>
        <v>0</v>
      </c>
    </row>
    <row r="344" spans="1:18">
      <c r="A344" s="6">
        <v>45083</v>
      </c>
      <c r="B344" s="61" t="s">
        <v>303</v>
      </c>
      <c r="C344" s="9">
        <v>23</v>
      </c>
      <c r="D344">
        <v>223.85</v>
      </c>
      <c r="E344" s="29">
        <v>240</v>
      </c>
      <c r="F344" s="50">
        <v>220</v>
      </c>
      <c r="G344" s="21">
        <f t="shared" si="171"/>
        <v>5.1948051948052028</v>
      </c>
      <c r="H344" s="6">
        <v>45086</v>
      </c>
      <c r="I344" s="29">
        <v>226.73</v>
      </c>
      <c r="J344" s="30">
        <f t="shared" si="172"/>
        <v>1.2865758320303788E-2</v>
      </c>
      <c r="K344" s="35">
        <f t="shared" si="173"/>
        <v>66.239999999999782</v>
      </c>
      <c r="L344" s="21">
        <f t="shared" si="174"/>
        <v>3</v>
      </c>
      <c r="M344" s="9">
        <f t="shared" si="175"/>
        <v>1</v>
      </c>
      <c r="N344">
        <f t="shared" si="176"/>
        <v>66.239999999999782</v>
      </c>
      <c r="O344">
        <f t="shared" si="177"/>
        <v>0</v>
      </c>
      <c r="R344" s="28">
        <v>2762.48</v>
      </c>
    </row>
    <row r="345" spans="1:18">
      <c r="A345" s="6">
        <v>45082</v>
      </c>
      <c r="B345" s="1" t="s">
        <v>213</v>
      </c>
      <c r="C345" s="9">
        <v>9</v>
      </c>
      <c r="D345">
        <v>84.7</v>
      </c>
      <c r="E345" s="29">
        <v>90</v>
      </c>
      <c r="F345" s="50">
        <v>82</v>
      </c>
      <c r="G345" s="21">
        <f t="shared" si="171"/>
        <v>2.9629629629629597</v>
      </c>
      <c r="H345" s="6">
        <v>45090</v>
      </c>
      <c r="I345" s="29">
        <v>88.4</v>
      </c>
      <c r="J345" s="30">
        <f t="shared" si="172"/>
        <v>4.3683589138134638E-2</v>
      </c>
      <c r="K345" s="35">
        <f t="shared" si="173"/>
        <v>33.299999999999955</v>
      </c>
      <c r="L345" s="21">
        <f t="shared" si="174"/>
        <v>8</v>
      </c>
      <c r="M345" s="9">
        <f t="shared" si="175"/>
        <v>1</v>
      </c>
      <c r="N345">
        <f t="shared" si="176"/>
        <v>33.299999999999955</v>
      </c>
      <c r="O345">
        <f t="shared" si="177"/>
        <v>0</v>
      </c>
    </row>
    <row r="346" spans="1:18">
      <c r="A346" s="6">
        <v>45082</v>
      </c>
      <c r="B346" t="s">
        <v>116</v>
      </c>
      <c r="C346" s="9">
        <v>26</v>
      </c>
      <c r="D346">
        <v>185.45</v>
      </c>
      <c r="E346" s="29">
        <v>200</v>
      </c>
      <c r="F346" s="50">
        <v>180</v>
      </c>
      <c r="G346" s="21">
        <f t="shared" si="171"/>
        <v>3.6697247706422096</v>
      </c>
      <c r="H346" s="6">
        <v>45093</v>
      </c>
      <c r="I346" s="29">
        <v>186.05</v>
      </c>
      <c r="J346" s="30">
        <f t="shared" si="172"/>
        <v>3.2353734160153191E-3</v>
      </c>
      <c r="K346" s="35">
        <f t="shared" si="173"/>
        <v>15.600000000000364</v>
      </c>
      <c r="L346" s="21">
        <f t="shared" si="174"/>
        <v>11</v>
      </c>
      <c r="M346" s="9">
        <f t="shared" si="175"/>
        <v>1</v>
      </c>
      <c r="N346">
        <f t="shared" si="176"/>
        <v>15.600000000000364</v>
      </c>
      <c r="O346">
        <f t="shared" si="177"/>
        <v>0</v>
      </c>
    </row>
    <row r="347" spans="1:18">
      <c r="A347" s="6">
        <v>45082</v>
      </c>
      <c r="B347" s="61" t="s">
        <v>303</v>
      </c>
      <c r="C347" s="9">
        <v>23</v>
      </c>
      <c r="D347">
        <v>218.52</v>
      </c>
      <c r="E347" s="29">
        <v>260</v>
      </c>
      <c r="F347" s="50">
        <v>208</v>
      </c>
      <c r="G347" s="21">
        <f t="shared" si="171"/>
        <v>4.9429657794676762</v>
      </c>
      <c r="H347" s="6">
        <v>45083</v>
      </c>
      <c r="I347" s="29">
        <v>223.79</v>
      </c>
      <c r="J347" s="30">
        <f t="shared" si="172"/>
        <v>2.4116785648910843E-2</v>
      </c>
      <c r="K347" s="35">
        <f t="shared" si="173"/>
        <v>121.21000000000004</v>
      </c>
      <c r="L347" s="21">
        <f t="shared" si="174"/>
        <v>1</v>
      </c>
      <c r="M347" s="9">
        <f t="shared" si="175"/>
        <v>1</v>
      </c>
      <c r="N347">
        <f t="shared" si="176"/>
        <v>121.21000000000004</v>
      </c>
      <c r="O347">
        <f t="shared" si="177"/>
        <v>0</v>
      </c>
    </row>
    <row r="348" spans="1:18">
      <c r="A348" s="6">
        <v>45082</v>
      </c>
      <c r="B348" t="s">
        <v>205</v>
      </c>
      <c r="C348" s="9">
        <v>14</v>
      </c>
      <c r="D348">
        <v>421.1</v>
      </c>
      <c r="E348" s="29">
        <v>485</v>
      </c>
      <c r="F348" s="50">
        <v>400</v>
      </c>
      <c r="G348" s="21">
        <f t="shared" si="171"/>
        <v>4.0284360189573416</v>
      </c>
      <c r="H348" s="6">
        <v>45086</v>
      </c>
      <c r="I348" s="29">
        <v>423</v>
      </c>
      <c r="J348" s="30">
        <f t="shared" si="172"/>
        <v>4.5119924008547585E-3</v>
      </c>
      <c r="K348" s="35">
        <f t="shared" si="173"/>
        <v>26.599999999999454</v>
      </c>
      <c r="L348" s="21">
        <f t="shared" si="174"/>
        <v>4</v>
      </c>
      <c r="M348" s="9">
        <f t="shared" si="175"/>
        <v>1</v>
      </c>
      <c r="N348">
        <f t="shared" si="176"/>
        <v>26.599999999999454</v>
      </c>
      <c r="O348">
        <f t="shared" si="177"/>
        <v>0</v>
      </c>
    </row>
    <row r="349" spans="1:18">
      <c r="A349" s="6">
        <v>45082</v>
      </c>
      <c r="B349" s="22" t="s">
        <v>165</v>
      </c>
      <c r="C349" s="57">
        <v>400</v>
      </c>
      <c r="D349">
        <v>1.46</v>
      </c>
      <c r="E349" s="29">
        <v>3.45</v>
      </c>
      <c r="F349" s="75">
        <v>0.4</v>
      </c>
      <c r="G349" s="21">
        <f t="shared" si="171"/>
        <v>2.8773584905660377</v>
      </c>
      <c r="J349" s="30"/>
      <c r="K349" s="38"/>
      <c r="L349" s="37"/>
      <c r="N349" s="38"/>
      <c r="R349" s="28">
        <v>2807.87</v>
      </c>
    </row>
    <row r="350" spans="1:18">
      <c r="A350" s="6">
        <v>45082</v>
      </c>
      <c r="B350" s="22" t="s">
        <v>165</v>
      </c>
      <c r="C350" s="57">
        <v>100</v>
      </c>
      <c r="D350">
        <v>1.55</v>
      </c>
      <c r="E350" s="29">
        <v>3.45</v>
      </c>
      <c r="F350" s="75">
        <v>0.8</v>
      </c>
      <c r="G350" s="21">
        <f t="shared" si="171"/>
        <v>3.5333333333333337</v>
      </c>
      <c r="H350" s="6">
        <v>45090</v>
      </c>
      <c r="I350" s="29">
        <v>3.1</v>
      </c>
      <c r="J350" s="30">
        <f t="shared" ref="J350:J358" si="178">I350/D350 -1</f>
        <v>1</v>
      </c>
      <c r="K350" s="35">
        <f t="shared" ref="K350:K358" si="179">(C350*I350) - (C350*D350)</f>
        <v>155</v>
      </c>
      <c r="L350" s="21">
        <f t="shared" ref="L350:L381" si="180">H350-A350</f>
        <v>8</v>
      </c>
      <c r="M350" s="9">
        <f t="shared" ref="M350:M358" si="181">IF(J350&gt;0,1,0)</f>
        <v>1</v>
      </c>
      <c r="N350">
        <f t="shared" ref="N350:N358" si="182">IF(K350&gt;0, K350, 0)</f>
        <v>155</v>
      </c>
      <c r="O350">
        <f t="shared" ref="O350:O358" si="183">IF(K350&lt;0, K350, 0)</f>
        <v>0</v>
      </c>
      <c r="R350" s="28"/>
    </row>
    <row r="351" spans="1:18">
      <c r="A351" s="6">
        <v>45078</v>
      </c>
      <c r="B351" s="1" t="s">
        <v>436</v>
      </c>
      <c r="C351" s="9">
        <v>7</v>
      </c>
      <c r="D351">
        <v>33.82</v>
      </c>
      <c r="E351" s="29">
        <v>38</v>
      </c>
      <c r="F351" s="50">
        <v>33</v>
      </c>
      <c r="G351" s="21">
        <f t="shared" si="171"/>
        <v>6.0975609756097544</v>
      </c>
      <c r="H351" s="6">
        <v>45104</v>
      </c>
      <c r="I351" s="29">
        <v>35.78</v>
      </c>
      <c r="J351" s="30">
        <f t="shared" si="178"/>
        <v>5.7953873447664117E-2</v>
      </c>
      <c r="K351" s="35">
        <f t="shared" si="179"/>
        <v>13.719999999999999</v>
      </c>
      <c r="L351" s="21">
        <f t="shared" si="180"/>
        <v>26</v>
      </c>
      <c r="M351" s="9">
        <f t="shared" si="181"/>
        <v>1</v>
      </c>
      <c r="N351">
        <f t="shared" si="182"/>
        <v>13.719999999999999</v>
      </c>
      <c r="O351">
        <f t="shared" si="183"/>
        <v>0</v>
      </c>
      <c r="R351" s="28">
        <v>2837.71</v>
      </c>
    </row>
    <row r="352" spans="1:18">
      <c r="A352" s="6">
        <v>45078</v>
      </c>
      <c r="B352" t="s">
        <v>116</v>
      </c>
      <c r="C352" s="9">
        <v>26</v>
      </c>
      <c r="D352">
        <v>182.24</v>
      </c>
      <c r="E352" s="29">
        <v>200</v>
      </c>
      <c r="F352" s="50">
        <v>180</v>
      </c>
      <c r="G352" s="21">
        <f t="shared" si="171"/>
        <v>8.9285714285713915</v>
      </c>
      <c r="H352" s="6">
        <v>45079</v>
      </c>
      <c r="I352" s="29">
        <v>184.07</v>
      </c>
      <c r="J352" s="30">
        <f t="shared" si="178"/>
        <v>1.0041703248463429E-2</v>
      </c>
      <c r="K352" s="35">
        <f t="shared" si="179"/>
        <v>47.579999999999927</v>
      </c>
      <c r="L352" s="21">
        <f t="shared" si="180"/>
        <v>1</v>
      </c>
      <c r="M352" s="9">
        <f t="shared" si="181"/>
        <v>1</v>
      </c>
      <c r="N352">
        <f t="shared" si="182"/>
        <v>47.579999999999927</v>
      </c>
      <c r="O352">
        <f t="shared" si="183"/>
        <v>0</v>
      </c>
      <c r="R352" s="28">
        <v>2405.79</v>
      </c>
    </row>
    <row r="353" spans="1:18">
      <c r="A353" s="6">
        <v>45076</v>
      </c>
      <c r="B353" s="1" t="s">
        <v>438</v>
      </c>
      <c r="C353" s="9">
        <v>8</v>
      </c>
      <c r="D353">
        <v>30.13</v>
      </c>
      <c r="E353" s="29">
        <v>35</v>
      </c>
      <c r="F353" s="50">
        <v>28</v>
      </c>
      <c r="G353" s="21">
        <f t="shared" ref="G353:G358" si="184" xml:space="preserve"> (E353 - F353)/(D353-F353)</f>
        <v>3.2863849765258233</v>
      </c>
      <c r="H353" s="6">
        <v>45078</v>
      </c>
      <c r="I353" s="29">
        <v>31.98</v>
      </c>
      <c r="J353" s="30">
        <f t="shared" si="178"/>
        <v>6.1400597411218172E-2</v>
      </c>
      <c r="K353" s="35">
        <f t="shared" si="179"/>
        <v>14.800000000000011</v>
      </c>
      <c r="L353" s="21">
        <f t="shared" si="180"/>
        <v>2</v>
      </c>
      <c r="M353" s="9">
        <f t="shared" si="181"/>
        <v>1</v>
      </c>
      <c r="N353">
        <f t="shared" si="182"/>
        <v>14.800000000000011</v>
      </c>
      <c r="O353">
        <f t="shared" si="183"/>
        <v>0</v>
      </c>
      <c r="R353" s="28">
        <v>2129.9899999999998</v>
      </c>
    </row>
    <row r="354" spans="1:18">
      <c r="A354" s="6">
        <v>45076</v>
      </c>
      <c r="B354" s="1" t="s">
        <v>118</v>
      </c>
      <c r="C354" s="9">
        <v>89</v>
      </c>
      <c r="D354">
        <v>6.51</v>
      </c>
      <c r="E354" s="29">
        <v>8</v>
      </c>
      <c r="F354" s="50">
        <v>6</v>
      </c>
      <c r="G354" s="21">
        <f t="shared" si="184"/>
        <v>3.921568627450982</v>
      </c>
      <c r="H354" s="6">
        <v>45105</v>
      </c>
      <c r="I354" s="16">
        <v>5.35</v>
      </c>
      <c r="J354" s="25">
        <f t="shared" si="178"/>
        <v>-0.17818740399385569</v>
      </c>
      <c r="K354" s="36">
        <f t="shared" si="179"/>
        <v>-103.24000000000001</v>
      </c>
      <c r="L354" s="24">
        <f t="shared" si="180"/>
        <v>29</v>
      </c>
      <c r="M354" s="52">
        <f t="shared" si="181"/>
        <v>0</v>
      </c>
      <c r="N354" s="24">
        <f t="shared" si="182"/>
        <v>0</v>
      </c>
      <c r="O354" s="17">
        <f t="shared" si="183"/>
        <v>-103.24000000000001</v>
      </c>
    </row>
    <row r="355" spans="1:18">
      <c r="A355" s="6">
        <v>45076</v>
      </c>
      <c r="B355" s="1" t="s">
        <v>635</v>
      </c>
      <c r="C355" s="9">
        <v>5</v>
      </c>
      <c r="D355">
        <v>70.39</v>
      </c>
      <c r="E355" s="29">
        <v>73</v>
      </c>
      <c r="F355" s="50">
        <v>69</v>
      </c>
      <c r="G355" s="21">
        <f t="shared" si="184"/>
        <v>2.8776978417266177</v>
      </c>
      <c r="H355" s="6">
        <v>45084</v>
      </c>
      <c r="I355" s="29">
        <v>75.349999999999994</v>
      </c>
      <c r="J355" s="30">
        <f t="shared" si="178"/>
        <v>7.0464554624236397E-2</v>
      </c>
      <c r="K355" s="35">
        <f t="shared" si="179"/>
        <v>24.800000000000011</v>
      </c>
      <c r="L355" s="21">
        <f t="shared" si="180"/>
        <v>8</v>
      </c>
      <c r="M355" s="9">
        <f t="shared" si="181"/>
        <v>1</v>
      </c>
      <c r="N355">
        <f t="shared" si="182"/>
        <v>24.800000000000011</v>
      </c>
      <c r="O355">
        <f t="shared" si="183"/>
        <v>0</v>
      </c>
    </row>
    <row r="356" spans="1:18">
      <c r="A356" s="6">
        <v>45076</v>
      </c>
      <c r="B356" t="s">
        <v>445</v>
      </c>
      <c r="C356" s="9">
        <v>44</v>
      </c>
      <c r="D356">
        <v>107.59</v>
      </c>
      <c r="E356" s="29">
        <v>130</v>
      </c>
      <c r="F356" s="75">
        <v>100</v>
      </c>
      <c r="G356" s="21">
        <f t="shared" si="184"/>
        <v>3.9525691699604724</v>
      </c>
      <c r="H356" s="6">
        <v>45079</v>
      </c>
      <c r="I356" s="29">
        <v>108.24</v>
      </c>
      <c r="J356" s="30">
        <f t="shared" si="178"/>
        <v>6.0414536666975049E-3</v>
      </c>
      <c r="K356" s="35">
        <f t="shared" si="179"/>
        <v>28.599999999999454</v>
      </c>
      <c r="L356" s="21">
        <f t="shared" si="180"/>
        <v>3</v>
      </c>
      <c r="M356" s="9">
        <f t="shared" si="181"/>
        <v>1</v>
      </c>
      <c r="N356">
        <f t="shared" si="182"/>
        <v>28.599999999999454</v>
      </c>
      <c r="O356">
        <f t="shared" si="183"/>
        <v>0</v>
      </c>
    </row>
    <row r="357" spans="1:18">
      <c r="A357" s="6">
        <v>45076</v>
      </c>
      <c r="B357" t="s">
        <v>205</v>
      </c>
      <c r="C357" s="9">
        <v>14</v>
      </c>
      <c r="D357">
        <v>411</v>
      </c>
      <c r="E357" s="29">
        <v>480</v>
      </c>
      <c r="F357" s="50">
        <v>400</v>
      </c>
      <c r="G357" s="21">
        <f t="shared" si="184"/>
        <v>7.2727272727272725</v>
      </c>
      <c r="H357" s="6">
        <v>45079</v>
      </c>
      <c r="I357" s="29">
        <v>420</v>
      </c>
      <c r="J357" s="30">
        <f t="shared" si="178"/>
        <v>2.1897810218978186E-2</v>
      </c>
      <c r="K357" s="35">
        <f t="shared" si="179"/>
        <v>126</v>
      </c>
      <c r="L357" s="21">
        <f t="shared" si="180"/>
        <v>3</v>
      </c>
      <c r="M357" s="9">
        <f t="shared" si="181"/>
        <v>1</v>
      </c>
      <c r="N357">
        <f t="shared" si="182"/>
        <v>126</v>
      </c>
      <c r="O357">
        <f t="shared" si="183"/>
        <v>0</v>
      </c>
    </row>
    <row r="358" spans="1:18">
      <c r="A358" s="6">
        <v>45076</v>
      </c>
      <c r="B358" s="22" t="s">
        <v>438</v>
      </c>
      <c r="C358" s="76">
        <v>300</v>
      </c>
      <c r="D358">
        <v>1.28</v>
      </c>
      <c r="E358" s="29">
        <v>4</v>
      </c>
      <c r="F358" s="50">
        <v>0.6</v>
      </c>
      <c r="G358" s="21">
        <f t="shared" si="184"/>
        <v>4.9999999999999991</v>
      </c>
      <c r="H358" s="6">
        <v>45078</v>
      </c>
      <c r="I358" s="29">
        <v>2.15</v>
      </c>
      <c r="J358" s="30">
        <f t="shared" si="178"/>
        <v>0.6796875</v>
      </c>
      <c r="K358" s="35">
        <f t="shared" si="179"/>
        <v>261</v>
      </c>
      <c r="L358" s="21">
        <f t="shared" si="180"/>
        <v>2</v>
      </c>
      <c r="M358" s="9">
        <f t="shared" si="181"/>
        <v>1</v>
      </c>
      <c r="N358">
        <f t="shared" si="182"/>
        <v>261</v>
      </c>
      <c r="O358">
        <f t="shared" si="183"/>
        <v>0</v>
      </c>
      <c r="R358" s="28">
        <v>2192.62</v>
      </c>
    </row>
    <row r="359" spans="1:18">
      <c r="A359" s="6">
        <v>45071</v>
      </c>
      <c r="B359" s="1" t="s">
        <v>634</v>
      </c>
      <c r="C359" s="9">
        <v>5</v>
      </c>
      <c r="D359">
        <v>140.77000000000001</v>
      </c>
      <c r="E359" s="29">
        <v>180</v>
      </c>
      <c r="F359" s="50">
        <v>130</v>
      </c>
      <c r="G359" s="21">
        <f xml:space="preserve"> (E359 - F359)/(D359-F359)</f>
        <v>4.6425255338904323</v>
      </c>
      <c r="H359" s="6">
        <v>45124</v>
      </c>
      <c r="I359" s="16">
        <v>130.30000000000001</v>
      </c>
      <c r="J359" s="25">
        <f t="shared" ref="J359:J365" si="185">I359/D359 -1</f>
        <v>-7.4376642750586086E-2</v>
      </c>
      <c r="K359" s="36">
        <f t="shared" ref="K359:K365" si="186">(C359*I359) - (C359*D359)</f>
        <v>-52.350000000000023</v>
      </c>
      <c r="L359" s="24">
        <f t="shared" si="180"/>
        <v>53</v>
      </c>
      <c r="M359" s="52">
        <f t="shared" ref="M359:M365" si="187">IF(J359&gt;0,1,0)</f>
        <v>0</v>
      </c>
      <c r="N359" s="24">
        <f t="shared" ref="N359:N365" si="188">IF(K359&gt;0, K359, 0)</f>
        <v>0</v>
      </c>
      <c r="O359" s="17">
        <f t="shared" ref="O359:O365" si="189">IF(K359&lt;0, K359, 0)</f>
        <v>-52.350000000000023</v>
      </c>
      <c r="R359" s="28">
        <v>2219.7399999999998</v>
      </c>
    </row>
    <row r="360" spans="1:18">
      <c r="A360" s="6">
        <v>45071</v>
      </c>
      <c r="B360" s="22" t="s">
        <v>217</v>
      </c>
      <c r="C360" s="76">
        <v>100</v>
      </c>
      <c r="D360">
        <v>5.3</v>
      </c>
      <c r="E360" s="29">
        <v>15</v>
      </c>
      <c r="F360" s="50">
        <v>2.7</v>
      </c>
      <c r="G360" s="21">
        <f xml:space="preserve"> (E360 - F360)/(D360-F360)</f>
        <v>4.7307692307692317</v>
      </c>
      <c r="H360" s="6">
        <v>45084</v>
      </c>
      <c r="I360" s="29">
        <v>7.9</v>
      </c>
      <c r="J360" s="30">
        <f t="shared" si="185"/>
        <v>0.49056603773584917</v>
      </c>
      <c r="K360" s="35">
        <f t="shared" si="186"/>
        <v>260</v>
      </c>
      <c r="L360" s="21">
        <f t="shared" si="180"/>
        <v>13</v>
      </c>
      <c r="M360" s="9">
        <f t="shared" si="187"/>
        <v>1</v>
      </c>
      <c r="N360">
        <f t="shared" si="188"/>
        <v>260</v>
      </c>
      <c r="O360">
        <f t="shared" si="189"/>
        <v>0</v>
      </c>
    </row>
    <row r="361" spans="1:18">
      <c r="A361" s="6">
        <v>45071</v>
      </c>
      <c r="B361" s="61" t="s">
        <v>591</v>
      </c>
      <c r="C361" s="9">
        <v>17</v>
      </c>
      <c r="D361">
        <v>393</v>
      </c>
      <c r="E361" s="29">
        <v>450</v>
      </c>
      <c r="F361" s="75">
        <v>360</v>
      </c>
      <c r="G361" s="21">
        <f xml:space="preserve"> (E361 - F361)/(D361-F361)</f>
        <v>2.7272727272727271</v>
      </c>
      <c r="H361" s="6">
        <v>45072</v>
      </c>
      <c r="I361" s="29">
        <v>415</v>
      </c>
      <c r="J361" s="30">
        <f t="shared" si="185"/>
        <v>5.5979643765903253E-2</v>
      </c>
      <c r="K361" s="35">
        <f t="shared" si="186"/>
        <v>374</v>
      </c>
      <c r="L361" s="21">
        <f t="shared" si="180"/>
        <v>1</v>
      </c>
      <c r="M361" s="9">
        <f t="shared" si="187"/>
        <v>1</v>
      </c>
      <c r="N361">
        <f t="shared" si="188"/>
        <v>374</v>
      </c>
      <c r="O361">
        <f t="shared" si="189"/>
        <v>0</v>
      </c>
    </row>
    <row r="362" spans="1:18">
      <c r="A362" s="6">
        <v>45071</v>
      </c>
      <c r="B362" s="61" t="s">
        <v>436</v>
      </c>
      <c r="C362" s="9">
        <v>140</v>
      </c>
      <c r="D362">
        <v>34.130000000000003</v>
      </c>
      <c r="E362" s="29">
        <v>38</v>
      </c>
      <c r="F362" s="50">
        <v>33</v>
      </c>
      <c r="G362" s="21">
        <f xml:space="preserve"> (E362 - F362)/(D362-F362)</f>
        <v>4.4247787610619369</v>
      </c>
      <c r="H362" s="6">
        <v>45072</v>
      </c>
      <c r="I362" s="29">
        <v>34.22</v>
      </c>
      <c r="J362" s="30">
        <f t="shared" si="185"/>
        <v>2.6369762672135977E-3</v>
      </c>
      <c r="K362" s="35">
        <f t="shared" si="186"/>
        <v>12.599999999999454</v>
      </c>
      <c r="L362" s="21">
        <f t="shared" si="180"/>
        <v>1</v>
      </c>
      <c r="M362" s="9">
        <f t="shared" si="187"/>
        <v>1</v>
      </c>
      <c r="N362">
        <f t="shared" si="188"/>
        <v>12.599999999999454</v>
      </c>
      <c r="O362">
        <f t="shared" si="189"/>
        <v>0</v>
      </c>
      <c r="R362" s="28">
        <v>1882.52</v>
      </c>
    </row>
    <row r="363" spans="1:18">
      <c r="A363" s="6">
        <v>45070</v>
      </c>
      <c r="B363" s="1" t="s">
        <v>81</v>
      </c>
      <c r="C363" s="9">
        <v>8</v>
      </c>
      <c r="D363">
        <v>79.78</v>
      </c>
      <c r="E363" s="29">
        <v>86</v>
      </c>
      <c r="F363" s="50">
        <v>78</v>
      </c>
      <c r="G363" s="21">
        <f t="shared" ref="G363:G370" si="190" xml:space="preserve"> (E363 - F363)/(D363-F363)</f>
        <v>4.4943820224719069</v>
      </c>
      <c r="H363" s="6">
        <v>45071</v>
      </c>
      <c r="I363" s="29">
        <v>82.36</v>
      </c>
      <c r="J363" s="30">
        <f t="shared" si="185"/>
        <v>3.2338932063173731E-2</v>
      </c>
      <c r="K363" s="35">
        <f t="shared" si="186"/>
        <v>20.639999999999986</v>
      </c>
      <c r="L363" s="21">
        <f t="shared" si="180"/>
        <v>1</v>
      </c>
      <c r="M363" s="9">
        <f t="shared" si="187"/>
        <v>1</v>
      </c>
      <c r="N363">
        <f t="shared" si="188"/>
        <v>20.639999999999986</v>
      </c>
      <c r="O363">
        <f t="shared" si="189"/>
        <v>0</v>
      </c>
      <c r="R363" s="28">
        <v>1452.41</v>
      </c>
    </row>
    <row r="364" spans="1:18">
      <c r="A364" s="6">
        <v>45069</v>
      </c>
      <c r="B364" s="22" t="s">
        <v>626</v>
      </c>
      <c r="C364" s="57">
        <v>100</v>
      </c>
      <c r="D364">
        <v>2.5299999999999998</v>
      </c>
      <c r="E364" s="29">
        <v>5</v>
      </c>
      <c r="F364" s="50">
        <v>1.2</v>
      </c>
      <c r="G364" s="21">
        <f t="shared" si="190"/>
        <v>2.8571428571428572</v>
      </c>
      <c r="H364" s="6">
        <v>45129</v>
      </c>
      <c r="I364" s="16">
        <v>0</v>
      </c>
      <c r="J364" s="25">
        <f t="shared" si="185"/>
        <v>-1</v>
      </c>
      <c r="K364" s="36">
        <f t="shared" si="186"/>
        <v>-252.99999999999997</v>
      </c>
      <c r="L364" s="24">
        <f t="shared" si="180"/>
        <v>60</v>
      </c>
      <c r="M364" s="52">
        <f t="shared" si="187"/>
        <v>0</v>
      </c>
      <c r="N364" s="24">
        <f t="shared" si="188"/>
        <v>0</v>
      </c>
      <c r="O364" s="17">
        <f t="shared" si="189"/>
        <v>-252.99999999999997</v>
      </c>
    </row>
    <row r="365" spans="1:18">
      <c r="A365" s="6">
        <v>45069</v>
      </c>
      <c r="B365" t="s">
        <v>626</v>
      </c>
      <c r="C365" s="9">
        <v>100</v>
      </c>
      <c r="D365">
        <v>105.41</v>
      </c>
      <c r="E365" s="29">
        <v>110</v>
      </c>
      <c r="F365" s="50">
        <v>105</v>
      </c>
      <c r="G365" s="21">
        <f t="shared" si="190"/>
        <v>12.195121951219614</v>
      </c>
      <c r="H365" s="6">
        <v>45142</v>
      </c>
      <c r="I365" s="16">
        <v>100.7</v>
      </c>
      <c r="J365" s="25">
        <f t="shared" si="185"/>
        <v>-4.4682667678588306E-2</v>
      </c>
      <c r="K365" s="36">
        <f t="shared" si="186"/>
        <v>-471</v>
      </c>
      <c r="L365" s="24">
        <f t="shared" si="180"/>
        <v>73</v>
      </c>
      <c r="M365" s="52">
        <f t="shared" si="187"/>
        <v>0</v>
      </c>
      <c r="N365" s="24">
        <f t="shared" si="188"/>
        <v>0</v>
      </c>
      <c r="O365" s="17">
        <f t="shared" si="189"/>
        <v>-471</v>
      </c>
    </row>
    <row r="366" spans="1:18">
      <c r="A366" s="6">
        <v>45068</v>
      </c>
      <c r="B366" s="1" t="s">
        <v>130</v>
      </c>
      <c r="C366" s="9">
        <v>8</v>
      </c>
      <c r="D366">
        <v>105.22</v>
      </c>
      <c r="E366" s="29">
        <v>140</v>
      </c>
      <c r="F366" s="50">
        <v>102</v>
      </c>
      <c r="G366" s="21">
        <f t="shared" si="190"/>
        <v>11.80124223602485</v>
      </c>
      <c r="H366" s="6">
        <v>45076</v>
      </c>
      <c r="I366" s="29">
        <v>116.04</v>
      </c>
      <c r="J366" s="30">
        <f t="shared" ref="J366:J372" si="191">I366/D366 -1</f>
        <v>0.10283216118608629</v>
      </c>
      <c r="K366" s="35">
        <f t="shared" ref="K366:K372" si="192">(C366*I366) - (C366*D366)</f>
        <v>86.560000000000059</v>
      </c>
      <c r="L366" s="21">
        <f t="shared" si="180"/>
        <v>8</v>
      </c>
      <c r="M366" s="9">
        <f t="shared" ref="M366:M372" si="193">IF(J366&gt;0,1,0)</f>
        <v>1</v>
      </c>
      <c r="N366">
        <f t="shared" ref="N366:N372" si="194">IF(K366&gt;0, K366, 0)</f>
        <v>86.560000000000059</v>
      </c>
      <c r="O366">
        <f t="shared" ref="O366:O372" si="195">IF(K366&lt;0, K366, 0)</f>
        <v>0</v>
      </c>
    </row>
    <row r="367" spans="1:18">
      <c r="A367" s="6">
        <v>45068</v>
      </c>
      <c r="B367" t="s">
        <v>287</v>
      </c>
      <c r="C367" s="9">
        <v>169</v>
      </c>
      <c r="D367">
        <v>32.159999999999997</v>
      </c>
      <c r="E367" s="29">
        <v>40</v>
      </c>
      <c r="F367" s="50">
        <v>30</v>
      </c>
      <c r="G367" s="21">
        <f t="shared" si="190"/>
        <v>4.6296296296296369</v>
      </c>
      <c r="H367" s="6">
        <v>45071</v>
      </c>
      <c r="I367" s="29">
        <v>32.65</v>
      </c>
      <c r="J367" s="30">
        <f t="shared" si="191"/>
        <v>1.5236318407960248E-2</v>
      </c>
      <c r="K367" s="35">
        <f t="shared" si="192"/>
        <v>82.8100000000004</v>
      </c>
      <c r="L367" s="21">
        <f t="shared" si="180"/>
        <v>3</v>
      </c>
      <c r="M367" s="9">
        <f t="shared" si="193"/>
        <v>1</v>
      </c>
      <c r="N367">
        <f t="shared" si="194"/>
        <v>82.8100000000004</v>
      </c>
      <c r="O367">
        <f t="shared" si="195"/>
        <v>0</v>
      </c>
    </row>
    <row r="368" spans="1:18">
      <c r="A368" s="6">
        <v>45068</v>
      </c>
      <c r="B368" t="s">
        <v>303</v>
      </c>
      <c r="C368" s="9">
        <v>25</v>
      </c>
      <c r="D368">
        <v>217.12</v>
      </c>
      <c r="E368" s="29">
        <v>240</v>
      </c>
      <c r="F368" s="50">
        <v>210</v>
      </c>
      <c r="G368" s="21">
        <f t="shared" si="190"/>
        <v>4.2134831460674134</v>
      </c>
      <c r="H368" s="6">
        <v>45079</v>
      </c>
      <c r="I368" s="29">
        <v>218.4</v>
      </c>
      <c r="J368" s="30">
        <f t="shared" si="191"/>
        <v>5.8953574060427449E-3</v>
      </c>
      <c r="K368" s="35">
        <f t="shared" si="192"/>
        <v>32</v>
      </c>
      <c r="L368" s="21">
        <f t="shared" si="180"/>
        <v>11</v>
      </c>
      <c r="M368" s="9">
        <f t="shared" si="193"/>
        <v>1</v>
      </c>
      <c r="N368">
        <f t="shared" si="194"/>
        <v>32</v>
      </c>
      <c r="O368">
        <f t="shared" si="195"/>
        <v>0</v>
      </c>
    </row>
    <row r="369" spans="1:18">
      <c r="A369" s="6">
        <v>45068</v>
      </c>
      <c r="B369" s="22" t="s">
        <v>500</v>
      </c>
      <c r="C369" s="9">
        <v>200</v>
      </c>
      <c r="D369">
        <v>1.8</v>
      </c>
      <c r="E369" s="29">
        <v>10</v>
      </c>
      <c r="F369" s="50">
        <v>0.9</v>
      </c>
      <c r="G369" s="21">
        <f t="shared" si="190"/>
        <v>10.111111111111111</v>
      </c>
      <c r="H369" s="6">
        <v>45071</v>
      </c>
      <c r="I369" s="29">
        <v>3.1</v>
      </c>
      <c r="J369" s="30">
        <f t="shared" si="191"/>
        <v>0.72222222222222232</v>
      </c>
      <c r="K369" s="35">
        <f t="shared" si="192"/>
        <v>260</v>
      </c>
      <c r="L369" s="21">
        <f t="shared" si="180"/>
        <v>3</v>
      </c>
      <c r="M369" s="9">
        <f t="shared" si="193"/>
        <v>1</v>
      </c>
      <c r="N369">
        <f t="shared" si="194"/>
        <v>260</v>
      </c>
      <c r="O369">
        <f t="shared" si="195"/>
        <v>0</v>
      </c>
    </row>
    <row r="370" spans="1:18">
      <c r="A370" s="6">
        <v>45068</v>
      </c>
      <c r="B370" t="s">
        <v>632</v>
      </c>
      <c r="C370" s="9">
        <v>50</v>
      </c>
      <c r="D370">
        <v>90.63</v>
      </c>
      <c r="E370" s="29">
        <v>120</v>
      </c>
      <c r="F370" s="50">
        <v>88</v>
      </c>
      <c r="G370" s="21">
        <f t="shared" si="190"/>
        <v>12.167300380228157</v>
      </c>
      <c r="H370" s="6">
        <v>45086</v>
      </c>
      <c r="I370" s="29">
        <v>91.45</v>
      </c>
      <c r="J370" s="30">
        <f t="shared" si="191"/>
        <v>9.0477766743903842E-3</v>
      </c>
      <c r="K370" s="35">
        <f t="shared" si="192"/>
        <v>41</v>
      </c>
      <c r="L370" s="21">
        <f t="shared" si="180"/>
        <v>18</v>
      </c>
      <c r="M370" s="9">
        <f t="shared" si="193"/>
        <v>1</v>
      </c>
      <c r="N370">
        <f t="shared" si="194"/>
        <v>41</v>
      </c>
      <c r="O370">
        <f t="shared" si="195"/>
        <v>0</v>
      </c>
      <c r="R370" s="28">
        <v>1535.83</v>
      </c>
    </row>
    <row r="371" spans="1:18">
      <c r="A371" s="6">
        <v>45064</v>
      </c>
      <c r="B371" s="61" t="s">
        <v>303</v>
      </c>
      <c r="C371" s="9">
        <v>25</v>
      </c>
      <c r="D371">
        <v>212</v>
      </c>
      <c r="E371" s="29">
        <v>240</v>
      </c>
      <c r="F371" s="50">
        <v>210</v>
      </c>
      <c r="G371" s="21">
        <f t="shared" ref="G371:G404" si="196" xml:space="preserve"> (E371 - F371)/(D371-F371)</f>
        <v>15</v>
      </c>
      <c r="H371" s="6">
        <v>45065</v>
      </c>
      <c r="I371" s="29">
        <v>216.49</v>
      </c>
      <c r="J371" s="30">
        <f t="shared" si="191"/>
        <v>2.1179245283018844E-2</v>
      </c>
      <c r="K371" s="35">
        <f t="shared" si="192"/>
        <v>112.25</v>
      </c>
      <c r="L371" s="21">
        <f t="shared" si="180"/>
        <v>1</v>
      </c>
      <c r="M371" s="9">
        <f t="shared" si="193"/>
        <v>1</v>
      </c>
      <c r="N371">
        <f t="shared" si="194"/>
        <v>112.25</v>
      </c>
      <c r="O371">
        <f t="shared" si="195"/>
        <v>0</v>
      </c>
      <c r="R371" s="28">
        <v>1320.67</v>
      </c>
    </row>
    <row r="372" spans="1:18">
      <c r="A372" s="6">
        <v>45064</v>
      </c>
      <c r="B372" s="61" t="s">
        <v>611</v>
      </c>
      <c r="C372" s="9">
        <v>44</v>
      </c>
      <c r="D372">
        <v>111.84</v>
      </c>
      <c r="E372" s="29">
        <v>140</v>
      </c>
      <c r="F372" s="50">
        <v>105</v>
      </c>
      <c r="G372" s="21">
        <f t="shared" si="196"/>
        <v>5.1169590643274825</v>
      </c>
      <c r="H372" s="6">
        <v>45079</v>
      </c>
      <c r="I372" s="29">
        <v>117.61</v>
      </c>
      <c r="J372" s="30">
        <f t="shared" si="191"/>
        <v>5.1591559370529394E-2</v>
      </c>
      <c r="K372" s="35">
        <f t="shared" si="192"/>
        <v>253.88000000000011</v>
      </c>
      <c r="L372" s="21">
        <f t="shared" si="180"/>
        <v>15</v>
      </c>
      <c r="M372" s="9">
        <f t="shared" si="193"/>
        <v>1</v>
      </c>
      <c r="N372">
        <f t="shared" si="194"/>
        <v>253.88000000000011</v>
      </c>
      <c r="O372">
        <f t="shared" si="195"/>
        <v>0</v>
      </c>
    </row>
    <row r="373" spans="1:18">
      <c r="A373" s="6">
        <v>45064</v>
      </c>
      <c r="B373" t="s">
        <v>287</v>
      </c>
      <c r="C373" s="9">
        <v>167</v>
      </c>
      <c r="D373">
        <v>31.67</v>
      </c>
      <c r="E373" s="29">
        <v>34</v>
      </c>
      <c r="F373" s="50">
        <v>28</v>
      </c>
      <c r="G373" s="21">
        <f t="shared" si="196"/>
        <v>1.6348773841961846</v>
      </c>
      <c r="H373" s="6">
        <v>45065</v>
      </c>
      <c r="I373" s="29">
        <v>31.71</v>
      </c>
      <c r="J373" s="30">
        <f t="shared" ref="J373:J378" si="197">I373/D373 -1</f>
        <v>1.26302494474273E-3</v>
      </c>
      <c r="K373" s="35">
        <f t="shared" ref="K373:K378" si="198">(C373*I373) - (C373*D373)</f>
        <v>6.6799999999993815</v>
      </c>
      <c r="L373" s="21">
        <f t="shared" si="180"/>
        <v>1</v>
      </c>
      <c r="M373" s="9">
        <f t="shared" ref="M373:M378" si="199">IF(J373&gt;0,1,0)</f>
        <v>1</v>
      </c>
      <c r="N373">
        <f t="shared" ref="N373:N378" si="200">IF(K373&gt;0, K373, 0)</f>
        <v>6.6799999999993815</v>
      </c>
      <c r="O373">
        <f t="shared" ref="O373:O378" si="201">IF(K373&lt;0, K373, 0)</f>
        <v>0</v>
      </c>
      <c r="R373" s="28">
        <v>1182.9000000000001</v>
      </c>
    </row>
    <row r="374" spans="1:18">
      <c r="A374" s="6">
        <v>45063</v>
      </c>
      <c r="B374" s="1" t="s">
        <v>610</v>
      </c>
      <c r="C374" s="9">
        <v>26</v>
      </c>
      <c r="D374">
        <v>14.34</v>
      </c>
      <c r="E374" s="29">
        <v>16</v>
      </c>
      <c r="F374" s="50">
        <v>14</v>
      </c>
      <c r="G374" s="21">
        <f t="shared" si="196"/>
        <v>5.8823529411764728</v>
      </c>
      <c r="H374" s="6">
        <v>45068</v>
      </c>
      <c r="I374" s="29">
        <v>14.5</v>
      </c>
      <c r="J374" s="30">
        <f t="shared" si="197"/>
        <v>1.1157601115760141E-2</v>
      </c>
      <c r="K374" s="35">
        <f t="shared" si="198"/>
        <v>4.160000000000025</v>
      </c>
      <c r="L374" s="21">
        <f t="shared" si="180"/>
        <v>5</v>
      </c>
      <c r="M374" s="9">
        <f t="shared" si="199"/>
        <v>1</v>
      </c>
      <c r="N374">
        <f t="shared" si="200"/>
        <v>4.160000000000025</v>
      </c>
      <c r="O374">
        <f t="shared" si="201"/>
        <v>0</v>
      </c>
    </row>
    <row r="375" spans="1:18">
      <c r="A375" s="6">
        <v>45063</v>
      </c>
      <c r="B375" t="s">
        <v>287</v>
      </c>
      <c r="C375" s="9">
        <v>167</v>
      </c>
      <c r="D375">
        <v>30.36</v>
      </c>
      <c r="E375" s="29">
        <v>34</v>
      </c>
      <c r="F375" s="50">
        <v>28</v>
      </c>
      <c r="G375" s="21">
        <f t="shared" si="196"/>
        <v>2.542372881355933</v>
      </c>
      <c r="H375" s="6">
        <v>45064</v>
      </c>
      <c r="I375" s="29">
        <v>31.67</v>
      </c>
      <c r="J375" s="30">
        <f t="shared" si="197"/>
        <v>4.3148880105401854E-2</v>
      </c>
      <c r="K375" s="35">
        <f t="shared" si="198"/>
        <v>218.77000000000044</v>
      </c>
      <c r="L375" s="21">
        <f t="shared" si="180"/>
        <v>1</v>
      </c>
      <c r="M375" s="9">
        <f t="shared" si="199"/>
        <v>1</v>
      </c>
      <c r="N375">
        <f t="shared" si="200"/>
        <v>218.77000000000044</v>
      </c>
      <c r="O375">
        <f t="shared" si="201"/>
        <v>0</v>
      </c>
      <c r="R375" s="28">
        <v>769.21</v>
      </c>
    </row>
    <row r="376" spans="1:18">
      <c r="A376" s="6">
        <v>45062</v>
      </c>
      <c r="B376" s="1" t="s">
        <v>171</v>
      </c>
      <c r="C376" s="9">
        <v>89</v>
      </c>
      <c r="D376">
        <v>5.54</v>
      </c>
      <c r="E376" s="29">
        <v>6.5</v>
      </c>
      <c r="F376" s="50">
        <v>5.0999999999999996</v>
      </c>
      <c r="G376" s="21">
        <f t="shared" si="196"/>
        <v>3.1818181818181799</v>
      </c>
      <c r="H376" s="6">
        <v>45064</v>
      </c>
      <c r="I376" s="29">
        <v>5.83</v>
      </c>
      <c r="J376" s="30">
        <f t="shared" si="197"/>
        <v>5.2346570397111991E-2</v>
      </c>
      <c r="K376" s="35">
        <f t="shared" si="198"/>
        <v>25.810000000000002</v>
      </c>
      <c r="L376" s="21">
        <f t="shared" si="180"/>
        <v>2</v>
      </c>
      <c r="M376" s="9">
        <f t="shared" si="199"/>
        <v>1</v>
      </c>
      <c r="N376">
        <f t="shared" si="200"/>
        <v>25.810000000000002</v>
      </c>
      <c r="O376">
        <f t="shared" si="201"/>
        <v>0</v>
      </c>
    </row>
    <row r="377" spans="1:18">
      <c r="A377" s="6">
        <v>45062</v>
      </c>
      <c r="B377" s="61" t="s">
        <v>611</v>
      </c>
      <c r="C377" s="9">
        <v>44</v>
      </c>
      <c r="D377">
        <v>107.49</v>
      </c>
      <c r="E377" s="29">
        <v>140</v>
      </c>
      <c r="F377" s="50">
        <v>105</v>
      </c>
      <c r="G377" s="21">
        <f t="shared" si="196"/>
        <v>14.056224899598423</v>
      </c>
      <c r="H377" s="6">
        <v>45064</v>
      </c>
      <c r="I377" s="29">
        <v>111.92</v>
      </c>
      <c r="J377" s="30">
        <f t="shared" si="197"/>
        <v>4.1213136105684223E-2</v>
      </c>
      <c r="K377" s="35">
        <f t="shared" si="198"/>
        <v>194.92000000000098</v>
      </c>
      <c r="L377" s="21">
        <f t="shared" si="180"/>
        <v>2</v>
      </c>
      <c r="M377" s="9">
        <f t="shared" si="199"/>
        <v>1</v>
      </c>
      <c r="N377">
        <f t="shared" si="200"/>
        <v>194.92000000000098</v>
      </c>
      <c r="O377">
        <f t="shared" si="201"/>
        <v>0</v>
      </c>
    </row>
    <row r="378" spans="1:18">
      <c r="A378" s="6">
        <v>45061</v>
      </c>
      <c r="B378" t="s">
        <v>287</v>
      </c>
      <c r="C378" s="9">
        <v>179</v>
      </c>
      <c r="D378">
        <v>29.1</v>
      </c>
      <c r="E378" s="29">
        <v>31</v>
      </c>
      <c r="F378" s="50">
        <v>28</v>
      </c>
      <c r="G378" s="21">
        <f t="shared" si="196"/>
        <v>2.727272727272724</v>
      </c>
      <c r="H378" s="6">
        <v>45063</v>
      </c>
      <c r="I378" s="29">
        <v>30.29</v>
      </c>
      <c r="J378" s="30">
        <f t="shared" si="197"/>
        <v>4.0893470790377862E-2</v>
      </c>
      <c r="K378" s="35">
        <f t="shared" si="198"/>
        <v>213.00999999999931</v>
      </c>
      <c r="L378" s="21">
        <f t="shared" si="180"/>
        <v>2</v>
      </c>
      <c r="M378" s="9">
        <f t="shared" si="199"/>
        <v>1</v>
      </c>
      <c r="N378">
        <f t="shared" si="200"/>
        <v>213.00999999999931</v>
      </c>
      <c r="O378">
        <f t="shared" si="201"/>
        <v>0</v>
      </c>
      <c r="R378" s="28">
        <v>462.2</v>
      </c>
    </row>
    <row r="379" spans="1:18">
      <c r="A379" s="6">
        <v>45056</v>
      </c>
      <c r="B379" s="22" t="s">
        <v>231</v>
      </c>
      <c r="C379" s="9">
        <v>100</v>
      </c>
      <c r="D379">
        <v>3.6</v>
      </c>
      <c r="E379" s="29">
        <v>10</v>
      </c>
      <c r="F379" s="50">
        <v>1.8</v>
      </c>
      <c r="G379" s="21">
        <f t="shared" si="196"/>
        <v>4.5555555555555554</v>
      </c>
      <c r="H379" s="6">
        <v>45118</v>
      </c>
      <c r="I379" s="29">
        <v>5.9</v>
      </c>
      <c r="J379" s="30">
        <f>I379/D379 -1</f>
        <v>0.63888888888888884</v>
      </c>
      <c r="K379" s="35">
        <f>(C379*I379) - (C379*D379)</f>
        <v>230</v>
      </c>
      <c r="L379" s="21">
        <f t="shared" si="180"/>
        <v>62</v>
      </c>
      <c r="M379" s="9">
        <f>IF(J379&gt;0,1,0)</f>
        <v>1</v>
      </c>
      <c r="N379">
        <f>IF(K379&gt;0, K379, 0)</f>
        <v>230</v>
      </c>
      <c r="O379">
        <f>IF(K379&lt;0, K379, 0)</f>
        <v>0</v>
      </c>
    </row>
    <row r="380" spans="1:18">
      <c r="A380" s="6">
        <v>45056</v>
      </c>
      <c r="B380" s="55" t="s">
        <v>628</v>
      </c>
      <c r="C380" s="9">
        <v>100</v>
      </c>
      <c r="D380">
        <v>4.7</v>
      </c>
      <c r="E380" s="29">
        <v>25</v>
      </c>
      <c r="F380" s="50">
        <v>2.2999999999999998</v>
      </c>
      <c r="G380" s="21">
        <f t="shared" si="196"/>
        <v>9.4583333333333321</v>
      </c>
      <c r="H380" s="6">
        <v>45068</v>
      </c>
      <c r="I380" s="29">
        <v>8.1</v>
      </c>
      <c r="J380" s="30">
        <f t="shared" ref="J380:J385" si="202">I380/D380 -1</f>
        <v>0.72340425531914887</v>
      </c>
      <c r="K380" s="35">
        <f t="shared" ref="K380:K385" si="203">(C380*I380) - (C380*D380)</f>
        <v>340</v>
      </c>
      <c r="L380" s="21">
        <f t="shared" si="180"/>
        <v>12</v>
      </c>
      <c r="M380" s="9">
        <f t="shared" ref="M380:M385" si="204">IF(J380&gt;0,1,0)</f>
        <v>1</v>
      </c>
      <c r="N380">
        <f t="shared" ref="N380:N385" si="205">IF(K380&gt;0, K380, 0)</f>
        <v>340</v>
      </c>
      <c r="O380">
        <f t="shared" ref="O380:O385" si="206">IF(K380&lt;0, K380, 0)</f>
        <v>0</v>
      </c>
      <c r="R380" s="64">
        <v>6353.15</v>
      </c>
    </row>
    <row r="381" spans="1:18">
      <c r="A381" s="6">
        <v>45055</v>
      </c>
      <c r="B381" s="61" t="s">
        <v>353</v>
      </c>
      <c r="C381" s="9">
        <v>404</v>
      </c>
      <c r="D381">
        <v>12.52</v>
      </c>
      <c r="E381" s="29">
        <v>14</v>
      </c>
      <c r="F381" s="50">
        <v>11.4</v>
      </c>
      <c r="G381" s="21">
        <f t="shared" si="196"/>
        <v>2.321428571428573</v>
      </c>
      <c r="H381" s="6">
        <v>45065</v>
      </c>
      <c r="I381" s="29">
        <v>12.75</v>
      </c>
      <c r="J381" s="30">
        <f t="shared" si="202"/>
        <v>1.8370607028753927E-2</v>
      </c>
      <c r="K381" s="35">
        <f t="shared" si="203"/>
        <v>92.920000000000073</v>
      </c>
      <c r="L381" s="21">
        <f t="shared" si="180"/>
        <v>10</v>
      </c>
      <c r="M381" s="9">
        <f t="shared" si="204"/>
        <v>1</v>
      </c>
      <c r="N381">
        <f t="shared" si="205"/>
        <v>92.920000000000073</v>
      </c>
      <c r="O381">
        <f t="shared" si="206"/>
        <v>0</v>
      </c>
    </row>
    <row r="382" spans="1:18">
      <c r="A382" s="6">
        <v>45055</v>
      </c>
      <c r="B382" s="55" t="s">
        <v>500</v>
      </c>
      <c r="C382" s="9">
        <v>200</v>
      </c>
      <c r="D382">
        <v>1.5</v>
      </c>
      <c r="E382" s="29">
        <v>5</v>
      </c>
      <c r="F382" s="50">
        <v>0.8</v>
      </c>
      <c r="G382" s="21">
        <f t="shared" si="196"/>
        <v>6.0000000000000009</v>
      </c>
      <c r="H382" s="6">
        <v>45063</v>
      </c>
      <c r="I382" s="29">
        <v>1.97</v>
      </c>
      <c r="J382" s="30">
        <f t="shared" si="202"/>
        <v>0.31333333333333324</v>
      </c>
      <c r="K382" s="35">
        <f t="shared" si="203"/>
        <v>94</v>
      </c>
      <c r="L382" s="21">
        <f t="shared" ref="L382:L413" si="207">H382-A382</f>
        <v>8</v>
      </c>
      <c r="M382" s="9">
        <f t="shared" si="204"/>
        <v>1</v>
      </c>
      <c r="N382">
        <f t="shared" si="205"/>
        <v>94</v>
      </c>
      <c r="O382">
        <f t="shared" si="206"/>
        <v>0</v>
      </c>
      <c r="R382" s="28">
        <v>6077.15</v>
      </c>
    </row>
    <row r="383" spans="1:18">
      <c r="A383" s="6">
        <v>45054</v>
      </c>
      <c r="B383" t="s">
        <v>287</v>
      </c>
      <c r="C383" s="9">
        <v>179</v>
      </c>
      <c r="D383">
        <v>28.35</v>
      </c>
      <c r="E383" s="29">
        <v>31</v>
      </c>
      <c r="F383" s="50">
        <v>27</v>
      </c>
      <c r="G383" s="21">
        <f t="shared" si="196"/>
        <v>2.9629629629629597</v>
      </c>
      <c r="H383" s="6">
        <v>45061</v>
      </c>
      <c r="I383" s="29">
        <v>29.15</v>
      </c>
      <c r="J383" s="30">
        <f t="shared" si="202"/>
        <v>2.821869488536155E-2</v>
      </c>
      <c r="K383" s="35">
        <f t="shared" si="203"/>
        <v>143.19999999999891</v>
      </c>
      <c r="L383" s="21">
        <f t="shared" si="207"/>
        <v>7</v>
      </c>
      <c r="M383" s="9">
        <f t="shared" si="204"/>
        <v>1</v>
      </c>
      <c r="N383">
        <f t="shared" si="205"/>
        <v>143.19999999999891</v>
      </c>
      <c r="O383">
        <f t="shared" si="206"/>
        <v>0</v>
      </c>
      <c r="R383" s="28">
        <v>5776.4</v>
      </c>
    </row>
    <row r="384" spans="1:18">
      <c r="A384" s="6">
        <v>45050</v>
      </c>
      <c r="B384" s="22" t="s">
        <v>438</v>
      </c>
      <c r="C384" s="9">
        <v>300</v>
      </c>
      <c r="D384">
        <v>1.28</v>
      </c>
      <c r="E384" s="29">
        <v>3.72</v>
      </c>
      <c r="F384" s="50">
        <v>0.6</v>
      </c>
      <c r="G384" s="21">
        <f t="shared" si="196"/>
        <v>4.5882352941176467</v>
      </c>
      <c r="H384" s="6">
        <v>45058</v>
      </c>
      <c r="I384" s="29">
        <v>2.2000000000000002</v>
      </c>
      <c r="J384" s="30">
        <f t="shared" si="202"/>
        <v>0.71875</v>
      </c>
      <c r="K384" s="35">
        <f t="shared" si="203"/>
        <v>276</v>
      </c>
      <c r="L384" s="21">
        <f t="shared" si="207"/>
        <v>8</v>
      </c>
      <c r="M384" s="9">
        <f t="shared" si="204"/>
        <v>1</v>
      </c>
      <c r="N384">
        <f t="shared" si="205"/>
        <v>276</v>
      </c>
      <c r="O384">
        <f t="shared" si="206"/>
        <v>0</v>
      </c>
      <c r="R384" s="28">
        <v>5051.3999999999996</v>
      </c>
    </row>
    <row r="385" spans="1:18">
      <c r="A385" s="6">
        <v>45049</v>
      </c>
      <c r="B385" s="22" t="s">
        <v>439</v>
      </c>
      <c r="C385" s="9">
        <v>100</v>
      </c>
      <c r="D385">
        <v>4.6500000000000004</v>
      </c>
      <c r="E385" s="29">
        <v>10.5</v>
      </c>
      <c r="F385" s="50">
        <v>2.2999999999999998</v>
      </c>
      <c r="G385" s="21">
        <f t="shared" si="196"/>
        <v>3.4893617021276584</v>
      </c>
      <c r="H385" s="6">
        <v>45054</v>
      </c>
      <c r="I385" s="29">
        <v>11.9</v>
      </c>
      <c r="J385" s="30">
        <f t="shared" si="202"/>
        <v>1.5591397849462365</v>
      </c>
      <c r="K385" s="35">
        <f t="shared" si="203"/>
        <v>725</v>
      </c>
      <c r="L385" s="21">
        <f t="shared" si="207"/>
        <v>5</v>
      </c>
      <c r="M385" s="9">
        <f t="shared" si="204"/>
        <v>1</v>
      </c>
      <c r="N385">
        <f t="shared" si="205"/>
        <v>725</v>
      </c>
      <c r="O385">
        <f t="shared" si="206"/>
        <v>0</v>
      </c>
    </row>
    <row r="386" spans="1:18">
      <c r="A386" s="6">
        <v>45049</v>
      </c>
      <c r="B386" s="61" t="s">
        <v>534</v>
      </c>
      <c r="C386" s="9">
        <v>170</v>
      </c>
      <c r="D386">
        <v>30.03</v>
      </c>
      <c r="E386" s="29">
        <v>40</v>
      </c>
      <c r="F386" s="50">
        <v>28</v>
      </c>
      <c r="G386" s="21">
        <f t="shared" si="196"/>
        <v>5.9113300492610801</v>
      </c>
      <c r="H386" s="6">
        <v>45090</v>
      </c>
      <c r="I386" s="29">
        <v>30.5</v>
      </c>
      <c r="J386" s="30">
        <f t="shared" ref="J386:J402" si="208">I386/D386 -1</f>
        <v>1.5651015651015676E-2</v>
      </c>
      <c r="K386" s="35">
        <f t="shared" ref="K386:K402" si="209">(C386*I386) - (C386*D386)</f>
        <v>79.899999999999636</v>
      </c>
      <c r="L386" s="21">
        <f t="shared" si="207"/>
        <v>41</v>
      </c>
      <c r="M386" s="9">
        <f t="shared" ref="M386:M402" si="210">IF(J386&gt;0,1,0)</f>
        <v>1</v>
      </c>
      <c r="N386">
        <f t="shared" ref="N386:N402" si="211">IF(K386&gt;0, K386, 0)</f>
        <v>79.899999999999636</v>
      </c>
      <c r="O386">
        <f t="shared" ref="O386:O402" si="212">IF(K386&lt;0, K386, 0)</f>
        <v>0</v>
      </c>
    </row>
    <row r="387" spans="1:18">
      <c r="A387" s="6">
        <v>45049</v>
      </c>
      <c r="B387" t="s">
        <v>287</v>
      </c>
      <c r="C387" s="9">
        <v>185</v>
      </c>
      <c r="D387">
        <v>27.5</v>
      </c>
      <c r="E387" s="29">
        <v>31</v>
      </c>
      <c r="F387" s="50">
        <v>27</v>
      </c>
      <c r="G387" s="21">
        <f t="shared" si="196"/>
        <v>8</v>
      </c>
      <c r="H387" s="6">
        <v>45051</v>
      </c>
      <c r="I387" s="29">
        <v>28.27</v>
      </c>
      <c r="J387" s="30">
        <f t="shared" si="208"/>
        <v>2.8000000000000025E-2</v>
      </c>
      <c r="K387" s="35">
        <f t="shared" si="209"/>
        <v>142.44999999999982</v>
      </c>
      <c r="L387" s="21">
        <f t="shared" si="207"/>
        <v>2</v>
      </c>
      <c r="M387" s="9">
        <f t="shared" si="210"/>
        <v>1</v>
      </c>
      <c r="N387">
        <f t="shared" si="211"/>
        <v>142.44999999999982</v>
      </c>
      <c r="O387">
        <f t="shared" si="212"/>
        <v>0</v>
      </c>
    </row>
    <row r="388" spans="1:18">
      <c r="A388" s="6">
        <v>45048</v>
      </c>
      <c r="B388" t="s">
        <v>521</v>
      </c>
      <c r="C388" s="9">
        <v>50</v>
      </c>
      <c r="D388">
        <v>105.25</v>
      </c>
      <c r="E388" s="29">
        <v>110</v>
      </c>
      <c r="F388" s="50">
        <v>103</v>
      </c>
      <c r="G388" s="21">
        <f t="shared" si="196"/>
        <v>3.1111111111111112</v>
      </c>
      <c r="H388" s="6">
        <v>45051</v>
      </c>
      <c r="I388" s="29">
        <v>105.67</v>
      </c>
      <c r="J388" s="30">
        <f t="shared" si="208"/>
        <v>3.9904988123515839E-3</v>
      </c>
      <c r="K388" s="35">
        <f t="shared" si="209"/>
        <v>21</v>
      </c>
      <c r="L388" s="21">
        <f t="shared" si="207"/>
        <v>3</v>
      </c>
      <c r="M388" s="9">
        <f t="shared" si="210"/>
        <v>1</v>
      </c>
      <c r="N388">
        <f t="shared" si="211"/>
        <v>21</v>
      </c>
      <c r="O388">
        <f t="shared" si="212"/>
        <v>0</v>
      </c>
    </row>
    <row r="389" spans="1:18">
      <c r="A389" s="6">
        <v>45048</v>
      </c>
      <c r="B389" s="22" t="s">
        <v>87</v>
      </c>
      <c r="C389" s="9">
        <v>100</v>
      </c>
      <c r="D389">
        <v>8.9</v>
      </c>
      <c r="E389" s="29">
        <v>31</v>
      </c>
      <c r="F389" s="50">
        <v>4.5</v>
      </c>
      <c r="G389" s="21">
        <f t="shared" si="196"/>
        <v>6.0227272727272725</v>
      </c>
      <c r="H389" s="6">
        <v>45051</v>
      </c>
      <c r="I389" s="29">
        <v>12.05</v>
      </c>
      <c r="J389" s="30">
        <f t="shared" si="208"/>
        <v>0.35393258426966301</v>
      </c>
      <c r="K389" s="35">
        <f t="shared" si="209"/>
        <v>315</v>
      </c>
      <c r="L389" s="21">
        <f t="shared" si="207"/>
        <v>3</v>
      </c>
      <c r="M389" s="9">
        <f t="shared" si="210"/>
        <v>1</v>
      </c>
      <c r="N389">
        <f t="shared" si="211"/>
        <v>315</v>
      </c>
      <c r="O389">
        <f t="shared" si="212"/>
        <v>0</v>
      </c>
    </row>
    <row r="390" spans="1:18">
      <c r="A390" s="6">
        <v>45047</v>
      </c>
      <c r="B390" s="61" t="s">
        <v>180</v>
      </c>
      <c r="C390" s="9">
        <v>35</v>
      </c>
      <c r="D390">
        <v>46.6</v>
      </c>
      <c r="E390" s="29">
        <v>50</v>
      </c>
      <c r="F390" s="50">
        <v>45</v>
      </c>
      <c r="G390" s="21">
        <f t="shared" si="196"/>
        <v>3.1249999999999973</v>
      </c>
      <c r="H390" s="6">
        <v>45099</v>
      </c>
      <c r="I390" s="16">
        <v>41.08</v>
      </c>
      <c r="J390" s="25">
        <f t="shared" si="208"/>
        <v>-0.11845493562231768</v>
      </c>
      <c r="K390" s="36">
        <f t="shared" si="209"/>
        <v>-193.20000000000005</v>
      </c>
      <c r="L390" s="24">
        <f t="shared" si="207"/>
        <v>52</v>
      </c>
      <c r="M390" s="52">
        <f t="shared" si="210"/>
        <v>0</v>
      </c>
      <c r="N390" s="24">
        <f t="shared" si="211"/>
        <v>0</v>
      </c>
      <c r="O390" s="17">
        <f t="shared" si="212"/>
        <v>-193.20000000000005</v>
      </c>
    </row>
    <row r="391" spans="1:18">
      <c r="A391" s="6">
        <v>45047</v>
      </c>
      <c r="B391" s="61" t="s">
        <v>180</v>
      </c>
      <c r="C391" s="9">
        <v>43</v>
      </c>
      <c r="D391">
        <v>46.6</v>
      </c>
      <c r="E391" s="29">
        <v>50</v>
      </c>
      <c r="F391" s="50">
        <v>45</v>
      </c>
      <c r="G391" s="21">
        <f t="shared" si="196"/>
        <v>3.1249999999999973</v>
      </c>
      <c r="H391" s="6">
        <v>45084</v>
      </c>
      <c r="I391" s="16">
        <v>42.85</v>
      </c>
      <c r="J391" s="25">
        <f t="shared" si="208"/>
        <v>-8.0472103004291862E-2</v>
      </c>
      <c r="K391" s="36">
        <f t="shared" si="209"/>
        <v>-161.25</v>
      </c>
      <c r="L391" s="24">
        <f t="shared" si="207"/>
        <v>37</v>
      </c>
      <c r="M391" s="52">
        <f t="shared" si="210"/>
        <v>0</v>
      </c>
      <c r="N391" s="24">
        <f t="shared" si="211"/>
        <v>0</v>
      </c>
      <c r="O391" s="17">
        <f t="shared" si="212"/>
        <v>-161.25</v>
      </c>
    </row>
    <row r="392" spans="1:18">
      <c r="A392" s="6">
        <v>45047</v>
      </c>
      <c r="B392" s="61" t="s">
        <v>180</v>
      </c>
      <c r="C392" s="9">
        <v>30</v>
      </c>
      <c r="D392">
        <v>46.6</v>
      </c>
      <c r="E392" s="29">
        <v>50</v>
      </c>
      <c r="F392" s="50">
        <v>45</v>
      </c>
      <c r="G392" s="21">
        <f t="shared" si="196"/>
        <v>3.1249999999999973</v>
      </c>
      <c r="H392" s="6">
        <v>45068</v>
      </c>
      <c r="I392" s="16">
        <v>42.3</v>
      </c>
      <c r="J392" s="25">
        <f t="shared" si="208"/>
        <v>-9.2274678111588071E-2</v>
      </c>
      <c r="K392" s="36">
        <f t="shared" si="209"/>
        <v>-129</v>
      </c>
      <c r="L392" s="24">
        <f t="shared" si="207"/>
        <v>21</v>
      </c>
      <c r="M392" s="52">
        <f t="shared" si="210"/>
        <v>0</v>
      </c>
      <c r="N392" s="24">
        <f t="shared" si="211"/>
        <v>0</v>
      </c>
      <c r="O392" s="17">
        <f t="shared" si="212"/>
        <v>-129</v>
      </c>
    </row>
    <row r="393" spans="1:18">
      <c r="A393" s="6">
        <v>45047</v>
      </c>
      <c r="B393" s="61" t="s">
        <v>611</v>
      </c>
      <c r="C393" s="9">
        <v>44</v>
      </c>
      <c r="D393">
        <v>121.71</v>
      </c>
      <c r="E393" s="29">
        <v>140</v>
      </c>
      <c r="F393" s="50">
        <v>111</v>
      </c>
      <c r="G393" s="21">
        <f t="shared" si="196"/>
        <v>2.7077497665732975</v>
      </c>
      <c r="H393" s="6">
        <v>45055</v>
      </c>
      <c r="I393" s="29">
        <v>128.06</v>
      </c>
      <c r="J393" s="30">
        <f t="shared" si="208"/>
        <v>5.2173198586804803E-2</v>
      </c>
      <c r="K393" s="35">
        <f t="shared" si="209"/>
        <v>279.40000000000055</v>
      </c>
      <c r="L393" s="21">
        <f t="shared" si="207"/>
        <v>8</v>
      </c>
      <c r="M393" s="9">
        <f t="shared" si="210"/>
        <v>1</v>
      </c>
      <c r="N393">
        <f t="shared" si="211"/>
        <v>279.40000000000055</v>
      </c>
      <c r="O393">
        <f t="shared" si="212"/>
        <v>0</v>
      </c>
      <c r="R393" s="28">
        <v>4631.55</v>
      </c>
    </row>
    <row r="394" spans="1:18">
      <c r="A394" s="6">
        <v>45043</v>
      </c>
      <c r="B394" s="1" t="s">
        <v>470</v>
      </c>
      <c r="C394" s="9">
        <v>7</v>
      </c>
      <c r="D394">
        <v>115.31</v>
      </c>
      <c r="E394" s="29">
        <v>135</v>
      </c>
      <c r="F394" s="50">
        <v>100</v>
      </c>
      <c r="G394" s="21">
        <f t="shared" si="196"/>
        <v>2.2860875244937944</v>
      </c>
      <c r="H394" s="6">
        <v>45055</v>
      </c>
      <c r="I394" s="29">
        <v>118.36</v>
      </c>
      <c r="J394" s="30">
        <f t="shared" si="208"/>
        <v>2.6450437949874228E-2</v>
      </c>
      <c r="K394" s="35">
        <f t="shared" si="209"/>
        <v>21.349999999999909</v>
      </c>
      <c r="L394" s="21">
        <f t="shared" si="207"/>
        <v>12</v>
      </c>
      <c r="M394" s="9">
        <f t="shared" si="210"/>
        <v>1</v>
      </c>
      <c r="N394">
        <f t="shared" si="211"/>
        <v>21.349999999999909</v>
      </c>
      <c r="O394">
        <f t="shared" si="212"/>
        <v>0</v>
      </c>
      <c r="R394" s="28">
        <v>4676.63</v>
      </c>
    </row>
    <row r="395" spans="1:18">
      <c r="A395" s="6">
        <v>45043</v>
      </c>
      <c r="B395" s="61" t="s">
        <v>611</v>
      </c>
      <c r="C395" s="9">
        <v>53</v>
      </c>
      <c r="D395">
        <v>115.53</v>
      </c>
      <c r="E395" s="29">
        <v>140</v>
      </c>
      <c r="F395" s="50">
        <v>108</v>
      </c>
      <c r="G395" s="21">
        <f t="shared" si="196"/>
        <v>4.2496679946879148</v>
      </c>
      <c r="H395" s="6">
        <v>45044</v>
      </c>
      <c r="I395" s="29">
        <v>119.6</v>
      </c>
      <c r="J395" s="30">
        <f t="shared" si="208"/>
        <v>3.5228944862806033E-2</v>
      </c>
      <c r="K395" s="35">
        <f t="shared" si="209"/>
        <v>215.70999999999913</v>
      </c>
      <c r="L395" s="21">
        <f t="shared" si="207"/>
        <v>1</v>
      </c>
      <c r="M395" s="9">
        <f t="shared" si="210"/>
        <v>1</v>
      </c>
      <c r="N395">
        <f t="shared" si="211"/>
        <v>215.70999999999913</v>
      </c>
      <c r="O395">
        <f t="shared" si="212"/>
        <v>0</v>
      </c>
      <c r="R395" s="28">
        <v>4112.26</v>
      </c>
    </row>
    <row r="396" spans="1:18">
      <c r="A396" s="6">
        <v>45042</v>
      </c>
      <c r="B396" t="s">
        <v>617</v>
      </c>
      <c r="C396" s="9">
        <v>50</v>
      </c>
      <c r="D396">
        <v>116.95</v>
      </c>
      <c r="E396" s="29">
        <v>123</v>
      </c>
      <c r="F396" s="50">
        <v>114</v>
      </c>
      <c r="G396" s="21">
        <f t="shared" si="196"/>
        <v>3.0508474576271158</v>
      </c>
      <c r="H396" s="6">
        <v>45061</v>
      </c>
      <c r="I396" s="29">
        <v>118.34</v>
      </c>
      <c r="J396" s="30">
        <f t="shared" si="208"/>
        <v>1.1885421120136908E-2</v>
      </c>
      <c r="K396" s="35">
        <f t="shared" si="209"/>
        <v>69.5</v>
      </c>
      <c r="L396" s="21">
        <f t="shared" si="207"/>
        <v>19</v>
      </c>
      <c r="M396" s="9">
        <f t="shared" si="210"/>
        <v>1</v>
      </c>
      <c r="N396">
        <f t="shared" si="211"/>
        <v>69.5</v>
      </c>
      <c r="O396">
        <f t="shared" si="212"/>
        <v>0</v>
      </c>
      <c r="R396" s="28">
        <v>4096.8999999999996</v>
      </c>
    </row>
    <row r="397" spans="1:18">
      <c r="A397" s="6">
        <v>45041</v>
      </c>
      <c r="B397" t="s">
        <v>574</v>
      </c>
      <c r="C397" s="9">
        <v>555</v>
      </c>
      <c r="D397">
        <v>11.42</v>
      </c>
      <c r="E397" s="29">
        <v>16</v>
      </c>
      <c r="F397" s="50">
        <v>8</v>
      </c>
      <c r="G397" s="21">
        <f t="shared" si="196"/>
        <v>2.3391812865497075</v>
      </c>
      <c r="H397" s="6">
        <v>45049</v>
      </c>
      <c r="I397" s="16">
        <v>0.36</v>
      </c>
      <c r="J397" s="25">
        <f t="shared" si="208"/>
        <v>-0.968476357267951</v>
      </c>
      <c r="K397" s="36">
        <f t="shared" si="209"/>
        <v>-6138.3</v>
      </c>
      <c r="L397" s="24">
        <f t="shared" si="207"/>
        <v>8</v>
      </c>
      <c r="M397" s="52">
        <f t="shared" si="210"/>
        <v>0</v>
      </c>
      <c r="N397" s="24">
        <f t="shared" si="211"/>
        <v>0</v>
      </c>
      <c r="O397" s="17">
        <f t="shared" si="212"/>
        <v>-6138.3</v>
      </c>
    </row>
    <row r="398" spans="1:18">
      <c r="A398" s="6">
        <v>45041</v>
      </c>
      <c r="B398" t="s">
        <v>180</v>
      </c>
      <c r="C398" s="9">
        <v>140</v>
      </c>
      <c r="D398">
        <v>43.17</v>
      </c>
      <c r="E398" s="29">
        <v>50</v>
      </c>
      <c r="F398" s="50">
        <v>42</v>
      </c>
      <c r="G398" s="21">
        <f t="shared" si="196"/>
        <v>6.8376068376068275</v>
      </c>
      <c r="H398" s="6">
        <v>45042</v>
      </c>
      <c r="I398" s="29">
        <v>44.95</v>
      </c>
      <c r="J398" s="30">
        <f t="shared" si="208"/>
        <v>4.1232337271253305E-2</v>
      </c>
      <c r="K398" s="35">
        <f t="shared" si="209"/>
        <v>249.19999999999982</v>
      </c>
      <c r="L398" s="21">
        <f t="shared" si="207"/>
        <v>1</v>
      </c>
      <c r="M398" s="9">
        <f t="shared" si="210"/>
        <v>1</v>
      </c>
      <c r="N398">
        <f t="shared" si="211"/>
        <v>249.19999999999982</v>
      </c>
      <c r="O398">
        <f t="shared" si="212"/>
        <v>0</v>
      </c>
    </row>
    <row r="399" spans="1:18">
      <c r="A399" s="6">
        <v>45040</v>
      </c>
      <c r="B399" s="1" t="s">
        <v>521</v>
      </c>
      <c r="C399" s="9">
        <v>8</v>
      </c>
      <c r="D399">
        <v>106.14</v>
      </c>
      <c r="E399" s="29">
        <v>110</v>
      </c>
      <c r="F399" s="50">
        <v>103</v>
      </c>
      <c r="G399" s="21">
        <f t="shared" si="196"/>
        <v>2.2292993630573243</v>
      </c>
      <c r="H399" s="6">
        <v>45043</v>
      </c>
      <c r="I399" s="29">
        <v>108.06</v>
      </c>
      <c r="J399" s="30">
        <f t="shared" si="208"/>
        <v>1.8089315997738886E-2</v>
      </c>
      <c r="K399" s="35">
        <f t="shared" si="209"/>
        <v>15.360000000000014</v>
      </c>
      <c r="L399" s="21">
        <f t="shared" si="207"/>
        <v>3</v>
      </c>
      <c r="M399" s="9">
        <f t="shared" si="210"/>
        <v>1</v>
      </c>
      <c r="N399">
        <f t="shared" si="211"/>
        <v>15.360000000000014</v>
      </c>
      <c r="O399">
        <f t="shared" si="212"/>
        <v>0</v>
      </c>
      <c r="R399" s="28">
        <v>3847.7</v>
      </c>
    </row>
    <row r="400" spans="1:18">
      <c r="A400" s="6">
        <v>45036</v>
      </c>
      <c r="B400" s="1" t="s">
        <v>165</v>
      </c>
      <c r="C400" s="9">
        <v>35</v>
      </c>
      <c r="D400">
        <v>16.010000000000002</v>
      </c>
      <c r="E400" s="29">
        <v>25</v>
      </c>
      <c r="F400" s="50">
        <v>15</v>
      </c>
      <c r="G400" s="21">
        <f t="shared" si="196"/>
        <v>9.9009900990098849</v>
      </c>
      <c r="H400" s="6">
        <v>45061</v>
      </c>
      <c r="I400" s="29">
        <v>17</v>
      </c>
      <c r="J400" s="30">
        <f t="shared" si="208"/>
        <v>6.1836352279825091E-2</v>
      </c>
      <c r="K400" s="35">
        <f t="shared" si="209"/>
        <v>34.649999999999977</v>
      </c>
      <c r="L400" s="21">
        <f t="shared" si="207"/>
        <v>25</v>
      </c>
      <c r="M400" s="9">
        <f t="shared" si="210"/>
        <v>1</v>
      </c>
      <c r="N400">
        <f t="shared" si="211"/>
        <v>34.649999999999977</v>
      </c>
      <c r="O400">
        <f t="shared" si="212"/>
        <v>0</v>
      </c>
      <c r="R400" s="28">
        <v>3832.74</v>
      </c>
    </row>
    <row r="401" spans="1:18">
      <c r="A401" s="6">
        <v>45034</v>
      </c>
      <c r="B401" s="1" t="s">
        <v>521</v>
      </c>
      <c r="C401" s="9">
        <v>8</v>
      </c>
      <c r="D401">
        <v>104.43</v>
      </c>
      <c r="E401" s="29">
        <v>110</v>
      </c>
      <c r="F401" s="50">
        <v>100</v>
      </c>
      <c r="G401" s="21">
        <f t="shared" si="196"/>
        <v>2.2573363431151208</v>
      </c>
      <c r="H401" s="6">
        <v>45040</v>
      </c>
      <c r="I401" s="29">
        <v>106.3</v>
      </c>
      <c r="J401" s="30">
        <f t="shared" si="208"/>
        <v>1.790673178205493E-2</v>
      </c>
      <c r="K401" s="35">
        <f t="shared" si="209"/>
        <v>14.959999999999923</v>
      </c>
      <c r="L401" s="21">
        <f t="shared" si="207"/>
        <v>6</v>
      </c>
      <c r="M401" s="9">
        <f t="shared" si="210"/>
        <v>1</v>
      </c>
      <c r="N401">
        <f t="shared" si="211"/>
        <v>14.959999999999923</v>
      </c>
      <c r="O401">
        <f t="shared" si="212"/>
        <v>0</v>
      </c>
    </row>
    <row r="402" spans="1:18">
      <c r="A402" s="6">
        <v>45034</v>
      </c>
      <c r="B402" s="1" t="s">
        <v>18</v>
      </c>
      <c r="C402" s="9">
        <v>7</v>
      </c>
      <c r="D402">
        <v>46.26</v>
      </c>
      <c r="E402" s="29">
        <v>55</v>
      </c>
      <c r="F402" s="50">
        <v>43</v>
      </c>
      <c r="G402" s="21">
        <f t="shared" si="196"/>
        <v>3.6809815950920268</v>
      </c>
      <c r="H402" s="6">
        <v>45117</v>
      </c>
      <c r="I402" s="16">
        <v>35.9</v>
      </c>
      <c r="J402" s="25">
        <f t="shared" si="208"/>
        <v>-0.22395157803718113</v>
      </c>
      <c r="K402" s="36">
        <f t="shared" si="209"/>
        <v>-72.52000000000001</v>
      </c>
      <c r="L402" s="24">
        <f t="shared" si="207"/>
        <v>83</v>
      </c>
      <c r="M402" s="52">
        <f t="shared" si="210"/>
        <v>0</v>
      </c>
      <c r="N402" s="24">
        <f t="shared" si="211"/>
        <v>0</v>
      </c>
      <c r="O402" s="17">
        <f t="shared" si="212"/>
        <v>-72.52000000000001</v>
      </c>
      <c r="R402" s="28">
        <v>3385.04</v>
      </c>
    </row>
    <row r="403" spans="1:18">
      <c r="A403" s="6">
        <v>45029</v>
      </c>
      <c r="B403" t="s">
        <v>521</v>
      </c>
      <c r="C403" s="9">
        <v>68</v>
      </c>
      <c r="D403">
        <v>107.4</v>
      </c>
      <c r="E403" s="29">
        <v>120</v>
      </c>
      <c r="F403" s="50">
        <v>100</v>
      </c>
      <c r="G403" s="21">
        <f t="shared" si="196"/>
        <v>2.7027027027027004</v>
      </c>
      <c r="H403" s="6">
        <v>45030</v>
      </c>
      <c r="I403" s="29">
        <v>108.8</v>
      </c>
      <c r="J403" s="30">
        <f t="shared" ref="J403:J409" si="213">I403/D403 -1</f>
        <v>1.3035381750465369E-2</v>
      </c>
      <c r="K403" s="35">
        <f t="shared" ref="K403:K409" si="214">(C403*I403) - (C403*D403)</f>
        <v>95.199999999998909</v>
      </c>
      <c r="L403" s="21">
        <f t="shared" si="207"/>
        <v>1</v>
      </c>
      <c r="M403" s="9">
        <f t="shared" ref="M403:M409" si="215">IF(J403&gt;0,1,0)</f>
        <v>1</v>
      </c>
      <c r="N403">
        <f t="shared" ref="N403:N409" si="216">IF(K403&gt;0, K403, 0)</f>
        <v>95.199999999998909</v>
      </c>
      <c r="O403">
        <f t="shared" ref="O403:O409" si="217">IF(K403&lt;0, K403, 0)</f>
        <v>0</v>
      </c>
      <c r="R403" s="28">
        <v>3170.57</v>
      </c>
    </row>
    <row r="404" spans="1:18">
      <c r="A404" s="6">
        <v>45028</v>
      </c>
      <c r="B404" t="s">
        <v>33</v>
      </c>
      <c r="C404" s="9">
        <v>59</v>
      </c>
      <c r="D404">
        <v>107.34</v>
      </c>
      <c r="E404" s="29">
        <v>135</v>
      </c>
      <c r="F404" s="50">
        <v>100</v>
      </c>
      <c r="G404" s="21">
        <f t="shared" si="196"/>
        <v>4.7683923705722044</v>
      </c>
      <c r="H404" s="6">
        <v>45036</v>
      </c>
      <c r="I404" s="29">
        <v>114.8</v>
      </c>
      <c r="J404" s="30">
        <f t="shared" si="213"/>
        <v>6.9498788895099528E-2</v>
      </c>
      <c r="K404" s="35">
        <f t="shared" si="214"/>
        <v>440.13999999999942</v>
      </c>
      <c r="L404" s="21">
        <f t="shared" si="207"/>
        <v>8</v>
      </c>
      <c r="M404" s="9">
        <f t="shared" si="215"/>
        <v>1</v>
      </c>
      <c r="N404">
        <f t="shared" si="216"/>
        <v>440.13999999999942</v>
      </c>
      <c r="O404">
        <f t="shared" si="217"/>
        <v>0</v>
      </c>
      <c r="R404" s="28">
        <v>2954.59</v>
      </c>
    </row>
    <row r="405" spans="1:18">
      <c r="A405" s="6">
        <v>45027</v>
      </c>
      <c r="B405" t="s">
        <v>574</v>
      </c>
      <c r="C405" s="9">
        <v>440</v>
      </c>
      <c r="D405">
        <v>14.18</v>
      </c>
      <c r="E405" s="29">
        <v>50</v>
      </c>
      <c r="F405" s="50">
        <v>13</v>
      </c>
      <c r="G405" s="21">
        <f t="shared" ref="G405:G414" si="218" xml:space="preserve"> (E405 - F405)/(D405-F405)</f>
        <v>31.355932203389838</v>
      </c>
      <c r="H405" s="6">
        <v>45037</v>
      </c>
      <c r="I405" s="29">
        <v>14.2</v>
      </c>
      <c r="J405" s="30">
        <f t="shared" si="213"/>
        <v>1.4104372355430161E-3</v>
      </c>
      <c r="K405" s="35">
        <f t="shared" si="214"/>
        <v>8.8000000000001819</v>
      </c>
      <c r="L405" s="21">
        <f t="shared" si="207"/>
        <v>10</v>
      </c>
      <c r="M405" s="9">
        <f t="shared" si="215"/>
        <v>1</v>
      </c>
      <c r="N405">
        <f t="shared" si="216"/>
        <v>8.8000000000001819</v>
      </c>
      <c r="O405">
        <f t="shared" si="217"/>
        <v>0</v>
      </c>
    </row>
    <row r="406" spans="1:18">
      <c r="A406" s="6">
        <v>45027</v>
      </c>
      <c r="B406" t="s">
        <v>521</v>
      </c>
      <c r="C406" s="9">
        <v>66</v>
      </c>
      <c r="D406">
        <v>105.52</v>
      </c>
      <c r="E406" s="29">
        <v>120</v>
      </c>
      <c r="F406" s="50">
        <v>100</v>
      </c>
      <c r="G406" s="21">
        <f t="shared" si="218"/>
        <v>3.6231884057971042</v>
      </c>
      <c r="H406" s="6">
        <v>45029</v>
      </c>
      <c r="I406" s="29">
        <v>107.35</v>
      </c>
      <c r="J406" s="30">
        <f t="shared" si="213"/>
        <v>1.7342683851402585E-2</v>
      </c>
      <c r="K406" s="35">
        <f t="shared" si="214"/>
        <v>120.77999999999975</v>
      </c>
      <c r="L406" s="21">
        <f t="shared" si="207"/>
        <v>2</v>
      </c>
      <c r="M406" s="9">
        <f t="shared" si="215"/>
        <v>1</v>
      </c>
      <c r="N406">
        <f t="shared" si="216"/>
        <v>120.77999999999975</v>
      </c>
      <c r="O406">
        <f t="shared" si="217"/>
        <v>0</v>
      </c>
      <c r="R406" s="28">
        <v>3573.17</v>
      </c>
    </row>
    <row r="407" spans="1:18">
      <c r="A407" s="6">
        <v>45026</v>
      </c>
      <c r="B407" t="s">
        <v>165</v>
      </c>
      <c r="C407" s="9">
        <v>350</v>
      </c>
      <c r="D407">
        <v>18.91</v>
      </c>
      <c r="E407" s="29">
        <v>25</v>
      </c>
      <c r="F407" s="50">
        <v>18</v>
      </c>
      <c r="G407" s="21">
        <f t="shared" si="218"/>
        <v>7.6923076923076907</v>
      </c>
      <c r="H407" s="6">
        <v>45027</v>
      </c>
      <c r="I407" s="29">
        <v>19.010000000000002</v>
      </c>
      <c r="J407" s="30">
        <f t="shared" si="213"/>
        <v>5.2882072977260552E-3</v>
      </c>
      <c r="K407" s="35">
        <f t="shared" si="214"/>
        <v>35.000000000000909</v>
      </c>
      <c r="L407" s="21">
        <f t="shared" si="207"/>
        <v>1</v>
      </c>
      <c r="M407" s="9">
        <f t="shared" si="215"/>
        <v>1</v>
      </c>
      <c r="N407">
        <f t="shared" si="216"/>
        <v>35.000000000000909</v>
      </c>
      <c r="O407">
        <f t="shared" si="217"/>
        <v>0</v>
      </c>
    </row>
    <row r="408" spans="1:18">
      <c r="A408" s="6">
        <v>45026</v>
      </c>
      <c r="B408" t="s">
        <v>470</v>
      </c>
      <c r="C408" s="9">
        <v>53</v>
      </c>
      <c r="D408">
        <v>115.91</v>
      </c>
      <c r="E408" s="29">
        <v>135</v>
      </c>
      <c r="F408" s="50">
        <v>105</v>
      </c>
      <c r="G408" s="21">
        <f t="shared" si="218"/>
        <v>2.749770852428965</v>
      </c>
      <c r="H408" s="6">
        <v>45036</v>
      </c>
      <c r="I408" s="29">
        <v>117.32</v>
      </c>
      <c r="J408" s="30">
        <f t="shared" si="213"/>
        <v>1.2164610473643256E-2</v>
      </c>
      <c r="K408" s="35">
        <f t="shared" si="214"/>
        <v>74.730000000000473</v>
      </c>
      <c r="L408" s="21">
        <f t="shared" si="207"/>
        <v>10</v>
      </c>
      <c r="M408" s="9">
        <f t="shared" si="215"/>
        <v>1</v>
      </c>
      <c r="N408">
        <f t="shared" si="216"/>
        <v>74.730000000000473</v>
      </c>
      <c r="O408">
        <f t="shared" si="217"/>
        <v>0</v>
      </c>
      <c r="R408" s="28">
        <v>3538.17</v>
      </c>
    </row>
    <row r="409" spans="1:18">
      <c r="A409" s="6">
        <v>45021</v>
      </c>
      <c r="B409" t="s">
        <v>574</v>
      </c>
      <c r="C409" s="9">
        <v>555</v>
      </c>
      <c r="D409">
        <v>13.43</v>
      </c>
      <c r="E409" s="29">
        <v>50</v>
      </c>
      <c r="F409" s="50">
        <v>11.7</v>
      </c>
      <c r="G409" s="21">
        <f t="shared" si="218"/>
        <v>22.138728323699414</v>
      </c>
      <c r="H409" s="6">
        <v>45022</v>
      </c>
      <c r="I409" s="29">
        <v>14.04</v>
      </c>
      <c r="J409" s="30">
        <f t="shared" si="213"/>
        <v>4.5420699925539765E-2</v>
      </c>
      <c r="K409" s="35">
        <f t="shared" si="214"/>
        <v>338.55000000000018</v>
      </c>
      <c r="L409" s="21">
        <f t="shared" si="207"/>
        <v>1</v>
      </c>
      <c r="M409" s="9">
        <f t="shared" si="215"/>
        <v>1</v>
      </c>
      <c r="N409">
        <f t="shared" si="216"/>
        <v>338.55000000000018</v>
      </c>
      <c r="O409">
        <f t="shared" si="217"/>
        <v>0</v>
      </c>
      <c r="R409" s="28">
        <v>3441.41</v>
      </c>
    </row>
    <row r="410" spans="1:18">
      <c r="A410" s="6">
        <v>45021</v>
      </c>
      <c r="B410" t="s">
        <v>498</v>
      </c>
      <c r="C410" s="9">
        <v>41</v>
      </c>
      <c r="D410">
        <v>165.15</v>
      </c>
      <c r="E410" s="29">
        <v>180</v>
      </c>
      <c r="F410" s="75">
        <v>155</v>
      </c>
      <c r="G410" s="21">
        <f t="shared" si="218"/>
        <v>2.463054187192117</v>
      </c>
      <c r="H410" s="6">
        <v>45107</v>
      </c>
      <c r="I410" s="29">
        <v>165.8</v>
      </c>
      <c r="J410" s="30">
        <f>I410/D410 -1</f>
        <v>3.9358159249167635E-3</v>
      </c>
      <c r="K410" s="35">
        <f>(C410*I410) - (C410*D410)</f>
        <v>26.649999999999636</v>
      </c>
      <c r="L410" s="21">
        <f t="shared" si="207"/>
        <v>86</v>
      </c>
      <c r="M410" s="9">
        <f>IF(J410&gt;0,1,0)</f>
        <v>1</v>
      </c>
      <c r="N410">
        <f>IF(K410&gt;0, K410, 0)</f>
        <v>26.649999999999636</v>
      </c>
      <c r="O410">
        <f>IF(K410&lt;0, K410, 0)</f>
        <v>0</v>
      </c>
    </row>
    <row r="411" spans="1:18">
      <c r="A411" s="6">
        <v>45021</v>
      </c>
      <c r="B411" t="s">
        <v>519</v>
      </c>
      <c r="C411" s="9">
        <v>112</v>
      </c>
      <c r="D411">
        <v>36.25</v>
      </c>
      <c r="E411" s="29">
        <v>37.700000000000003</v>
      </c>
      <c r="F411" s="75">
        <v>35</v>
      </c>
      <c r="G411" s="21">
        <f t="shared" si="218"/>
        <v>2.1600000000000024</v>
      </c>
      <c r="H411" s="6">
        <v>45083</v>
      </c>
      <c r="I411" s="16">
        <v>30.68</v>
      </c>
      <c r="J411" s="25">
        <f>I411/D411 -1</f>
        <v>-0.15365517241379312</v>
      </c>
      <c r="K411" s="36">
        <f>(C411*I411) - (C411*D411)</f>
        <v>-623.84000000000015</v>
      </c>
      <c r="L411" s="24">
        <f t="shared" si="207"/>
        <v>62</v>
      </c>
      <c r="M411" s="52">
        <f>IF(J411&gt;0,1,0)</f>
        <v>0</v>
      </c>
      <c r="N411" s="24">
        <f>IF(K411&gt;0, K411, 0)</f>
        <v>0</v>
      </c>
      <c r="O411" s="17">
        <f>IF(K411&lt;0, K411, 0)</f>
        <v>-623.84000000000015</v>
      </c>
    </row>
    <row r="412" spans="1:18">
      <c r="A412" s="6">
        <v>45021</v>
      </c>
      <c r="B412" t="s">
        <v>519</v>
      </c>
      <c r="C412" s="9">
        <v>35</v>
      </c>
      <c r="D412">
        <v>36.25</v>
      </c>
      <c r="E412" s="29">
        <v>37.700000000000003</v>
      </c>
      <c r="F412" s="75">
        <v>35</v>
      </c>
      <c r="G412" s="21">
        <f xml:space="preserve"> (E412 - F412)/(D412-F412)</f>
        <v>2.1600000000000024</v>
      </c>
      <c r="H412" s="6">
        <v>45083</v>
      </c>
      <c r="I412" s="16">
        <v>31.49</v>
      </c>
      <c r="J412" s="25">
        <f>I412/D412 -1</f>
        <v>-0.1313103448275863</v>
      </c>
      <c r="K412" s="36">
        <f>(C412*I412) - (C412*D412)</f>
        <v>-166.60000000000014</v>
      </c>
      <c r="L412" s="24">
        <f t="shared" si="207"/>
        <v>62</v>
      </c>
      <c r="M412" s="52">
        <f>IF(J412&gt;0,1,0)</f>
        <v>0</v>
      </c>
      <c r="N412" s="24">
        <f>IF(K412&gt;0, K412, 0)</f>
        <v>0</v>
      </c>
      <c r="O412" s="17">
        <f>IF(K412&lt;0, K412, 0)</f>
        <v>-166.60000000000014</v>
      </c>
    </row>
    <row r="413" spans="1:18">
      <c r="A413" s="6">
        <v>45021</v>
      </c>
      <c r="B413" t="s">
        <v>519</v>
      </c>
      <c r="C413" s="9">
        <v>23</v>
      </c>
      <c r="D413">
        <v>36.25</v>
      </c>
      <c r="E413" s="29">
        <v>37.700000000000003</v>
      </c>
      <c r="F413" s="75">
        <v>35</v>
      </c>
      <c r="G413" s="21">
        <f xml:space="preserve"> (E413 - F413)/(D413-F413)</f>
        <v>2.1600000000000024</v>
      </c>
      <c r="H413" s="6">
        <v>45071</v>
      </c>
      <c r="I413" s="16">
        <v>30.02</v>
      </c>
      <c r="J413" s="25">
        <f>I413/D413 -1</f>
        <v>-0.17186206896551726</v>
      </c>
      <c r="K413" s="36">
        <f>(C413*I413) - (C413*D413)</f>
        <v>-143.28999999999996</v>
      </c>
      <c r="L413" s="24">
        <f t="shared" si="207"/>
        <v>50</v>
      </c>
      <c r="M413" s="52">
        <f>IF(J413&gt;0,1,0)</f>
        <v>0</v>
      </c>
      <c r="N413" s="24">
        <f>IF(K413&gt;0, K413, 0)</f>
        <v>0</v>
      </c>
      <c r="O413" s="17">
        <f>IF(K413&lt;0, K413, 0)</f>
        <v>-143.28999999999996</v>
      </c>
    </row>
    <row r="414" spans="1:18">
      <c r="A414" s="6">
        <v>45021</v>
      </c>
      <c r="B414" t="s">
        <v>523</v>
      </c>
      <c r="C414" s="9">
        <v>17</v>
      </c>
      <c r="D414">
        <v>350.97</v>
      </c>
      <c r="E414" s="29">
        <v>476</v>
      </c>
      <c r="F414" s="50">
        <v>350</v>
      </c>
      <c r="G414" s="21">
        <f t="shared" si="218"/>
        <v>129.8969072164912</v>
      </c>
      <c r="H414" s="6">
        <v>45022</v>
      </c>
      <c r="I414" s="29">
        <v>356.63</v>
      </c>
      <c r="J414" s="30">
        <f t="shared" ref="J414:J421" si="219">I414/D414 -1</f>
        <v>1.6126734478730365E-2</v>
      </c>
      <c r="K414" s="35">
        <f t="shared" ref="K414:K421" si="220">(C414*I414) - (C414*D414)</f>
        <v>96.219999999999345</v>
      </c>
      <c r="L414" s="21">
        <f t="shared" ref="L414:L450" si="221">H414-A414</f>
        <v>1</v>
      </c>
      <c r="M414" s="9">
        <f t="shared" ref="M414:M421" si="222">IF(J414&gt;0,1,0)</f>
        <v>1</v>
      </c>
      <c r="N414">
        <f t="shared" ref="N414:N421" si="223">IF(K414&gt;0, K414, 0)</f>
        <v>96.219999999999345</v>
      </c>
      <c r="O414">
        <f t="shared" ref="O414:O421" si="224">IF(K414&lt;0, K414, 0)</f>
        <v>0</v>
      </c>
      <c r="R414" s="28">
        <v>3006.64</v>
      </c>
    </row>
    <row r="415" spans="1:18">
      <c r="A415" s="6">
        <v>45020</v>
      </c>
      <c r="B415" t="s">
        <v>470</v>
      </c>
      <c r="C415" s="9">
        <v>59</v>
      </c>
      <c r="D415">
        <v>114.24</v>
      </c>
      <c r="E415" s="29">
        <v>135</v>
      </c>
      <c r="F415" s="50">
        <v>100</v>
      </c>
      <c r="G415" s="21">
        <f t="shared" ref="G415:G420" si="225" xml:space="preserve"> (E415 - F415)/(D415-F415)</f>
        <v>2.4578651685393269</v>
      </c>
      <c r="H415" s="6">
        <v>45026</v>
      </c>
      <c r="I415" s="29">
        <v>115.88</v>
      </c>
      <c r="J415" s="30">
        <f t="shared" si="219"/>
        <v>1.4355742296918717E-2</v>
      </c>
      <c r="K415" s="35">
        <f t="shared" si="220"/>
        <v>96.760000000000218</v>
      </c>
      <c r="L415" s="21">
        <f t="shared" si="221"/>
        <v>6</v>
      </c>
      <c r="M415" s="9">
        <f t="shared" si="222"/>
        <v>1</v>
      </c>
      <c r="N415">
        <f t="shared" si="223"/>
        <v>96.760000000000218</v>
      </c>
      <c r="O415">
        <f t="shared" si="224"/>
        <v>0</v>
      </c>
    </row>
    <row r="416" spans="1:18">
      <c r="A416" s="6">
        <v>45019</v>
      </c>
      <c r="B416" s="1" t="s">
        <v>458</v>
      </c>
      <c r="C416" s="9">
        <v>17</v>
      </c>
      <c r="D416">
        <v>36.74</v>
      </c>
      <c r="E416" s="29">
        <v>43</v>
      </c>
      <c r="F416" s="50">
        <v>35</v>
      </c>
      <c r="G416" s="21">
        <f t="shared" si="225"/>
        <v>4.5977011494252817</v>
      </c>
      <c r="H416" s="6">
        <v>45034</v>
      </c>
      <c r="I416" s="29">
        <v>37.799999999999997</v>
      </c>
      <c r="J416" s="30">
        <f t="shared" si="219"/>
        <v>2.8851388132825173E-2</v>
      </c>
      <c r="K416" s="35">
        <f t="shared" si="220"/>
        <v>18.019999999999868</v>
      </c>
      <c r="L416" s="21">
        <f t="shared" si="221"/>
        <v>15</v>
      </c>
      <c r="M416" s="9">
        <f t="shared" si="222"/>
        <v>1</v>
      </c>
      <c r="N416">
        <f t="shared" si="223"/>
        <v>18.019999999999868</v>
      </c>
      <c r="O416">
        <f t="shared" si="224"/>
        <v>0</v>
      </c>
    </row>
    <row r="417" spans="1:18">
      <c r="A417" s="6">
        <v>45019</v>
      </c>
      <c r="B417" s="1" t="s">
        <v>461</v>
      </c>
      <c r="C417" s="9">
        <v>71</v>
      </c>
      <c r="D417">
        <v>8.98</v>
      </c>
      <c r="E417" s="29">
        <v>10</v>
      </c>
      <c r="F417" s="50">
        <v>8.3000000000000007</v>
      </c>
      <c r="G417" s="21">
        <f t="shared" si="225"/>
        <v>2.5</v>
      </c>
      <c r="H417" s="6">
        <v>45036</v>
      </c>
      <c r="I417" s="16">
        <v>7.91</v>
      </c>
      <c r="J417" s="25">
        <f t="shared" si="219"/>
        <v>-0.11915367483296213</v>
      </c>
      <c r="K417" s="36">
        <f t="shared" si="220"/>
        <v>-75.970000000000027</v>
      </c>
      <c r="L417" s="24">
        <f t="shared" si="221"/>
        <v>17</v>
      </c>
      <c r="M417" s="52">
        <f t="shared" si="222"/>
        <v>0</v>
      </c>
      <c r="N417" s="24">
        <f t="shared" si="223"/>
        <v>0</v>
      </c>
      <c r="O417" s="17">
        <f t="shared" si="224"/>
        <v>-75.970000000000027</v>
      </c>
    </row>
    <row r="418" spans="1:18">
      <c r="A418" s="6">
        <v>45019</v>
      </c>
      <c r="B418" s="1" t="s">
        <v>217</v>
      </c>
      <c r="C418" s="9">
        <v>5</v>
      </c>
      <c r="D418">
        <v>105.16</v>
      </c>
      <c r="E418" s="29">
        <v>115</v>
      </c>
      <c r="F418" s="50">
        <v>100</v>
      </c>
      <c r="G418" s="21">
        <f t="shared" si="225"/>
        <v>2.9069767441860486</v>
      </c>
      <c r="H418" s="6">
        <v>45034</v>
      </c>
      <c r="I418" s="29">
        <v>106.45</v>
      </c>
      <c r="J418" s="30">
        <f t="shared" si="219"/>
        <v>1.2267021681247714E-2</v>
      </c>
      <c r="K418" s="35">
        <f t="shared" si="220"/>
        <v>6.4500000000000455</v>
      </c>
      <c r="L418" s="21">
        <f t="shared" si="221"/>
        <v>15</v>
      </c>
      <c r="M418" s="9">
        <f t="shared" si="222"/>
        <v>1</v>
      </c>
      <c r="N418">
        <f t="shared" si="223"/>
        <v>6.4500000000000455</v>
      </c>
      <c r="O418">
        <f t="shared" si="224"/>
        <v>0</v>
      </c>
    </row>
    <row r="419" spans="1:18">
      <c r="A419" s="6">
        <v>45019</v>
      </c>
      <c r="B419" t="s">
        <v>566</v>
      </c>
      <c r="C419" s="9">
        <v>62</v>
      </c>
      <c r="D419">
        <v>100.11</v>
      </c>
      <c r="E419" s="29">
        <v>110</v>
      </c>
      <c r="F419" s="50">
        <v>92</v>
      </c>
      <c r="G419" s="21">
        <f t="shared" si="225"/>
        <v>2.219482120838471</v>
      </c>
      <c r="H419" s="6">
        <v>45044</v>
      </c>
      <c r="I419" s="29">
        <v>105.3</v>
      </c>
      <c r="J419" s="30">
        <f t="shared" si="219"/>
        <v>5.1842972729996939E-2</v>
      </c>
      <c r="K419" s="63">
        <f t="shared" si="220"/>
        <v>321.77999999999975</v>
      </c>
      <c r="L419" s="24">
        <f t="shared" si="221"/>
        <v>25</v>
      </c>
      <c r="M419" s="52">
        <f t="shared" si="222"/>
        <v>1</v>
      </c>
      <c r="N419" s="24">
        <f t="shared" si="223"/>
        <v>321.77999999999975</v>
      </c>
      <c r="O419" s="17">
        <f t="shared" si="224"/>
        <v>0</v>
      </c>
    </row>
    <row r="420" spans="1:18">
      <c r="A420" s="6">
        <v>45019</v>
      </c>
      <c r="B420" t="s">
        <v>287</v>
      </c>
      <c r="C420" s="9">
        <v>224</v>
      </c>
      <c r="D420">
        <v>27.88</v>
      </c>
      <c r="E420" s="29">
        <v>31</v>
      </c>
      <c r="F420" s="50">
        <v>27</v>
      </c>
      <c r="G420" s="21">
        <f t="shared" si="225"/>
        <v>4.5454545454545503</v>
      </c>
      <c r="H420" s="6">
        <v>45044</v>
      </c>
      <c r="I420" s="29">
        <v>28</v>
      </c>
      <c r="J420" s="30">
        <f t="shared" si="219"/>
        <v>4.3041606886657924E-3</v>
      </c>
      <c r="K420" s="35">
        <f t="shared" si="220"/>
        <v>26.880000000000109</v>
      </c>
      <c r="L420" s="24">
        <f t="shared" si="221"/>
        <v>25</v>
      </c>
      <c r="M420" s="52">
        <f t="shared" si="222"/>
        <v>1</v>
      </c>
      <c r="N420" s="24">
        <f t="shared" si="223"/>
        <v>26.880000000000109</v>
      </c>
      <c r="O420" s="17">
        <f t="shared" si="224"/>
        <v>0</v>
      </c>
      <c r="R420" s="28">
        <v>2651.84</v>
      </c>
    </row>
    <row r="421" spans="1:18">
      <c r="A421" s="6">
        <v>45015</v>
      </c>
      <c r="B421" t="s">
        <v>507</v>
      </c>
      <c r="C421" s="9">
        <v>197</v>
      </c>
      <c r="D421">
        <v>31.71</v>
      </c>
      <c r="E421" s="29">
        <v>35</v>
      </c>
      <c r="F421" s="75">
        <v>29.12</v>
      </c>
      <c r="G421" s="21">
        <f t="shared" ref="G421:G474" si="226" xml:space="preserve"> (E421 - F421)/(D421-F421)</f>
        <v>2.2702702702702702</v>
      </c>
      <c r="H421" s="6">
        <v>45028</v>
      </c>
      <c r="I421" s="16">
        <v>28.57</v>
      </c>
      <c r="J421" s="25">
        <f t="shared" si="219"/>
        <v>-9.9022390413118888E-2</v>
      </c>
      <c r="K421" s="36">
        <f t="shared" si="220"/>
        <v>-618.57999999999993</v>
      </c>
      <c r="L421" s="24">
        <f t="shared" si="221"/>
        <v>13</v>
      </c>
      <c r="M421" s="52">
        <f t="shared" si="222"/>
        <v>0</v>
      </c>
      <c r="N421" s="24">
        <f t="shared" si="223"/>
        <v>0</v>
      </c>
      <c r="O421" s="17">
        <f t="shared" si="224"/>
        <v>-618.57999999999993</v>
      </c>
      <c r="R421" s="28">
        <v>2356.02</v>
      </c>
    </row>
    <row r="422" spans="1:18">
      <c r="A422" s="6">
        <v>45015</v>
      </c>
      <c r="B422" s="61" t="s">
        <v>591</v>
      </c>
      <c r="C422" s="9">
        <v>17</v>
      </c>
      <c r="D422">
        <v>381.65</v>
      </c>
      <c r="E422" s="29">
        <v>450</v>
      </c>
      <c r="F422" s="50">
        <v>322</v>
      </c>
      <c r="G422" s="21">
        <f t="shared" si="226"/>
        <v>2.1458507963118199</v>
      </c>
      <c r="H422" s="6">
        <v>45071</v>
      </c>
      <c r="I422" s="29">
        <v>394</v>
      </c>
      <c r="J422" s="30">
        <f t="shared" ref="J422:J427" si="227">I422/D422 -1</f>
        <v>3.2359491680859387E-2</v>
      </c>
      <c r="K422" s="35">
        <f t="shared" ref="K422:K427" si="228">(C422*I422) - (C422*D422)</f>
        <v>209.95000000000073</v>
      </c>
      <c r="L422" s="21">
        <f t="shared" si="221"/>
        <v>56</v>
      </c>
      <c r="M422" s="9">
        <f t="shared" ref="M422:M427" si="229">IF(J422&gt;0,1,0)</f>
        <v>1</v>
      </c>
      <c r="N422">
        <f t="shared" ref="N422:N427" si="230">IF(K422&gt;0, K422, 0)</f>
        <v>209.95000000000073</v>
      </c>
      <c r="O422">
        <f t="shared" ref="O422:O431" si="231">IF(K422&lt;0, K422, 0)</f>
        <v>0</v>
      </c>
      <c r="R422" s="28">
        <v>1858.05</v>
      </c>
    </row>
    <row r="423" spans="1:18">
      <c r="A423" s="6">
        <v>45014</v>
      </c>
      <c r="B423" s="1" t="s">
        <v>370</v>
      </c>
      <c r="C423" s="9">
        <v>44</v>
      </c>
      <c r="D423">
        <v>18.36</v>
      </c>
      <c r="E423" s="29">
        <v>25</v>
      </c>
      <c r="F423" s="50">
        <v>17</v>
      </c>
      <c r="G423" s="21">
        <f t="shared" si="226"/>
        <v>5.8823529411764728</v>
      </c>
      <c r="H423" s="6">
        <v>45019</v>
      </c>
      <c r="I423" s="29">
        <v>19.68</v>
      </c>
      <c r="J423" s="30">
        <f t="shared" si="227"/>
        <v>7.1895424836601274E-2</v>
      </c>
      <c r="K423" s="35">
        <f t="shared" si="228"/>
        <v>58.080000000000041</v>
      </c>
      <c r="L423" s="21">
        <f t="shared" si="221"/>
        <v>5</v>
      </c>
      <c r="M423" s="9">
        <f t="shared" si="229"/>
        <v>1</v>
      </c>
      <c r="N423">
        <f t="shared" si="230"/>
        <v>58.080000000000041</v>
      </c>
      <c r="O423">
        <f t="shared" si="231"/>
        <v>0</v>
      </c>
    </row>
    <row r="424" spans="1:18">
      <c r="A424" s="6">
        <v>45014</v>
      </c>
      <c r="B424" t="s">
        <v>591</v>
      </c>
      <c r="C424" s="9">
        <v>17</v>
      </c>
      <c r="D424">
        <v>377.17</v>
      </c>
      <c r="E424" s="29">
        <v>450</v>
      </c>
      <c r="F424" s="50">
        <v>322</v>
      </c>
      <c r="G424" s="21">
        <f t="shared" si="226"/>
        <v>2.3201015044408186</v>
      </c>
      <c r="H424" s="6">
        <v>45015</v>
      </c>
      <c r="I424" s="29">
        <v>381.45</v>
      </c>
      <c r="J424" s="30">
        <f t="shared" si="227"/>
        <v>1.1347668160246016E-2</v>
      </c>
      <c r="K424" s="35">
        <f t="shared" si="228"/>
        <v>72.759999999999309</v>
      </c>
      <c r="L424" s="21">
        <f t="shared" si="221"/>
        <v>1</v>
      </c>
      <c r="M424" s="9">
        <f t="shared" si="229"/>
        <v>1</v>
      </c>
      <c r="N424">
        <f t="shared" si="230"/>
        <v>72.759999999999309</v>
      </c>
      <c r="O424">
        <f t="shared" si="231"/>
        <v>0</v>
      </c>
      <c r="R424" s="28">
        <v>1716.78</v>
      </c>
    </row>
    <row r="425" spans="1:18">
      <c r="A425" s="6">
        <v>45013</v>
      </c>
      <c r="B425" s="71" t="s">
        <v>353</v>
      </c>
      <c r="C425" s="9">
        <v>80</v>
      </c>
      <c r="D425">
        <v>12.09</v>
      </c>
      <c r="E425" s="29">
        <v>13</v>
      </c>
      <c r="F425" s="50">
        <v>11.4</v>
      </c>
      <c r="G425" s="21">
        <f t="shared" si="226"/>
        <v>2.3188405797101459</v>
      </c>
      <c r="H425" s="6">
        <v>45016</v>
      </c>
      <c r="I425" s="29">
        <v>12.4</v>
      </c>
      <c r="J425" s="30">
        <f t="shared" si="227"/>
        <v>2.5641025641025772E-2</v>
      </c>
      <c r="K425" s="35">
        <f t="shared" si="228"/>
        <v>24.799999999999955</v>
      </c>
      <c r="L425" s="21">
        <f t="shared" si="221"/>
        <v>3</v>
      </c>
      <c r="M425" s="9">
        <f t="shared" si="229"/>
        <v>1</v>
      </c>
      <c r="N425">
        <f t="shared" si="230"/>
        <v>24.799999999999955</v>
      </c>
      <c r="O425">
        <f t="shared" si="231"/>
        <v>0</v>
      </c>
    </row>
    <row r="426" spans="1:18">
      <c r="A426" s="6">
        <v>45013</v>
      </c>
      <c r="B426" s="55" t="s">
        <v>454</v>
      </c>
      <c r="C426" s="9">
        <v>1000</v>
      </c>
      <c r="D426">
        <v>0.43</v>
      </c>
      <c r="E426" s="29">
        <v>1.2</v>
      </c>
      <c r="F426" s="50">
        <v>0.2</v>
      </c>
      <c r="G426" s="21">
        <f t="shared" si="226"/>
        <v>4.3478260869565224</v>
      </c>
      <c r="H426" s="6">
        <v>45070</v>
      </c>
      <c r="I426" s="29">
        <v>0.47</v>
      </c>
      <c r="J426" s="30">
        <f t="shared" si="227"/>
        <v>9.3023255813953432E-2</v>
      </c>
      <c r="K426" s="35">
        <f t="shared" si="228"/>
        <v>40</v>
      </c>
      <c r="L426" s="21">
        <f t="shared" si="221"/>
        <v>57</v>
      </c>
      <c r="M426" s="9">
        <f t="shared" si="229"/>
        <v>1</v>
      </c>
      <c r="N426">
        <f t="shared" si="230"/>
        <v>40</v>
      </c>
      <c r="O426">
        <f t="shared" si="231"/>
        <v>0</v>
      </c>
    </row>
    <row r="427" spans="1:18">
      <c r="A427" s="6">
        <v>45013</v>
      </c>
      <c r="B427" s="55" t="s">
        <v>454</v>
      </c>
      <c r="C427" s="9">
        <v>1000</v>
      </c>
      <c r="D427">
        <v>0.45</v>
      </c>
      <c r="E427" s="29">
        <v>1.2</v>
      </c>
      <c r="F427" s="50">
        <v>0.2</v>
      </c>
      <c r="G427" s="21">
        <f xml:space="preserve"> (E427 - F427)/(D427-F427)</f>
        <v>4</v>
      </c>
      <c r="H427" s="6">
        <v>45070</v>
      </c>
      <c r="I427" s="29">
        <v>0.47</v>
      </c>
      <c r="J427" s="30">
        <f t="shared" si="227"/>
        <v>4.4444444444444287E-2</v>
      </c>
      <c r="K427" s="35">
        <f t="shared" si="228"/>
        <v>20</v>
      </c>
      <c r="L427" s="21">
        <f t="shared" si="221"/>
        <v>57</v>
      </c>
      <c r="M427" s="9">
        <f t="shared" si="229"/>
        <v>1</v>
      </c>
      <c r="N427">
        <f t="shared" si="230"/>
        <v>20</v>
      </c>
      <c r="O427">
        <f t="shared" si="231"/>
        <v>0</v>
      </c>
    </row>
    <row r="428" spans="1:18">
      <c r="A428" s="6">
        <v>45013</v>
      </c>
      <c r="B428" t="s">
        <v>188</v>
      </c>
      <c r="C428" s="9">
        <v>590</v>
      </c>
      <c r="D428">
        <v>9.5299999999999994</v>
      </c>
      <c r="E428" s="29">
        <v>12</v>
      </c>
      <c r="F428" s="50">
        <v>9</v>
      </c>
      <c r="G428" s="21">
        <f t="shared" si="226"/>
        <v>5.6603773584905728</v>
      </c>
      <c r="H428" s="6">
        <v>45016</v>
      </c>
      <c r="I428" s="29">
        <v>9.6999999999999993</v>
      </c>
      <c r="J428" s="30">
        <f t="shared" ref="J428:J446" si="232">I428/D428 -1</f>
        <v>1.7838405036726179E-2</v>
      </c>
      <c r="K428" s="35">
        <f t="shared" ref="K428:K446" si="233">(C428*I428) - (C428*D428)</f>
        <v>100.30000000000018</v>
      </c>
      <c r="L428" s="21">
        <f t="shared" si="221"/>
        <v>3</v>
      </c>
      <c r="M428" s="9">
        <f t="shared" ref="M428:M446" si="234">IF(J428&gt;0,1,0)</f>
        <v>1</v>
      </c>
      <c r="N428">
        <f t="shared" ref="N428:N446" si="235">IF(K428&gt;0, K428, 0)</f>
        <v>100.30000000000018</v>
      </c>
      <c r="O428">
        <f t="shared" si="231"/>
        <v>0</v>
      </c>
      <c r="R428" s="28">
        <v>1616.26</v>
      </c>
    </row>
    <row r="429" spans="1:18">
      <c r="A429" s="6">
        <v>45012</v>
      </c>
      <c r="B429" t="s">
        <v>217</v>
      </c>
      <c r="C429" s="9">
        <v>53</v>
      </c>
      <c r="D429">
        <v>103.89</v>
      </c>
      <c r="E429" s="29">
        <v>115</v>
      </c>
      <c r="F429" s="50">
        <v>100</v>
      </c>
      <c r="G429" s="21">
        <f t="shared" si="226"/>
        <v>3.8560411311053979</v>
      </c>
      <c r="H429" s="6">
        <v>45016</v>
      </c>
      <c r="I429" s="29">
        <v>105.48</v>
      </c>
      <c r="J429" s="30">
        <f t="shared" si="232"/>
        <v>1.530464914813745E-2</v>
      </c>
      <c r="K429" s="35">
        <f t="shared" si="233"/>
        <v>84.270000000000437</v>
      </c>
      <c r="L429" s="21">
        <f t="shared" si="221"/>
        <v>4</v>
      </c>
      <c r="M429" s="9">
        <f t="shared" si="234"/>
        <v>1</v>
      </c>
      <c r="N429">
        <f t="shared" si="235"/>
        <v>84.270000000000437</v>
      </c>
      <c r="O429">
        <f t="shared" si="231"/>
        <v>0</v>
      </c>
    </row>
    <row r="430" spans="1:18">
      <c r="A430" s="6">
        <v>45012</v>
      </c>
      <c r="B430" t="s">
        <v>51</v>
      </c>
      <c r="C430" s="9">
        <v>122</v>
      </c>
      <c r="D430">
        <v>46.83</v>
      </c>
      <c r="E430" s="29">
        <v>55</v>
      </c>
      <c r="F430" s="50">
        <v>43</v>
      </c>
      <c r="G430" s="21">
        <f t="shared" si="226"/>
        <v>3.1331592689295054</v>
      </c>
      <c r="H430" s="6">
        <v>45014</v>
      </c>
      <c r="I430" s="29">
        <v>47.47</v>
      </c>
      <c r="J430" s="30">
        <f t="shared" si="232"/>
        <v>1.3666453128336586E-2</v>
      </c>
      <c r="K430" s="35">
        <f t="shared" si="233"/>
        <v>78.079999999999927</v>
      </c>
      <c r="L430" s="21">
        <f t="shared" si="221"/>
        <v>2</v>
      </c>
      <c r="M430" s="9">
        <f t="shared" si="234"/>
        <v>1</v>
      </c>
      <c r="N430">
        <f t="shared" si="235"/>
        <v>78.079999999999927</v>
      </c>
      <c r="O430">
        <f t="shared" si="231"/>
        <v>0</v>
      </c>
      <c r="R430" s="28">
        <v>1571.1</v>
      </c>
    </row>
    <row r="431" spans="1:18">
      <c r="A431" s="6">
        <v>45009</v>
      </c>
      <c r="B431" s="71" t="s">
        <v>353</v>
      </c>
      <c r="C431" s="9">
        <v>71</v>
      </c>
      <c r="D431">
        <v>11.66</v>
      </c>
      <c r="E431" s="29">
        <v>14</v>
      </c>
      <c r="F431" s="50">
        <v>11.4</v>
      </c>
      <c r="G431" s="21">
        <f t="shared" si="226"/>
        <v>10.000000000000007</v>
      </c>
      <c r="H431" s="6">
        <v>45013</v>
      </c>
      <c r="I431" s="29">
        <v>12.09</v>
      </c>
      <c r="J431" s="30">
        <f t="shared" si="232"/>
        <v>3.6878216123499064E-2</v>
      </c>
      <c r="K431" s="35">
        <f t="shared" si="233"/>
        <v>30.529999999999973</v>
      </c>
      <c r="L431" s="21">
        <f t="shared" si="221"/>
        <v>4</v>
      </c>
      <c r="M431" s="9">
        <f t="shared" si="234"/>
        <v>1</v>
      </c>
      <c r="N431">
        <f t="shared" si="235"/>
        <v>30.529999999999973</v>
      </c>
      <c r="O431">
        <f t="shared" si="231"/>
        <v>0</v>
      </c>
    </row>
    <row r="432" spans="1:18">
      <c r="A432" s="6">
        <v>45009</v>
      </c>
      <c r="B432" t="s">
        <v>227</v>
      </c>
      <c r="C432">
        <v>14</v>
      </c>
      <c r="D432">
        <v>369.89</v>
      </c>
      <c r="E432">
        <v>400</v>
      </c>
      <c r="F432">
        <v>360</v>
      </c>
      <c r="G432" s="21">
        <f t="shared" si="226"/>
        <v>4.0444893832153745</v>
      </c>
      <c r="H432" s="6">
        <v>45009</v>
      </c>
      <c r="I432" s="29">
        <v>374.46</v>
      </c>
      <c r="J432" s="30">
        <f t="shared" si="232"/>
        <v>1.2355024466733422E-2</v>
      </c>
      <c r="K432" s="35">
        <f t="shared" si="233"/>
        <v>63.979999999999563</v>
      </c>
      <c r="L432" s="21">
        <f t="shared" si="221"/>
        <v>0</v>
      </c>
      <c r="M432" s="9">
        <f t="shared" si="234"/>
        <v>1</v>
      </c>
      <c r="N432">
        <f t="shared" si="235"/>
        <v>63.979999999999563</v>
      </c>
      <c r="O432">
        <f t="shared" ref="O432:O446" si="236">IF(K432&lt;0, K432, 0)</f>
        <v>0</v>
      </c>
      <c r="R432" s="28">
        <v>1013.71</v>
      </c>
    </row>
    <row r="433" spans="1:18">
      <c r="A433" s="6">
        <v>45008</v>
      </c>
      <c r="B433" t="s">
        <v>574</v>
      </c>
      <c r="C433" s="9">
        <v>401</v>
      </c>
      <c r="D433">
        <v>13.86</v>
      </c>
      <c r="E433" s="29">
        <v>50</v>
      </c>
      <c r="F433" s="50">
        <v>12</v>
      </c>
      <c r="G433" s="21">
        <f t="shared" si="226"/>
        <v>20.430107526881727</v>
      </c>
      <c r="H433" s="6">
        <v>45012</v>
      </c>
      <c r="I433" s="29">
        <v>15.25</v>
      </c>
      <c r="J433" s="30">
        <f t="shared" si="232"/>
        <v>0.10028860028860032</v>
      </c>
      <c r="K433" s="35">
        <f t="shared" si="233"/>
        <v>557.39000000000033</v>
      </c>
      <c r="L433" s="21">
        <f t="shared" si="221"/>
        <v>4</v>
      </c>
      <c r="M433" s="9">
        <f t="shared" si="234"/>
        <v>1</v>
      </c>
      <c r="N433">
        <f t="shared" si="235"/>
        <v>557.39000000000033</v>
      </c>
      <c r="O433">
        <f t="shared" si="236"/>
        <v>0</v>
      </c>
    </row>
    <row r="434" spans="1:18">
      <c r="A434" s="6">
        <v>45007</v>
      </c>
      <c r="B434" t="s">
        <v>521</v>
      </c>
      <c r="C434" s="9">
        <v>62</v>
      </c>
      <c r="D434">
        <v>104.85</v>
      </c>
      <c r="E434" s="29">
        <v>110</v>
      </c>
      <c r="F434" s="50">
        <v>100</v>
      </c>
      <c r="G434" s="21">
        <f t="shared" si="226"/>
        <v>2.0618556701030952</v>
      </c>
      <c r="H434" s="6">
        <v>45009</v>
      </c>
      <c r="I434" s="29">
        <v>105.24</v>
      </c>
      <c r="J434" s="30">
        <f t="shared" si="232"/>
        <v>3.7195994277539057E-3</v>
      </c>
      <c r="K434" s="35">
        <f t="shared" si="233"/>
        <v>24.180000000000291</v>
      </c>
      <c r="L434" s="21">
        <f t="shared" si="221"/>
        <v>2</v>
      </c>
      <c r="M434" s="9">
        <f t="shared" si="234"/>
        <v>1</v>
      </c>
      <c r="N434">
        <f t="shared" si="235"/>
        <v>24.180000000000291</v>
      </c>
      <c r="O434">
        <f t="shared" si="236"/>
        <v>0</v>
      </c>
    </row>
    <row r="435" spans="1:18">
      <c r="A435" s="6">
        <v>45007</v>
      </c>
      <c r="B435" t="s">
        <v>565</v>
      </c>
      <c r="C435" s="9">
        <v>683</v>
      </c>
      <c r="D435">
        <v>8.18</v>
      </c>
      <c r="E435" s="29">
        <v>10</v>
      </c>
      <c r="F435" s="50">
        <v>7.5</v>
      </c>
      <c r="G435" s="21">
        <f t="shared" si="226"/>
        <v>3.6764705882352957</v>
      </c>
      <c r="H435" s="6">
        <v>45019</v>
      </c>
      <c r="I435" s="29">
        <v>8.2899999999999991</v>
      </c>
      <c r="J435" s="30">
        <f t="shared" si="232"/>
        <v>1.344743276283622E-2</v>
      </c>
      <c r="K435" s="35">
        <f t="shared" si="233"/>
        <v>75.130000000000109</v>
      </c>
      <c r="L435" s="24">
        <f t="shared" si="221"/>
        <v>12</v>
      </c>
      <c r="M435" s="52">
        <f t="shared" si="234"/>
        <v>1</v>
      </c>
      <c r="N435" s="24">
        <f t="shared" si="235"/>
        <v>75.130000000000109</v>
      </c>
      <c r="O435" s="17">
        <f t="shared" si="236"/>
        <v>0</v>
      </c>
      <c r="R435" s="28">
        <v>1086.27</v>
      </c>
    </row>
    <row r="436" spans="1:18">
      <c r="A436" s="6">
        <v>45006</v>
      </c>
      <c r="B436" s="61" t="s">
        <v>534</v>
      </c>
      <c r="C436" s="9">
        <v>179</v>
      </c>
      <c r="D436">
        <v>31.35</v>
      </c>
      <c r="E436">
        <v>35</v>
      </c>
      <c r="F436">
        <v>30</v>
      </c>
      <c r="G436" s="21">
        <f t="shared" si="226"/>
        <v>3.7037037037036997</v>
      </c>
      <c r="H436" s="6">
        <v>45006</v>
      </c>
      <c r="I436" s="29">
        <v>31.7</v>
      </c>
      <c r="J436" s="30">
        <f t="shared" si="232"/>
        <v>1.1164274322168932E-2</v>
      </c>
      <c r="K436" s="35">
        <f t="shared" si="233"/>
        <v>62.649999999999636</v>
      </c>
      <c r="L436" s="21">
        <f t="shared" si="221"/>
        <v>0</v>
      </c>
      <c r="M436" s="9">
        <f t="shared" si="234"/>
        <v>1</v>
      </c>
      <c r="N436">
        <f t="shared" si="235"/>
        <v>62.649999999999636</v>
      </c>
      <c r="O436">
        <f t="shared" si="236"/>
        <v>0</v>
      </c>
      <c r="R436" s="16">
        <v>-387.73</v>
      </c>
    </row>
    <row r="437" spans="1:18">
      <c r="A437" s="6">
        <v>45006</v>
      </c>
      <c r="B437" t="s">
        <v>506</v>
      </c>
      <c r="C437" s="9">
        <v>710</v>
      </c>
      <c r="D437">
        <v>7.85</v>
      </c>
      <c r="E437" s="29">
        <v>12</v>
      </c>
      <c r="F437" s="50">
        <v>7</v>
      </c>
      <c r="G437" s="21">
        <f t="shared" si="226"/>
        <v>5.8823529411764728</v>
      </c>
      <c r="H437" s="6">
        <v>45007</v>
      </c>
      <c r="I437" s="29">
        <v>9.75</v>
      </c>
      <c r="J437" s="30">
        <f t="shared" si="232"/>
        <v>0.2420382165605095</v>
      </c>
      <c r="K437" s="35">
        <f t="shared" si="233"/>
        <v>1349</v>
      </c>
      <c r="L437" s="21">
        <f t="shared" si="221"/>
        <v>1</v>
      </c>
      <c r="M437" s="9">
        <f t="shared" si="234"/>
        <v>1</v>
      </c>
      <c r="N437">
        <f t="shared" si="235"/>
        <v>1349</v>
      </c>
      <c r="O437">
        <f t="shared" si="236"/>
        <v>0</v>
      </c>
    </row>
    <row r="438" spans="1:18">
      <c r="A438" s="6">
        <v>45005</v>
      </c>
      <c r="B438" s="1" t="s">
        <v>370</v>
      </c>
      <c r="C438" s="9">
        <v>44</v>
      </c>
      <c r="D438">
        <v>17.87</v>
      </c>
      <c r="E438" s="29">
        <v>25</v>
      </c>
      <c r="F438" s="50">
        <v>17</v>
      </c>
      <c r="G438" s="21">
        <f t="shared" si="226"/>
        <v>9.1954022988505635</v>
      </c>
      <c r="H438" s="6">
        <v>45014</v>
      </c>
      <c r="I438" s="29">
        <v>18.38</v>
      </c>
      <c r="J438" s="30">
        <f t="shared" si="232"/>
        <v>2.8539451594851606E-2</v>
      </c>
      <c r="K438" s="35">
        <f t="shared" si="233"/>
        <v>22.439999999999827</v>
      </c>
      <c r="L438" s="24">
        <f t="shared" si="221"/>
        <v>9</v>
      </c>
      <c r="M438" s="52">
        <f t="shared" si="234"/>
        <v>1</v>
      </c>
      <c r="N438" s="24">
        <f t="shared" si="235"/>
        <v>22.439999999999827</v>
      </c>
      <c r="O438" s="17">
        <f t="shared" si="236"/>
        <v>0</v>
      </c>
    </row>
    <row r="439" spans="1:18">
      <c r="A439" s="6">
        <v>45005</v>
      </c>
      <c r="B439" t="s">
        <v>506</v>
      </c>
      <c r="C439" s="9">
        <v>770</v>
      </c>
      <c r="D439">
        <v>7.64</v>
      </c>
      <c r="E439" s="29">
        <v>12</v>
      </c>
      <c r="F439" s="50">
        <v>7</v>
      </c>
      <c r="G439" s="21">
        <f t="shared" si="226"/>
        <v>7.8125000000000036</v>
      </c>
      <c r="H439" s="6">
        <v>45006</v>
      </c>
      <c r="I439" s="29">
        <v>7.94</v>
      </c>
      <c r="J439" s="30">
        <f t="shared" si="232"/>
        <v>3.9267015706806463E-2</v>
      </c>
      <c r="K439" s="35">
        <f t="shared" si="233"/>
        <v>231</v>
      </c>
      <c r="L439" s="21">
        <f t="shared" si="221"/>
        <v>1</v>
      </c>
      <c r="M439" s="9">
        <f t="shared" si="234"/>
        <v>1</v>
      </c>
      <c r="N439">
        <f t="shared" si="235"/>
        <v>231</v>
      </c>
      <c r="O439">
        <f t="shared" si="236"/>
        <v>0</v>
      </c>
      <c r="R439" s="16">
        <v>-681.38</v>
      </c>
    </row>
    <row r="440" spans="1:18">
      <c r="A440" s="6">
        <v>45002</v>
      </c>
      <c r="B440" s="71" t="s">
        <v>575</v>
      </c>
      <c r="C440" s="9">
        <v>53</v>
      </c>
      <c r="D440">
        <v>104.86</v>
      </c>
      <c r="E440" s="29">
        <v>120</v>
      </c>
      <c r="F440" s="50">
        <v>100</v>
      </c>
      <c r="G440" s="21">
        <f t="shared" si="226"/>
        <v>4.1152263374485605</v>
      </c>
      <c r="H440" s="6">
        <v>45005</v>
      </c>
      <c r="I440" s="29">
        <v>107.39</v>
      </c>
      <c r="J440" s="30">
        <f t="shared" si="232"/>
        <v>2.4127407972534876E-2</v>
      </c>
      <c r="K440" s="35">
        <f t="shared" si="233"/>
        <v>134.09000000000015</v>
      </c>
      <c r="L440" s="21">
        <f t="shared" si="221"/>
        <v>3</v>
      </c>
      <c r="M440" s="9">
        <f t="shared" si="234"/>
        <v>1</v>
      </c>
      <c r="N440">
        <f t="shared" si="235"/>
        <v>134.09000000000015</v>
      </c>
      <c r="O440">
        <f t="shared" si="236"/>
        <v>0</v>
      </c>
      <c r="R440" s="16">
        <v>-834.19</v>
      </c>
    </row>
    <row r="441" spans="1:18">
      <c r="A441" s="6">
        <v>45001</v>
      </c>
      <c r="B441" s="1" t="s">
        <v>461</v>
      </c>
      <c r="C441" s="9">
        <v>104</v>
      </c>
      <c r="D441">
        <v>7.63</v>
      </c>
      <c r="E441" s="29">
        <v>11</v>
      </c>
      <c r="F441" s="50">
        <v>7</v>
      </c>
      <c r="G441" s="21">
        <f t="shared" si="226"/>
        <v>6.3492063492063506</v>
      </c>
      <c r="H441" s="6">
        <v>45005</v>
      </c>
      <c r="I441" s="29">
        <v>7.81</v>
      </c>
      <c r="J441" s="30">
        <f t="shared" si="232"/>
        <v>2.3591087811271283E-2</v>
      </c>
      <c r="K441" s="35">
        <f t="shared" si="233"/>
        <v>18.720000000000027</v>
      </c>
      <c r="L441" s="21">
        <f t="shared" si="221"/>
        <v>4</v>
      </c>
      <c r="M441" s="9">
        <f t="shared" si="234"/>
        <v>1</v>
      </c>
      <c r="N441">
        <f t="shared" si="235"/>
        <v>18.720000000000027</v>
      </c>
      <c r="O441">
        <f t="shared" si="236"/>
        <v>0</v>
      </c>
    </row>
    <row r="442" spans="1:18">
      <c r="A442" s="6">
        <v>45001</v>
      </c>
      <c r="B442" s="1" t="s">
        <v>521</v>
      </c>
      <c r="C442" s="9">
        <v>68</v>
      </c>
      <c r="D442">
        <v>99.86</v>
      </c>
      <c r="E442" s="29">
        <v>105</v>
      </c>
      <c r="F442" s="50">
        <v>94</v>
      </c>
      <c r="G442" s="21">
        <f t="shared" si="226"/>
        <v>1.877133105802048</v>
      </c>
      <c r="H442" s="6">
        <v>45002</v>
      </c>
      <c r="I442" s="29">
        <v>101.31</v>
      </c>
      <c r="J442" s="30">
        <f t="shared" si="232"/>
        <v>1.4520328459843856E-2</v>
      </c>
      <c r="K442" s="35">
        <f t="shared" si="233"/>
        <v>98.600000000000364</v>
      </c>
      <c r="L442" s="21">
        <f t="shared" si="221"/>
        <v>1</v>
      </c>
      <c r="M442" s="9">
        <f t="shared" si="234"/>
        <v>1</v>
      </c>
      <c r="N442">
        <f t="shared" si="235"/>
        <v>98.600000000000364</v>
      </c>
      <c r="O442">
        <f t="shared" si="236"/>
        <v>0</v>
      </c>
    </row>
    <row r="443" spans="1:18">
      <c r="A443" s="6">
        <v>45001</v>
      </c>
      <c r="B443" s="71" t="s">
        <v>227</v>
      </c>
      <c r="C443" s="9">
        <v>17</v>
      </c>
      <c r="D443">
        <v>354.4</v>
      </c>
      <c r="E443" s="29">
        <v>450</v>
      </c>
      <c r="F443" s="50">
        <v>325</v>
      </c>
      <c r="G443" s="21">
        <f t="shared" si="226"/>
        <v>4.251700680272112</v>
      </c>
      <c r="H443" s="6">
        <v>45002</v>
      </c>
      <c r="I443" s="29">
        <v>357.8</v>
      </c>
      <c r="J443" s="30">
        <f t="shared" si="232"/>
        <v>9.5936794582394125E-3</v>
      </c>
      <c r="K443" s="35">
        <f t="shared" si="233"/>
        <v>57.800000000001091</v>
      </c>
      <c r="L443" s="21">
        <f t="shared" si="221"/>
        <v>1</v>
      </c>
      <c r="M443" s="9">
        <f t="shared" si="234"/>
        <v>1</v>
      </c>
      <c r="N443">
        <f t="shared" si="235"/>
        <v>57.800000000001091</v>
      </c>
      <c r="O443">
        <f t="shared" si="236"/>
        <v>0</v>
      </c>
      <c r="R443" s="16">
        <v>-990.59</v>
      </c>
    </row>
    <row r="444" spans="1:18">
      <c r="A444" s="6">
        <v>45000</v>
      </c>
      <c r="B444" s="1" t="s">
        <v>521</v>
      </c>
      <c r="C444" s="9">
        <v>68</v>
      </c>
      <c r="D444">
        <v>96.32</v>
      </c>
      <c r="E444" s="29">
        <v>105</v>
      </c>
      <c r="F444" s="50">
        <v>88</v>
      </c>
      <c r="G444" s="21">
        <f t="shared" si="226"/>
        <v>2.0432692307692326</v>
      </c>
      <c r="H444" s="6">
        <v>45001</v>
      </c>
      <c r="I444" s="29">
        <v>100</v>
      </c>
      <c r="J444" s="30">
        <f t="shared" si="232"/>
        <v>3.8205980066445155E-2</v>
      </c>
      <c r="K444" s="35">
        <f t="shared" si="233"/>
        <v>250.24000000000069</v>
      </c>
      <c r="L444" s="21">
        <f t="shared" si="221"/>
        <v>1</v>
      </c>
      <c r="M444" s="9">
        <f t="shared" si="234"/>
        <v>1</v>
      </c>
      <c r="N444">
        <f t="shared" si="235"/>
        <v>250.24000000000069</v>
      </c>
      <c r="O444">
        <f t="shared" si="236"/>
        <v>0</v>
      </c>
    </row>
    <row r="445" spans="1:18">
      <c r="A445" s="6">
        <v>45000</v>
      </c>
      <c r="B445" s="1" t="s">
        <v>574</v>
      </c>
      <c r="C445" s="9">
        <v>230</v>
      </c>
      <c r="D445">
        <v>32.83</v>
      </c>
      <c r="E445" s="29">
        <v>50</v>
      </c>
      <c r="F445" s="50">
        <v>31</v>
      </c>
      <c r="G445" s="21">
        <f t="shared" si="226"/>
        <v>10.382513661202195</v>
      </c>
      <c r="H445" s="6">
        <v>45001</v>
      </c>
      <c r="I445" s="28">
        <v>40</v>
      </c>
      <c r="J445" s="30">
        <f t="shared" si="232"/>
        <v>0.21839780688394761</v>
      </c>
      <c r="K445" s="35">
        <f t="shared" si="233"/>
        <v>1649.1000000000004</v>
      </c>
      <c r="L445" s="21">
        <f t="shared" si="221"/>
        <v>1</v>
      </c>
      <c r="M445" s="9">
        <f t="shared" si="234"/>
        <v>1</v>
      </c>
      <c r="N445">
        <f t="shared" si="235"/>
        <v>1649.1000000000004</v>
      </c>
      <c r="O445">
        <f t="shared" si="236"/>
        <v>0</v>
      </c>
      <c r="R445" s="16">
        <v>-2328.4699999999998</v>
      </c>
    </row>
    <row r="446" spans="1:18">
      <c r="A446" s="6">
        <v>44995</v>
      </c>
      <c r="B446" s="1" t="s">
        <v>294</v>
      </c>
      <c r="C446" s="9">
        <v>7</v>
      </c>
      <c r="D446">
        <v>129.25</v>
      </c>
      <c r="E446" s="29">
        <v>140</v>
      </c>
      <c r="F446" s="50">
        <v>125</v>
      </c>
      <c r="G446" s="21">
        <f t="shared" si="226"/>
        <v>3.5294117647058822</v>
      </c>
      <c r="H446" s="6">
        <v>45013</v>
      </c>
      <c r="I446" s="29">
        <v>131.34</v>
      </c>
      <c r="J446" s="30">
        <f t="shared" si="232"/>
        <v>1.6170212765957537E-2</v>
      </c>
      <c r="K446" s="35">
        <f t="shared" si="233"/>
        <v>14.629999999999995</v>
      </c>
      <c r="L446" s="24">
        <f t="shared" si="221"/>
        <v>18</v>
      </c>
      <c r="M446" s="52">
        <f t="shared" si="234"/>
        <v>1</v>
      </c>
      <c r="N446" s="24">
        <f t="shared" si="235"/>
        <v>14.629999999999995</v>
      </c>
      <c r="O446">
        <f t="shared" si="236"/>
        <v>0</v>
      </c>
    </row>
    <row r="447" spans="1:18">
      <c r="A447" s="6">
        <v>44995</v>
      </c>
      <c r="B447" s="1" t="s">
        <v>560</v>
      </c>
      <c r="C447" s="9">
        <v>48</v>
      </c>
      <c r="D447">
        <v>18.18</v>
      </c>
      <c r="E447" s="29">
        <v>23</v>
      </c>
      <c r="F447" s="50">
        <v>17</v>
      </c>
      <c r="G447" s="21">
        <f t="shared" si="226"/>
        <v>5.084745762711866</v>
      </c>
      <c r="H447" s="6">
        <v>45120</v>
      </c>
      <c r="I447" s="29">
        <v>18.95</v>
      </c>
      <c r="J447" s="30">
        <f>I447/D447 -1</f>
        <v>4.2354235423542441E-2</v>
      </c>
      <c r="K447" s="35">
        <f>(C447*I447) - (C447*D447)</f>
        <v>36.959999999999923</v>
      </c>
      <c r="L447" s="24">
        <f t="shared" si="221"/>
        <v>125</v>
      </c>
      <c r="M447" s="52">
        <f>IF(J447&gt;0,1,0)</f>
        <v>1</v>
      </c>
      <c r="N447" s="24">
        <f>IF(K447&gt;0, K447, 0)</f>
        <v>36.959999999999923</v>
      </c>
      <c r="O447">
        <f>IF(K447&lt;0, K447, 0)</f>
        <v>0</v>
      </c>
      <c r="R447" s="16">
        <v>-2638.18</v>
      </c>
    </row>
    <row r="448" spans="1:18">
      <c r="A448" s="6">
        <v>44993</v>
      </c>
      <c r="B448" s="1" t="s">
        <v>496</v>
      </c>
      <c r="C448" s="9">
        <v>7</v>
      </c>
      <c r="D448">
        <v>102.86</v>
      </c>
      <c r="E448" s="29">
        <v>120</v>
      </c>
      <c r="F448" s="50">
        <v>98</v>
      </c>
      <c r="G448" s="21">
        <f t="shared" si="226"/>
        <v>4.5267489711934159</v>
      </c>
      <c r="H448" s="6">
        <v>45001</v>
      </c>
      <c r="I448" s="29">
        <v>105.95</v>
      </c>
      <c r="J448" s="30">
        <f>I448/D448 -1</f>
        <v>3.0040832199105694E-2</v>
      </c>
      <c r="K448" s="35">
        <f>(C448*I448) - (C448*D448)</f>
        <v>21.629999999999995</v>
      </c>
      <c r="L448" s="21">
        <f t="shared" si="221"/>
        <v>8</v>
      </c>
      <c r="M448" s="9">
        <f>IF(J448&gt;0,1,0)</f>
        <v>1</v>
      </c>
      <c r="N448">
        <f>IF(K448&gt;0, K448, 0)</f>
        <v>21.629999999999995</v>
      </c>
      <c r="O448">
        <f>IF(K448&lt;0, K448, 0)</f>
        <v>0</v>
      </c>
      <c r="R448" s="16">
        <v>-2200.39</v>
      </c>
    </row>
    <row r="449" spans="1:18">
      <c r="A449" s="6">
        <v>44992</v>
      </c>
      <c r="B449" s="1" t="s">
        <v>439</v>
      </c>
      <c r="C449" s="9">
        <v>53</v>
      </c>
      <c r="D449">
        <v>81.790000000000006</v>
      </c>
      <c r="E449" s="29">
        <v>90</v>
      </c>
      <c r="F449" s="50">
        <v>79</v>
      </c>
      <c r="G449" s="21">
        <f t="shared" si="226"/>
        <v>3.942652329749095</v>
      </c>
      <c r="H449" s="6">
        <v>44993</v>
      </c>
      <c r="I449" s="29">
        <v>85.36</v>
      </c>
      <c r="J449" s="30">
        <f>I449/D449 -1</f>
        <v>4.3648367771121022E-2</v>
      </c>
      <c r="K449" s="35">
        <f>(C449*I449) - (C449*D449)</f>
        <v>189.21000000000004</v>
      </c>
      <c r="L449" s="21">
        <f t="shared" si="221"/>
        <v>1</v>
      </c>
      <c r="M449" s="9">
        <f>IF(J449&gt;0,1,0)</f>
        <v>1</v>
      </c>
      <c r="N449">
        <f>IF(K449&gt;0, K449, 0)</f>
        <v>189.21000000000004</v>
      </c>
      <c r="O449">
        <f>IF(K449&lt;0, K449, 0)</f>
        <v>0</v>
      </c>
      <c r="R449" s="16">
        <v>-1856.8</v>
      </c>
    </row>
    <row r="450" spans="1:18">
      <c r="A450" s="6">
        <v>44991</v>
      </c>
      <c r="B450" s="1" t="s">
        <v>45</v>
      </c>
      <c r="C450" s="9">
        <v>41</v>
      </c>
      <c r="D450">
        <v>23.58</v>
      </c>
      <c r="E450" s="29">
        <v>35</v>
      </c>
      <c r="F450" s="50">
        <v>22.5</v>
      </c>
      <c r="G450" s="21">
        <f t="shared" si="226"/>
        <v>11.574074074074092</v>
      </c>
      <c r="H450" s="6">
        <v>45009</v>
      </c>
      <c r="I450" s="16">
        <v>19.66</v>
      </c>
      <c r="J450" s="25">
        <f>I450/D450 -1</f>
        <v>-0.16624257845631885</v>
      </c>
      <c r="K450" s="36">
        <f>(C450*I450) - (C450*D450)</f>
        <v>-160.71999999999991</v>
      </c>
      <c r="L450" s="24">
        <f t="shared" si="221"/>
        <v>18</v>
      </c>
      <c r="M450" s="52">
        <f>IF(J450&gt;0,1,0)</f>
        <v>0</v>
      </c>
      <c r="N450" s="24">
        <f>IF(K450&gt;0, K450, 0)</f>
        <v>0</v>
      </c>
      <c r="O450" s="17">
        <f>IF(K450&lt;0, K450, 0)</f>
        <v>-160.71999999999991</v>
      </c>
    </row>
    <row r="451" spans="1:18">
      <c r="A451" s="6">
        <v>44991</v>
      </c>
      <c r="B451" s="1" t="s">
        <v>231</v>
      </c>
      <c r="C451" s="9">
        <v>125</v>
      </c>
      <c r="D451">
        <v>66.33</v>
      </c>
      <c r="E451" s="29">
        <v>100</v>
      </c>
      <c r="F451" s="50">
        <v>66</v>
      </c>
      <c r="G451" s="21">
        <f t="shared" si="226"/>
        <v>103.03030303030356</v>
      </c>
      <c r="H451" s="6"/>
      <c r="I451" s="16"/>
      <c r="J451" s="25"/>
      <c r="K451" s="36"/>
      <c r="L451" s="24"/>
      <c r="M451" s="52"/>
      <c r="N451" s="24"/>
      <c r="O451" s="17"/>
    </row>
    <row r="452" spans="1:18">
      <c r="A452" s="6">
        <v>44991</v>
      </c>
      <c r="B452" s="1" t="s">
        <v>231</v>
      </c>
      <c r="C452" s="9">
        <v>35</v>
      </c>
      <c r="D452">
        <v>76.709999999999994</v>
      </c>
      <c r="E452" s="29">
        <v>100</v>
      </c>
      <c r="F452" s="50">
        <v>69.23</v>
      </c>
      <c r="G452" s="21">
        <f xml:space="preserve"> (E452 - F452)/(D452-F452)</f>
        <v>4.1136363636363686</v>
      </c>
      <c r="H452" s="6">
        <v>45103</v>
      </c>
      <c r="I452" s="16">
        <v>66.75</v>
      </c>
      <c r="J452" s="25">
        <f>I452/D452 -1</f>
        <v>-0.12983965584669532</v>
      </c>
      <c r="K452" s="36">
        <f>(C452*I452) - (C452*D452)</f>
        <v>-348.59999999999991</v>
      </c>
      <c r="L452" s="24">
        <f t="shared" ref="L452:L494" si="237">H452-A452</f>
        <v>112</v>
      </c>
      <c r="M452" s="52">
        <f>IF(J452&gt;0,1,0)</f>
        <v>0</v>
      </c>
      <c r="N452" s="24">
        <f>IF(K452&gt;0, K452, 0)</f>
        <v>0</v>
      </c>
      <c r="O452" s="17">
        <f>IF(K452&lt;0, K452, 0)</f>
        <v>-348.59999999999991</v>
      </c>
    </row>
    <row r="453" spans="1:18">
      <c r="A453" s="6">
        <v>44991</v>
      </c>
      <c r="B453" s="1" t="s">
        <v>231</v>
      </c>
      <c r="C453" s="9">
        <v>12</v>
      </c>
      <c r="D453">
        <v>76.709999999999994</v>
      </c>
      <c r="E453" s="29">
        <v>100</v>
      </c>
      <c r="F453" s="50">
        <v>69.23</v>
      </c>
      <c r="G453" s="21">
        <f t="shared" si="226"/>
        <v>4.1136363636363686</v>
      </c>
      <c r="H453" s="6">
        <v>45085</v>
      </c>
      <c r="I453" s="16">
        <v>68.5</v>
      </c>
      <c r="J453" s="25">
        <f>I453/D453 -1</f>
        <v>-0.10702646330335019</v>
      </c>
      <c r="K453" s="36">
        <f>(C453*I453) - (C453*D453)</f>
        <v>-98.519999999999982</v>
      </c>
      <c r="L453" s="24">
        <f t="shared" si="237"/>
        <v>94</v>
      </c>
      <c r="M453" s="52">
        <f>IF(J453&gt;0,1,0)</f>
        <v>0</v>
      </c>
      <c r="N453" s="24">
        <f>IF(K453&gt;0, K453, 0)</f>
        <v>0</v>
      </c>
      <c r="O453" s="17">
        <f>IF(K453&lt;0, K453, 0)</f>
        <v>-98.519999999999982</v>
      </c>
      <c r="R453" s="16">
        <v>-2035.41</v>
      </c>
    </row>
    <row r="454" spans="1:18">
      <c r="A454" s="6">
        <v>44991</v>
      </c>
      <c r="B454" s="1" t="s">
        <v>231</v>
      </c>
      <c r="C454" s="9">
        <v>14</v>
      </c>
      <c r="D454">
        <v>76.709999999999994</v>
      </c>
      <c r="E454" s="29">
        <v>100</v>
      </c>
      <c r="F454" s="50">
        <v>69.23</v>
      </c>
      <c r="G454" s="21">
        <f xml:space="preserve"> (E454 - F454)/(D454-F454)</f>
        <v>4.1136363636363686</v>
      </c>
      <c r="H454" s="6">
        <v>45085</v>
      </c>
      <c r="I454" s="16">
        <v>64.23</v>
      </c>
      <c r="J454" s="25">
        <f>I454/D454 -1</f>
        <v>-0.16269065310911213</v>
      </c>
      <c r="K454" s="36">
        <f>(C454*I454) - (C454*D454)</f>
        <v>-174.7199999999998</v>
      </c>
      <c r="L454" s="24">
        <f t="shared" si="237"/>
        <v>94</v>
      </c>
      <c r="M454" s="52">
        <f>IF(J454&gt;0,1,0)</f>
        <v>0</v>
      </c>
      <c r="N454" s="24">
        <f>IF(K454&gt;0, K454, 0)</f>
        <v>0</v>
      </c>
      <c r="O454" s="17">
        <f>IF(K454&lt;0, K454, 0)</f>
        <v>-174.7199999999998</v>
      </c>
      <c r="R454" s="16"/>
    </row>
    <row r="455" spans="1:18">
      <c r="A455" s="6">
        <v>44991</v>
      </c>
      <c r="B455" s="1" t="s">
        <v>231</v>
      </c>
      <c r="C455" s="9">
        <v>3</v>
      </c>
      <c r="D455">
        <v>76.709999999999994</v>
      </c>
      <c r="E455" s="29">
        <v>100</v>
      </c>
      <c r="F455" s="50">
        <v>69.23</v>
      </c>
      <c r="G455" s="21">
        <f xml:space="preserve"> (E455 - F455)/(D455-F455)</f>
        <v>4.1136363636363686</v>
      </c>
      <c r="H455" s="6">
        <v>45072</v>
      </c>
      <c r="I455" s="16">
        <v>60.25</v>
      </c>
      <c r="J455" s="25">
        <f>I455/D455 -1</f>
        <v>-0.21457437100769128</v>
      </c>
      <c r="K455" s="36">
        <f>(C455*I455) - (C455*D455)</f>
        <v>-49.379999999999995</v>
      </c>
      <c r="L455" s="24">
        <f t="shared" si="237"/>
        <v>81</v>
      </c>
      <c r="M455" s="52">
        <f>IF(J455&gt;0,1,0)</f>
        <v>0</v>
      </c>
      <c r="N455" s="24">
        <f>IF(K455&gt;0, K455, 0)</f>
        <v>0</v>
      </c>
      <c r="O455" s="17">
        <f>IF(K455&lt;0, K455, 0)</f>
        <v>-49.379999999999995</v>
      </c>
      <c r="R455" s="16"/>
    </row>
    <row r="456" spans="1:18">
      <c r="A456" s="6">
        <v>44988</v>
      </c>
      <c r="B456" s="71" t="s">
        <v>180</v>
      </c>
      <c r="C456" s="9">
        <v>161</v>
      </c>
      <c r="D456">
        <v>42.47</v>
      </c>
      <c r="E456" s="29">
        <v>50</v>
      </c>
      <c r="F456" s="50">
        <v>35</v>
      </c>
      <c r="G456" s="21">
        <f t="shared" si="226"/>
        <v>2.0080321285140563</v>
      </c>
      <c r="H456" s="6">
        <v>45019</v>
      </c>
      <c r="I456" s="29">
        <v>43.48</v>
      </c>
      <c r="J456" s="30">
        <f t="shared" ref="J456:J464" si="238">I456/D456 -1</f>
        <v>2.3781492818460093E-2</v>
      </c>
      <c r="K456" s="35">
        <f t="shared" ref="K456:K464" si="239">(C456*I456) - (C456*D456)</f>
        <v>162.60999999999967</v>
      </c>
      <c r="L456" s="21">
        <f t="shared" si="237"/>
        <v>31</v>
      </c>
      <c r="M456" s="9">
        <f t="shared" ref="M456:M464" si="240">IF(J456&gt;0,1,0)</f>
        <v>1</v>
      </c>
      <c r="N456">
        <f t="shared" ref="N456:N464" si="241">IF(K456&gt;0, K456, 0)</f>
        <v>162.60999999999967</v>
      </c>
      <c r="O456">
        <f t="shared" ref="O456:O464" si="242">IF(K456&lt;0, K456, 0)</f>
        <v>0</v>
      </c>
    </row>
    <row r="457" spans="1:18">
      <c r="A457" s="6">
        <v>44988</v>
      </c>
      <c r="B457" s="71" t="s">
        <v>227</v>
      </c>
      <c r="C457" s="9">
        <v>23</v>
      </c>
      <c r="D457">
        <v>343.29</v>
      </c>
      <c r="E457" s="29">
        <v>450</v>
      </c>
      <c r="F457" s="50">
        <v>318.97000000000003</v>
      </c>
      <c r="G457" s="21">
        <f t="shared" si="226"/>
        <v>5.3877467105263159</v>
      </c>
      <c r="H457" s="6">
        <v>45001</v>
      </c>
      <c r="I457" s="29">
        <v>354.46</v>
      </c>
      <c r="J457" s="30">
        <f t="shared" si="238"/>
        <v>3.2538087331410726E-2</v>
      </c>
      <c r="K457" s="35">
        <f t="shared" si="239"/>
        <v>256.90999999999985</v>
      </c>
      <c r="L457" s="21">
        <f t="shared" si="237"/>
        <v>13</v>
      </c>
      <c r="M457" s="9">
        <f t="shared" si="240"/>
        <v>1</v>
      </c>
      <c r="N457">
        <f t="shared" si="241"/>
        <v>256.90999999999985</v>
      </c>
      <c r="O457">
        <f t="shared" si="242"/>
        <v>0</v>
      </c>
    </row>
    <row r="458" spans="1:18">
      <c r="A458" s="6">
        <v>44988</v>
      </c>
      <c r="B458" s="1" t="s">
        <v>521</v>
      </c>
      <c r="C458" s="9">
        <v>68</v>
      </c>
      <c r="D458">
        <v>93.61</v>
      </c>
      <c r="E458" s="29">
        <v>105</v>
      </c>
      <c r="F458" s="50">
        <v>85</v>
      </c>
      <c r="G458" s="21">
        <f t="shared" si="226"/>
        <v>2.3228803716608595</v>
      </c>
      <c r="H458" s="6">
        <v>44999</v>
      </c>
      <c r="I458" s="29">
        <v>96.4</v>
      </c>
      <c r="J458" s="30">
        <f t="shared" si="238"/>
        <v>2.9804508065377711E-2</v>
      </c>
      <c r="K458" s="35">
        <f t="shared" si="239"/>
        <v>189.72000000000116</v>
      </c>
      <c r="L458" s="21">
        <f t="shared" si="237"/>
        <v>11</v>
      </c>
      <c r="M458" s="9">
        <f t="shared" si="240"/>
        <v>1</v>
      </c>
      <c r="N458">
        <f t="shared" si="241"/>
        <v>189.72000000000116</v>
      </c>
      <c r="O458">
        <f t="shared" si="242"/>
        <v>0</v>
      </c>
      <c r="R458" s="16">
        <v>-2238.27</v>
      </c>
    </row>
    <row r="459" spans="1:18">
      <c r="A459" s="6">
        <v>44987</v>
      </c>
      <c r="B459" s="1" t="s">
        <v>507</v>
      </c>
      <c r="C459" s="9">
        <v>221</v>
      </c>
      <c r="D459">
        <v>31.36</v>
      </c>
      <c r="E459" s="29">
        <v>35</v>
      </c>
      <c r="F459" s="50">
        <v>27.63</v>
      </c>
      <c r="G459" s="21">
        <f t="shared" si="226"/>
        <v>1.9758713136729222</v>
      </c>
      <c r="H459" s="6">
        <v>45015</v>
      </c>
      <c r="I459" s="29">
        <v>31.67</v>
      </c>
      <c r="J459" s="30">
        <f t="shared" si="238"/>
        <v>9.8852040816326259E-3</v>
      </c>
      <c r="K459" s="35">
        <f t="shared" si="239"/>
        <v>68.510000000001128</v>
      </c>
      <c r="L459" s="21">
        <f t="shared" si="237"/>
        <v>28</v>
      </c>
      <c r="M459" s="9">
        <f t="shared" si="240"/>
        <v>1</v>
      </c>
      <c r="N459">
        <f t="shared" si="241"/>
        <v>68.510000000001128</v>
      </c>
      <c r="O459">
        <f t="shared" si="242"/>
        <v>0</v>
      </c>
    </row>
    <row r="460" spans="1:18">
      <c r="A460" s="6">
        <v>44987</v>
      </c>
      <c r="B460" s="71" t="s">
        <v>227</v>
      </c>
      <c r="C460" s="9">
        <v>23</v>
      </c>
      <c r="D460">
        <v>332.44</v>
      </c>
      <c r="E460" s="29">
        <v>450</v>
      </c>
      <c r="F460" s="50">
        <v>318.97000000000003</v>
      </c>
      <c r="G460" s="21">
        <f t="shared" si="226"/>
        <v>9.7275426874536191</v>
      </c>
      <c r="H460" s="6">
        <v>44988</v>
      </c>
      <c r="I460" s="29">
        <v>343.36</v>
      </c>
      <c r="J460" s="30">
        <f t="shared" si="238"/>
        <v>3.2848032727710308E-2</v>
      </c>
      <c r="K460" s="35">
        <f t="shared" si="239"/>
        <v>251.16000000000076</v>
      </c>
      <c r="L460" s="21">
        <f t="shared" si="237"/>
        <v>1</v>
      </c>
      <c r="M460" s="9">
        <f t="shared" si="240"/>
        <v>1</v>
      </c>
      <c r="N460">
        <f t="shared" si="241"/>
        <v>251.16000000000076</v>
      </c>
      <c r="O460">
        <f t="shared" si="242"/>
        <v>0</v>
      </c>
      <c r="R460" s="16">
        <v>-2863.74</v>
      </c>
    </row>
    <row r="461" spans="1:18">
      <c r="A461" s="6">
        <v>44986</v>
      </c>
      <c r="B461" s="71" t="s">
        <v>180</v>
      </c>
      <c r="C461" s="9">
        <v>170</v>
      </c>
      <c r="D461">
        <v>41.56</v>
      </c>
      <c r="E461" s="29">
        <v>50</v>
      </c>
      <c r="F461" s="50">
        <v>35</v>
      </c>
      <c r="G461" s="21">
        <f t="shared" si="226"/>
        <v>2.2865853658536577</v>
      </c>
      <c r="H461" s="6">
        <v>44988</v>
      </c>
      <c r="I461" s="29">
        <v>42.42</v>
      </c>
      <c r="J461" s="30">
        <f t="shared" si="238"/>
        <v>2.0692974013474474E-2</v>
      </c>
      <c r="K461" s="35">
        <f t="shared" si="239"/>
        <v>146.19999999999982</v>
      </c>
      <c r="L461" s="21">
        <f t="shared" si="237"/>
        <v>2</v>
      </c>
      <c r="M461" s="9">
        <f t="shared" si="240"/>
        <v>1</v>
      </c>
      <c r="N461">
        <f t="shared" si="241"/>
        <v>146.19999999999982</v>
      </c>
      <c r="O461">
        <f t="shared" si="242"/>
        <v>0</v>
      </c>
    </row>
    <row r="462" spans="1:18">
      <c r="A462" s="6">
        <v>44986</v>
      </c>
      <c r="B462" s="55" t="s">
        <v>558</v>
      </c>
      <c r="C462" s="57">
        <v>500</v>
      </c>
      <c r="D462">
        <v>1.1000000000000001</v>
      </c>
      <c r="E462" s="29">
        <v>3</v>
      </c>
      <c r="F462" s="50">
        <v>0.5</v>
      </c>
      <c r="G462" s="21">
        <f t="shared" si="226"/>
        <v>4.1666666666666661</v>
      </c>
      <c r="H462" s="6">
        <v>45007</v>
      </c>
      <c r="I462" s="29">
        <v>1.35</v>
      </c>
      <c r="J462" s="30">
        <f t="shared" si="238"/>
        <v>0.22727272727272729</v>
      </c>
      <c r="K462" s="35">
        <f t="shared" si="239"/>
        <v>125</v>
      </c>
      <c r="L462" s="24">
        <f t="shared" si="237"/>
        <v>21</v>
      </c>
      <c r="M462" s="52">
        <f t="shared" si="240"/>
        <v>1</v>
      </c>
      <c r="N462" s="24">
        <f t="shared" si="241"/>
        <v>125</v>
      </c>
      <c r="O462">
        <f t="shared" si="242"/>
        <v>0</v>
      </c>
    </row>
    <row r="463" spans="1:18">
      <c r="A463" s="6">
        <v>44986</v>
      </c>
      <c r="B463" s="1" t="s">
        <v>521</v>
      </c>
      <c r="C463" s="9">
        <v>68</v>
      </c>
      <c r="D463">
        <v>90.83</v>
      </c>
      <c r="E463" s="29">
        <v>105</v>
      </c>
      <c r="F463" s="50">
        <v>85</v>
      </c>
      <c r="G463" s="21">
        <f t="shared" si="226"/>
        <v>3.430531732418526</v>
      </c>
      <c r="H463" s="6">
        <v>44988</v>
      </c>
      <c r="I463" s="29">
        <v>93.59</v>
      </c>
      <c r="J463" s="30">
        <f t="shared" si="238"/>
        <v>3.038643619949366E-2</v>
      </c>
      <c r="K463" s="35">
        <f t="shared" si="239"/>
        <v>187.68000000000029</v>
      </c>
      <c r="L463" s="21">
        <f t="shared" si="237"/>
        <v>2</v>
      </c>
      <c r="M463" s="9">
        <f t="shared" si="240"/>
        <v>1</v>
      </c>
      <c r="N463">
        <f t="shared" si="241"/>
        <v>187.68000000000029</v>
      </c>
      <c r="O463">
        <f t="shared" si="242"/>
        <v>0</v>
      </c>
      <c r="R463" s="16">
        <v>-3297.74</v>
      </c>
    </row>
    <row r="464" spans="1:18">
      <c r="A464" s="6">
        <v>44985</v>
      </c>
      <c r="B464" s="1" t="s">
        <v>132</v>
      </c>
      <c r="C464" s="9">
        <v>176</v>
      </c>
      <c r="D464">
        <v>3.64</v>
      </c>
      <c r="E464" s="29">
        <v>4</v>
      </c>
      <c r="F464" s="50">
        <v>3.42</v>
      </c>
      <c r="G464" s="21">
        <f t="shared" si="226"/>
        <v>2.6363636363636345</v>
      </c>
      <c r="H464" s="6">
        <v>44993</v>
      </c>
      <c r="I464" s="29">
        <v>3.85</v>
      </c>
      <c r="J464" s="30">
        <f t="shared" si="238"/>
        <v>5.7692307692307709E-2</v>
      </c>
      <c r="K464" s="35">
        <f t="shared" si="239"/>
        <v>36.960000000000036</v>
      </c>
      <c r="L464" s="21">
        <f t="shared" si="237"/>
        <v>8</v>
      </c>
      <c r="M464" s="9">
        <f t="shared" si="240"/>
        <v>1</v>
      </c>
      <c r="N464">
        <f t="shared" si="241"/>
        <v>36.960000000000036</v>
      </c>
      <c r="O464">
        <f t="shared" si="242"/>
        <v>0</v>
      </c>
    </row>
    <row r="465" spans="1:18">
      <c r="A465" s="6">
        <v>44985</v>
      </c>
      <c r="B465" s="1" t="s">
        <v>376</v>
      </c>
      <c r="C465" s="9">
        <v>21</v>
      </c>
      <c r="D465">
        <v>49.26</v>
      </c>
      <c r="E465" s="29">
        <v>55</v>
      </c>
      <c r="F465" s="50">
        <v>46.36</v>
      </c>
      <c r="G465" s="21">
        <f t="shared" si="226"/>
        <v>2.9793103448275877</v>
      </c>
      <c r="H465" s="6">
        <v>45243</v>
      </c>
      <c r="I465" s="16">
        <v>32.72</v>
      </c>
      <c r="J465" s="25">
        <f>I465/D465 -1</f>
        <v>-0.33576938692651237</v>
      </c>
      <c r="K465" s="36">
        <f>(C465*I465) - (C465*D465)</f>
        <v>-347.34000000000003</v>
      </c>
      <c r="L465" s="24">
        <f t="shared" si="237"/>
        <v>258</v>
      </c>
      <c r="M465" s="52">
        <f>IF(J465&gt;0,1,0)</f>
        <v>0</v>
      </c>
      <c r="N465" s="24">
        <f>IF(K465&gt;0, K465, 0)</f>
        <v>0</v>
      </c>
      <c r="O465" s="17">
        <f>IF(K465&lt;0, K465, 0)</f>
        <v>-347.34000000000003</v>
      </c>
    </row>
    <row r="466" spans="1:18">
      <c r="A466" s="6">
        <v>44985</v>
      </c>
      <c r="B466" s="1" t="s">
        <v>376</v>
      </c>
      <c r="C466" s="9">
        <v>2</v>
      </c>
      <c r="D466">
        <v>49.36</v>
      </c>
      <c r="E466" s="29">
        <v>55</v>
      </c>
      <c r="F466" s="50">
        <v>46.36</v>
      </c>
      <c r="G466" s="21">
        <f xml:space="preserve"> (E466 - F466)/(D466-F466)</f>
        <v>2.8800000000000003</v>
      </c>
      <c r="H466" s="6">
        <v>45050</v>
      </c>
      <c r="I466" s="16">
        <v>20.059999999999999</v>
      </c>
      <c r="J466" s="25">
        <f>I466/D466 -1</f>
        <v>-0.59359805510534847</v>
      </c>
      <c r="K466" s="36">
        <f>(C466*I466) - (C466*D466)</f>
        <v>-58.6</v>
      </c>
      <c r="L466" s="24">
        <f t="shared" si="237"/>
        <v>65</v>
      </c>
      <c r="M466" s="52">
        <f>IF(J466&gt;0,1,0)</f>
        <v>0</v>
      </c>
      <c r="N466" s="24">
        <f>IF(K466&gt;0, K466, 0)</f>
        <v>0</v>
      </c>
      <c r="O466" s="17">
        <f>IF(K466&lt;0, K466, 0)</f>
        <v>-58.6</v>
      </c>
    </row>
    <row r="467" spans="1:18">
      <c r="A467" s="6">
        <v>44985</v>
      </c>
      <c r="B467" s="1" t="s">
        <v>376</v>
      </c>
      <c r="C467" s="9">
        <v>2</v>
      </c>
      <c r="D467">
        <v>49.36</v>
      </c>
      <c r="E467" s="29">
        <v>55</v>
      </c>
      <c r="F467" s="50">
        <v>46.36</v>
      </c>
      <c r="G467" s="21">
        <f t="shared" si="226"/>
        <v>2.8800000000000003</v>
      </c>
      <c r="H467" s="6">
        <v>45047</v>
      </c>
      <c r="I467" s="16">
        <v>26.82</v>
      </c>
      <c r="J467" s="25">
        <f>I467/D467 -1</f>
        <v>-0.45664505672609401</v>
      </c>
      <c r="K467" s="36">
        <f>(C467*I467) - (C467*D467)</f>
        <v>-45.08</v>
      </c>
      <c r="L467" s="24">
        <f t="shared" si="237"/>
        <v>62</v>
      </c>
      <c r="M467" s="52">
        <f>IF(J467&gt;0,1,0)</f>
        <v>0</v>
      </c>
      <c r="N467" s="24">
        <f>IF(K467&gt;0, K467, 0)</f>
        <v>0</v>
      </c>
      <c r="O467" s="17">
        <f>IF(K467&lt;0, K467, 0)</f>
        <v>-45.08</v>
      </c>
      <c r="R467" s="16">
        <v>-3569.74</v>
      </c>
    </row>
    <row r="468" spans="1:18">
      <c r="A468" s="6">
        <v>44984</v>
      </c>
      <c r="B468" s="71" t="s">
        <v>180</v>
      </c>
      <c r="C468" s="9">
        <v>170</v>
      </c>
      <c r="D468">
        <v>40.08</v>
      </c>
      <c r="E468" s="29">
        <v>50</v>
      </c>
      <c r="F468" s="50">
        <v>35</v>
      </c>
      <c r="G468" s="21">
        <f t="shared" si="226"/>
        <v>2.952755905511812</v>
      </c>
      <c r="H468" s="6">
        <v>44986</v>
      </c>
      <c r="I468" s="28">
        <v>41.68</v>
      </c>
      <c r="J468" s="30">
        <f t="shared" ref="J468:J479" si="243">I468/D468 -1</f>
        <v>3.9920159680638667E-2</v>
      </c>
      <c r="K468" s="35">
        <f t="shared" ref="K468:K479" si="244">(C468*I468) - (C468*D468)</f>
        <v>272.00000000000091</v>
      </c>
      <c r="L468" s="21">
        <f t="shared" si="237"/>
        <v>2</v>
      </c>
      <c r="M468" s="9">
        <f t="shared" ref="M468:M479" si="245">IF(J468&gt;0,1,0)</f>
        <v>1</v>
      </c>
      <c r="N468">
        <f t="shared" ref="N468:N479" si="246">IF(K468&gt;0, K468, 0)</f>
        <v>272.00000000000091</v>
      </c>
      <c r="O468">
        <f t="shared" ref="O468:O479" si="247">IF(K468&lt;0, K468, 0)</f>
        <v>0</v>
      </c>
      <c r="R468" s="68">
        <v>-3572.83</v>
      </c>
    </row>
    <row r="469" spans="1:18">
      <c r="A469" s="6">
        <v>44981</v>
      </c>
      <c r="B469" s="1" t="s">
        <v>20</v>
      </c>
      <c r="C469" s="9">
        <v>3</v>
      </c>
      <c r="D469">
        <v>354.44</v>
      </c>
      <c r="E469" s="29">
        <v>400</v>
      </c>
      <c r="F469" s="50">
        <v>326</v>
      </c>
      <c r="G469" s="21">
        <f t="shared" si="226"/>
        <v>2.6019690576652605</v>
      </c>
      <c r="H469" s="6">
        <v>44995</v>
      </c>
      <c r="I469" s="16">
        <v>335</v>
      </c>
      <c r="J469" s="25">
        <f t="shared" si="243"/>
        <v>-5.4847082722040419E-2</v>
      </c>
      <c r="K469" s="36">
        <f t="shared" si="244"/>
        <v>-58.319999999999936</v>
      </c>
      <c r="L469" s="24">
        <f t="shared" si="237"/>
        <v>14</v>
      </c>
      <c r="M469" s="52">
        <f t="shared" si="245"/>
        <v>0</v>
      </c>
      <c r="N469" s="24">
        <f t="shared" si="246"/>
        <v>0</v>
      </c>
      <c r="O469" s="17">
        <f t="shared" si="247"/>
        <v>-58.319999999999936</v>
      </c>
    </row>
    <row r="470" spans="1:18">
      <c r="A470" s="6">
        <v>44981</v>
      </c>
      <c r="B470" s="1" t="s">
        <v>376</v>
      </c>
      <c r="C470" s="9">
        <v>23</v>
      </c>
      <c r="D470">
        <v>49.36</v>
      </c>
      <c r="E470" s="29">
        <v>55</v>
      </c>
      <c r="F470" s="50">
        <v>47</v>
      </c>
      <c r="G470" s="21">
        <f t="shared" si="226"/>
        <v>3.389830508474577</v>
      </c>
      <c r="H470" s="6">
        <v>44985</v>
      </c>
      <c r="I470" s="29">
        <v>50.51</v>
      </c>
      <c r="J470" s="30">
        <f t="shared" si="243"/>
        <v>2.3298217179902769E-2</v>
      </c>
      <c r="K470" s="35">
        <f t="shared" si="244"/>
        <v>26.450000000000045</v>
      </c>
      <c r="L470" s="21">
        <f t="shared" si="237"/>
        <v>4</v>
      </c>
      <c r="M470" s="9">
        <f t="shared" si="245"/>
        <v>1</v>
      </c>
      <c r="N470">
        <f t="shared" si="246"/>
        <v>26.450000000000045</v>
      </c>
      <c r="O470">
        <f t="shared" si="247"/>
        <v>0</v>
      </c>
    </row>
    <row r="471" spans="1:18">
      <c r="A471" s="6">
        <v>44981</v>
      </c>
      <c r="B471" s="1" t="s">
        <v>227</v>
      </c>
      <c r="C471" s="9">
        <v>23</v>
      </c>
      <c r="D471">
        <v>324.87</v>
      </c>
      <c r="E471" s="29">
        <v>450</v>
      </c>
      <c r="F471" s="50">
        <v>318.97000000000003</v>
      </c>
      <c r="G471" s="21">
        <f t="shared" si="226"/>
        <v>22.208474576271268</v>
      </c>
      <c r="H471" s="6">
        <v>44987</v>
      </c>
      <c r="I471" s="29">
        <v>332.44</v>
      </c>
      <c r="J471" s="30">
        <f t="shared" si="243"/>
        <v>2.3301628343645131E-2</v>
      </c>
      <c r="K471" s="35">
        <f t="shared" si="244"/>
        <v>174.10999999999967</v>
      </c>
      <c r="L471" s="21">
        <f t="shared" si="237"/>
        <v>6</v>
      </c>
      <c r="M471" s="9">
        <f t="shared" si="245"/>
        <v>1</v>
      </c>
      <c r="N471">
        <f t="shared" si="246"/>
        <v>174.10999999999967</v>
      </c>
      <c r="O471">
        <f t="shared" si="247"/>
        <v>0</v>
      </c>
      <c r="R471" s="16">
        <v>-2690.83</v>
      </c>
    </row>
    <row r="472" spans="1:18">
      <c r="A472" s="6">
        <v>44980</v>
      </c>
      <c r="B472" s="1" t="s">
        <v>188</v>
      </c>
      <c r="C472" s="9">
        <v>86</v>
      </c>
      <c r="D472">
        <v>11.22</v>
      </c>
      <c r="E472" s="29">
        <v>13</v>
      </c>
      <c r="F472" s="50">
        <v>11</v>
      </c>
      <c r="G472" s="21">
        <f t="shared" si="226"/>
        <v>9.0909090909090651</v>
      </c>
      <c r="H472" s="6">
        <v>44988</v>
      </c>
      <c r="I472" s="29">
        <v>11.69</v>
      </c>
      <c r="J472" s="30">
        <f t="shared" si="243"/>
        <v>4.1889483065953526E-2</v>
      </c>
      <c r="K472" s="35">
        <f t="shared" si="244"/>
        <v>40.419999999999845</v>
      </c>
      <c r="L472" s="21">
        <f t="shared" si="237"/>
        <v>8</v>
      </c>
      <c r="M472" s="9">
        <f t="shared" si="245"/>
        <v>1</v>
      </c>
      <c r="N472">
        <f t="shared" si="246"/>
        <v>40.419999999999845</v>
      </c>
      <c r="O472">
        <f t="shared" si="247"/>
        <v>0</v>
      </c>
    </row>
    <row r="473" spans="1:18">
      <c r="A473" s="6">
        <v>44980</v>
      </c>
      <c r="B473" s="1" t="s">
        <v>439</v>
      </c>
      <c r="C473" s="9">
        <v>53</v>
      </c>
      <c r="D473">
        <v>78.37</v>
      </c>
      <c r="E473" s="29">
        <v>90</v>
      </c>
      <c r="F473" s="50">
        <v>70</v>
      </c>
      <c r="G473" s="21">
        <f t="shared" si="226"/>
        <v>2.3894862604540013</v>
      </c>
      <c r="H473" s="6">
        <v>44992</v>
      </c>
      <c r="I473" s="29">
        <v>81.739999999999995</v>
      </c>
      <c r="J473" s="30">
        <f t="shared" si="243"/>
        <v>4.3001148398621902E-2</v>
      </c>
      <c r="K473" s="35">
        <f t="shared" si="244"/>
        <v>178.60999999999876</v>
      </c>
      <c r="L473" s="24">
        <f t="shared" si="237"/>
        <v>12</v>
      </c>
      <c r="M473" s="52">
        <f t="shared" si="245"/>
        <v>1</v>
      </c>
      <c r="N473" s="24">
        <f t="shared" si="246"/>
        <v>178.60999999999876</v>
      </c>
      <c r="O473">
        <f t="shared" si="247"/>
        <v>0</v>
      </c>
    </row>
    <row r="474" spans="1:18">
      <c r="A474" s="6">
        <v>44980</v>
      </c>
      <c r="B474" s="1" t="s">
        <v>534</v>
      </c>
      <c r="C474" s="9">
        <v>179</v>
      </c>
      <c r="D474">
        <v>34.770000000000003</v>
      </c>
      <c r="E474" s="29">
        <v>40</v>
      </c>
      <c r="F474" s="50">
        <v>33.6</v>
      </c>
      <c r="G474" s="21">
        <f t="shared" si="226"/>
        <v>5.4700854700854613</v>
      </c>
      <c r="H474" s="6">
        <v>44995</v>
      </c>
      <c r="I474" s="16">
        <v>32.65</v>
      </c>
      <c r="J474" s="25">
        <f t="shared" si="243"/>
        <v>-6.0972102387115479E-2</v>
      </c>
      <c r="K474" s="36">
        <f t="shared" si="244"/>
        <v>-379.48000000000138</v>
      </c>
      <c r="L474" s="24">
        <f t="shared" si="237"/>
        <v>15</v>
      </c>
      <c r="M474" s="52">
        <f t="shared" si="245"/>
        <v>0</v>
      </c>
      <c r="N474" s="24">
        <f t="shared" si="246"/>
        <v>0</v>
      </c>
      <c r="O474" s="17">
        <f t="shared" si="247"/>
        <v>-379.48000000000138</v>
      </c>
      <c r="R474" s="16">
        <v>-1958.77</v>
      </c>
    </row>
    <row r="475" spans="1:18">
      <c r="A475" s="6">
        <v>44979</v>
      </c>
      <c r="B475" s="1" t="s">
        <v>507</v>
      </c>
      <c r="C475" s="9">
        <v>230</v>
      </c>
      <c r="D475">
        <v>30.23</v>
      </c>
      <c r="E475" s="29">
        <v>35</v>
      </c>
      <c r="F475" s="50">
        <v>30</v>
      </c>
      <c r="G475" s="21">
        <f t="shared" ref="G475:G480" si="248" xml:space="preserve"> (E475 - F475)/(D475-F475)</f>
        <v>21.739130434782567</v>
      </c>
      <c r="H475" s="6">
        <v>44987</v>
      </c>
      <c r="I475" s="29">
        <v>31.36</v>
      </c>
      <c r="J475" s="30">
        <f t="shared" si="243"/>
        <v>3.7380086007277491E-2</v>
      </c>
      <c r="K475" s="35">
        <f t="shared" si="244"/>
        <v>259.89999999999964</v>
      </c>
      <c r="L475" s="21">
        <f t="shared" si="237"/>
        <v>8</v>
      </c>
      <c r="M475" s="9">
        <f t="shared" si="245"/>
        <v>1</v>
      </c>
      <c r="N475">
        <f t="shared" si="246"/>
        <v>259.89999999999964</v>
      </c>
      <c r="O475">
        <f t="shared" si="247"/>
        <v>0</v>
      </c>
      <c r="R475" s="68">
        <v>-1987.31</v>
      </c>
    </row>
    <row r="476" spans="1:18">
      <c r="A476" s="6">
        <v>44978</v>
      </c>
      <c r="B476" s="1" t="s">
        <v>432</v>
      </c>
      <c r="C476" s="9">
        <v>8</v>
      </c>
      <c r="D476">
        <v>107.83</v>
      </c>
      <c r="E476" s="29">
        <v>120</v>
      </c>
      <c r="F476" s="50">
        <v>99.39</v>
      </c>
      <c r="G476" s="21">
        <f t="shared" si="248"/>
        <v>2.441943127962086</v>
      </c>
      <c r="H476" s="6">
        <v>44994</v>
      </c>
      <c r="I476" s="16">
        <v>101.78</v>
      </c>
      <c r="J476" s="25">
        <f t="shared" si="243"/>
        <v>-5.6106834832606811E-2</v>
      </c>
      <c r="K476" s="36">
        <f t="shared" si="244"/>
        <v>-48.399999999999977</v>
      </c>
      <c r="L476" s="24">
        <f t="shared" si="237"/>
        <v>16</v>
      </c>
      <c r="M476" s="52">
        <f t="shared" si="245"/>
        <v>0</v>
      </c>
      <c r="N476" s="24">
        <f t="shared" si="246"/>
        <v>0</v>
      </c>
      <c r="O476" s="17">
        <f t="shared" si="247"/>
        <v>-48.399999999999977</v>
      </c>
    </row>
    <row r="477" spans="1:18">
      <c r="A477" s="6">
        <v>44978</v>
      </c>
      <c r="B477" s="1" t="s">
        <v>227</v>
      </c>
      <c r="C477" s="9">
        <v>23</v>
      </c>
      <c r="D477">
        <v>350</v>
      </c>
      <c r="E477" s="29">
        <v>450</v>
      </c>
      <c r="F477" s="50">
        <v>318.97000000000003</v>
      </c>
      <c r="G477" s="21">
        <f t="shared" si="248"/>
        <v>4.222687721559784</v>
      </c>
      <c r="H477" s="6">
        <v>44981</v>
      </c>
      <c r="I477" s="16">
        <v>324.82</v>
      </c>
      <c r="J477" s="25">
        <f t="shared" si="243"/>
        <v>-7.1942857142857197E-2</v>
      </c>
      <c r="K477" s="36">
        <f t="shared" si="244"/>
        <v>-579.14000000000033</v>
      </c>
      <c r="L477" s="21">
        <f t="shared" si="237"/>
        <v>3</v>
      </c>
      <c r="M477" s="9">
        <f t="shared" si="245"/>
        <v>0</v>
      </c>
      <c r="N477">
        <f t="shared" si="246"/>
        <v>0</v>
      </c>
      <c r="O477">
        <f t="shared" si="247"/>
        <v>-579.14000000000033</v>
      </c>
    </row>
    <row r="478" spans="1:18">
      <c r="A478" s="6">
        <v>44978</v>
      </c>
      <c r="B478" s="1" t="s">
        <v>231</v>
      </c>
      <c r="C478" s="9">
        <v>98</v>
      </c>
      <c r="D478">
        <v>74.66</v>
      </c>
      <c r="E478" s="29">
        <v>100</v>
      </c>
      <c r="F478" s="50">
        <v>69.23</v>
      </c>
      <c r="G478" s="21">
        <f t="shared" si="248"/>
        <v>5.6666666666666741</v>
      </c>
      <c r="H478" s="6">
        <v>44991</v>
      </c>
      <c r="I478" s="29">
        <v>76.73</v>
      </c>
      <c r="J478" s="30">
        <f t="shared" si="243"/>
        <v>2.7725689793731689E-2</v>
      </c>
      <c r="K478" s="35">
        <f t="shared" si="244"/>
        <v>202.86000000000058</v>
      </c>
      <c r="L478" s="21">
        <f t="shared" si="237"/>
        <v>13</v>
      </c>
      <c r="M478" s="9">
        <f t="shared" si="245"/>
        <v>1</v>
      </c>
      <c r="N478">
        <f t="shared" si="246"/>
        <v>202.86000000000058</v>
      </c>
      <c r="O478">
        <f t="shared" si="247"/>
        <v>0</v>
      </c>
    </row>
    <row r="479" spans="1:18">
      <c r="A479" s="6">
        <v>44978</v>
      </c>
      <c r="B479" s="1" t="s">
        <v>484</v>
      </c>
      <c r="C479" s="9">
        <v>100</v>
      </c>
      <c r="D479">
        <v>63</v>
      </c>
      <c r="E479" s="29">
        <v>65</v>
      </c>
      <c r="F479" s="50">
        <v>60</v>
      </c>
      <c r="G479" s="21">
        <f t="shared" si="248"/>
        <v>1.6666666666666667</v>
      </c>
      <c r="H479" s="6">
        <v>45097</v>
      </c>
      <c r="I479" s="16">
        <v>58.6</v>
      </c>
      <c r="J479" s="25">
        <f t="shared" si="243"/>
        <v>-6.9841269841269815E-2</v>
      </c>
      <c r="K479" s="36">
        <f t="shared" si="244"/>
        <v>-440</v>
      </c>
      <c r="L479" s="21">
        <f t="shared" si="237"/>
        <v>119</v>
      </c>
      <c r="M479" s="9">
        <f t="shared" si="245"/>
        <v>0</v>
      </c>
      <c r="N479">
        <f t="shared" si="246"/>
        <v>0</v>
      </c>
      <c r="O479">
        <f t="shared" si="247"/>
        <v>-440</v>
      </c>
    </row>
    <row r="480" spans="1:18">
      <c r="A480" s="6">
        <v>44978</v>
      </c>
      <c r="B480" s="1" t="s">
        <v>538</v>
      </c>
      <c r="C480" s="9">
        <v>100</v>
      </c>
      <c r="D480">
        <v>0.5</v>
      </c>
      <c r="E480" s="29">
        <v>5</v>
      </c>
      <c r="F480" s="50">
        <v>1</v>
      </c>
      <c r="G480" s="21">
        <f t="shared" si="248"/>
        <v>-8</v>
      </c>
      <c r="H480" s="6">
        <v>44999</v>
      </c>
      <c r="I480" s="29">
        <v>1.7</v>
      </c>
      <c r="J480" s="30">
        <f t="shared" ref="J480:J485" si="249">I480/D480 -1</f>
        <v>2.4</v>
      </c>
      <c r="K480" s="35">
        <f t="shared" ref="K480:K485" si="250">(C480*I480) - (C480*D480)</f>
        <v>120</v>
      </c>
      <c r="L480" s="21">
        <f t="shared" si="237"/>
        <v>21</v>
      </c>
      <c r="M480" s="9">
        <f t="shared" ref="M480:M485" si="251">IF(J480&gt;0,1,0)</f>
        <v>1</v>
      </c>
      <c r="N480">
        <f t="shared" ref="N480:N485" si="252">IF(K480&gt;0, K480, 0)</f>
        <v>120</v>
      </c>
      <c r="O480">
        <f t="shared" ref="O480:O485" si="253">IF(K480&lt;0, K480, 0)</f>
        <v>0</v>
      </c>
      <c r="R480" s="16">
        <v>-1962.89</v>
      </c>
    </row>
    <row r="481" spans="1:18">
      <c r="A481" s="6">
        <v>44974</v>
      </c>
      <c r="B481" s="55" t="s">
        <v>438</v>
      </c>
      <c r="C481" s="57">
        <v>1400</v>
      </c>
      <c r="D481">
        <v>0.8</v>
      </c>
      <c r="E481" s="29">
        <v>2</v>
      </c>
      <c r="F481" s="50">
        <v>0.4</v>
      </c>
      <c r="G481" s="21">
        <f t="shared" ref="G481:G523" si="254" xml:space="preserve"> (E481 - F481)/(D481-F481)</f>
        <v>4</v>
      </c>
      <c r="H481" s="6">
        <v>45001</v>
      </c>
      <c r="I481">
        <v>0.2</v>
      </c>
      <c r="J481" s="25">
        <f t="shared" si="249"/>
        <v>-0.75</v>
      </c>
      <c r="K481" s="36">
        <f t="shared" si="250"/>
        <v>-840</v>
      </c>
      <c r="L481" s="21">
        <f t="shared" si="237"/>
        <v>27</v>
      </c>
      <c r="M481" s="9">
        <f t="shared" si="251"/>
        <v>0</v>
      </c>
      <c r="N481">
        <f t="shared" si="252"/>
        <v>0</v>
      </c>
      <c r="O481">
        <f t="shared" si="253"/>
        <v>-840</v>
      </c>
      <c r="R481" s="16">
        <v>-1514.46</v>
      </c>
    </row>
    <row r="482" spans="1:18">
      <c r="A482" s="6">
        <v>44973</v>
      </c>
      <c r="B482" s="1" t="s">
        <v>75</v>
      </c>
      <c r="C482" s="9">
        <v>156</v>
      </c>
      <c r="D482">
        <v>7.91</v>
      </c>
      <c r="E482" s="29">
        <v>10.5</v>
      </c>
      <c r="F482" s="50">
        <v>7.1</v>
      </c>
      <c r="G482" s="21">
        <f t="shared" si="254"/>
        <v>4.1975308641975291</v>
      </c>
      <c r="H482" s="6">
        <v>44981</v>
      </c>
      <c r="I482" s="16">
        <v>7.19</v>
      </c>
      <c r="J482" s="25">
        <f t="shared" si="249"/>
        <v>-9.1024020227560065E-2</v>
      </c>
      <c r="K482" s="36">
        <f t="shared" si="250"/>
        <v>-112.31999999999994</v>
      </c>
      <c r="L482" s="21">
        <f t="shared" si="237"/>
        <v>8</v>
      </c>
      <c r="M482" s="9">
        <f t="shared" si="251"/>
        <v>0</v>
      </c>
      <c r="N482">
        <f t="shared" si="252"/>
        <v>0</v>
      </c>
      <c r="O482">
        <f t="shared" si="253"/>
        <v>-112.31999999999994</v>
      </c>
      <c r="R482" s="16"/>
    </row>
    <row r="483" spans="1:18">
      <c r="A483" s="6">
        <v>44972</v>
      </c>
      <c r="B483" s="1" t="s">
        <v>525</v>
      </c>
      <c r="C483" s="9">
        <v>700</v>
      </c>
      <c r="D483">
        <v>11.36</v>
      </c>
      <c r="E483">
        <v>20</v>
      </c>
      <c r="F483">
        <v>10</v>
      </c>
      <c r="G483" s="21">
        <f t="shared" si="254"/>
        <v>7.3529411764705914</v>
      </c>
      <c r="H483" s="6">
        <v>44984</v>
      </c>
      <c r="I483" s="16">
        <v>10.1</v>
      </c>
      <c r="J483" s="25">
        <f t="shared" si="249"/>
        <v>-0.1109154929577465</v>
      </c>
      <c r="K483" s="36">
        <f t="shared" si="250"/>
        <v>-882</v>
      </c>
      <c r="L483" s="21">
        <f t="shared" si="237"/>
        <v>12</v>
      </c>
      <c r="M483" s="9">
        <f t="shared" si="251"/>
        <v>0</v>
      </c>
      <c r="N483">
        <f t="shared" si="252"/>
        <v>0</v>
      </c>
      <c r="O483">
        <f t="shared" si="253"/>
        <v>-882</v>
      </c>
    </row>
    <row r="484" spans="1:18">
      <c r="A484" s="6">
        <v>44972</v>
      </c>
      <c r="B484" s="1" t="s">
        <v>498</v>
      </c>
      <c r="C484" s="9">
        <v>44</v>
      </c>
      <c r="D484">
        <v>161</v>
      </c>
      <c r="E484">
        <v>180</v>
      </c>
      <c r="F484">
        <v>150</v>
      </c>
      <c r="G484" s="21">
        <f t="shared" si="254"/>
        <v>2.7272727272727271</v>
      </c>
      <c r="H484" s="6">
        <v>45021</v>
      </c>
      <c r="I484" s="29">
        <v>165.2</v>
      </c>
      <c r="J484" s="30">
        <f t="shared" si="249"/>
        <v>2.608695652173898E-2</v>
      </c>
      <c r="K484" s="35">
        <f t="shared" si="250"/>
        <v>184.79999999999927</v>
      </c>
      <c r="L484" s="21">
        <f t="shared" si="237"/>
        <v>49</v>
      </c>
      <c r="M484" s="9">
        <f t="shared" si="251"/>
        <v>1</v>
      </c>
      <c r="N484">
        <f t="shared" si="252"/>
        <v>184.79999999999927</v>
      </c>
      <c r="O484">
        <f t="shared" si="253"/>
        <v>0</v>
      </c>
      <c r="R484" s="64">
        <v>4380.1499999999996</v>
      </c>
    </row>
    <row r="485" spans="1:18">
      <c r="A485" s="6">
        <v>44971</v>
      </c>
      <c r="B485" s="1" t="s">
        <v>525</v>
      </c>
      <c r="C485" s="9">
        <v>700</v>
      </c>
      <c r="D485">
        <v>10.69</v>
      </c>
      <c r="E485">
        <v>20</v>
      </c>
      <c r="F485">
        <v>10</v>
      </c>
      <c r="G485" s="21">
        <f t="shared" si="254"/>
        <v>14.492753623188417</v>
      </c>
      <c r="H485" s="6">
        <v>44972</v>
      </c>
      <c r="I485" s="29">
        <v>11.35</v>
      </c>
      <c r="J485" s="30">
        <f t="shared" si="249"/>
        <v>6.1739943872778369E-2</v>
      </c>
      <c r="K485" s="35">
        <f t="shared" si="250"/>
        <v>462</v>
      </c>
      <c r="L485" s="21">
        <f t="shared" si="237"/>
        <v>1</v>
      </c>
      <c r="M485" s="9">
        <f t="shared" si="251"/>
        <v>1</v>
      </c>
      <c r="N485">
        <f t="shared" si="252"/>
        <v>462</v>
      </c>
      <c r="O485">
        <f t="shared" si="253"/>
        <v>0</v>
      </c>
      <c r="R485" s="28">
        <v>4020.07</v>
      </c>
    </row>
    <row r="486" spans="1:18">
      <c r="A486" s="6">
        <v>44970</v>
      </c>
      <c r="B486" s="55" t="s">
        <v>516</v>
      </c>
      <c r="C486" s="57">
        <v>21</v>
      </c>
      <c r="D486">
        <v>58.5</v>
      </c>
      <c r="E486" s="29">
        <v>80</v>
      </c>
      <c r="F486" s="50">
        <v>45</v>
      </c>
      <c r="G486" s="21">
        <f xml:space="preserve"> (E486 - F486)/(D486-F486)</f>
        <v>2.5925925925925926</v>
      </c>
      <c r="H486" s="6">
        <v>45103</v>
      </c>
      <c r="I486" s="29">
        <v>59.99</v>
      </c>
      <c r="J486" s="30">
        <f>I486/D486 -1</f>
        <v>2.5470085470085557E-2</v>
      </c>
      <c r="K486" s="35">
        <f>(C486*I486) - (C486*D486)</f>
        <v>31.289999999999964</v>
      </c>
      <c r="L486" s="21">
        <f t="shared" si="237"/>
        <v>133</v>
      </c>
      <c r="M486" s="9">
        <f>IF(J486&gt;0,1,0)</f>
        <v>1</v>
      </c>
      <c r="N486">
        <f>IF(K486&gt;0, K486, 0)</f>
        <v>31.289999999999964</v>
      </c>
      <c r="O486">
        <f>IF(K486&lt;0, K486, 0)</f>
        <v>0</v>
      </c>
      <c r="R486" s="28"/>
    </row>
    <row r="487" spans="1:18">
      <c r="A487" s="6">
        <v>44970</v>
      </c>
      <c r="B487" s="55" t="s">
        <v>516</v>
      </c>
      <c r="C487" s="57">
        <v>79</v>
      </c>
      <c r="D487">
        <v>58.5</v>
      </c>
      <c r="E487" s="29">
        <v>80</v>
      </c>
      <c r="F487" s="50">
        <v>45</v>
      </c>
      <c r="G487" s="21">
        <f t="shared" si="254"/>
        <v>2.5925925925925926</v>
      </c>
      <c r="H487" s="6">
        <v>45103</v>
      </c>
      <c r="I487" s="29">
        <v>59.99</v>
      </c>
      <c r="J487" s="30">
        <f>I487/D487 -1</f>
        <v>2.5470085470085557E-2</v>
      </c>
      <c r="K487" s="35">
        <f>(C487*I487) - (C487*D487)</f>
        <v>117.71000000000004</v>
      </c>
      <c r="L487" s="21">
        <f t="shared" si="237"/>
        <v>133</v>
      </c>
      <c r="M487" s="9">
        <f>IF(J487&gt;0,1,0)</f>
        <v>1</v>
      </c>
      <c r="N487">
        <f>IF(K487&gt;0, K487, 0)</f>
        <v>117.71000000000004</v>
      </c>
      <c r="O487">
        <f>IF(K487&lt;0, K487, 0)</f>
        <v>0</v>
      </c>
    </row>
    <row r="488" spans="1:18">
      <c r="A488" s="6">
        <v>44970</v>
      </c>
      <c r="B488" s="1" t="s">
        <v>228</v>
      </c>
      <c r="C488" s="9">
        <v>7</v>
      </c>
      <c r="D488">
        <v>166.09</v>
      </c>
      <c r="E488" s="29">
        <v>178</v>
      </c>
      <c r="F488" s="50">
        <v>160</v>
      </c>
      <c r="G488" s="21">
        <f t="shared" si="254"/>
        <v>2.95566502463054</v>
      </c>
      <c r="H488" s="6">
        <v>44981</v>
      </c>
      <c r="I488" s="16">
        <v>160.29</v>
      </c>
      <c r="J488" s="25">
        <f t="shared" ref="J488:J493" si="255">I488/D488 -1</f>
        <v>-3.492082605816127E-2</v>
      </c>
      <c r="K488" s="36">
        <f t="shared" ref="K488:K493" si="256">(C488*I488) - (C488*D488)</f>
        <v>-40.600000000000136</v>
      </c>
      <c r="L488" s="21">
        <f t="shared" si="237"/>
        <v>11</v>
      </c>
      <c r="M488" s="9">
        <f t="shared" ref="M488:M493" si="257">IF(J488&gt;0,1,0)</f>
        <v>0</v>
      </c>
      <c r="N488">
        <f t="shared" ref="N488:N493" si="258">IF(K488&gt;0, K488, 0)</f>
        <v>0</v>
      </c>
      <c r="O488">
        <f t="shared" ref="O488:O493" si="259">IF(K488&lt;0, K488, 0)</f>
        <v>-40.600000000000136</v>
      </c>
    </row>
    <row r="489" spans="1:18">
      <c r="A489" s="6">
        <v>44970</v>
      </c>
      <c r="B489" s="1" t="s">
        <v>84</v>
      </c>
      <c r="C489" s="9">
        <v>16</v>
      </c>
      <c r="D489">
        <v>83.71</v>
      </c>
      <c r="E489" s="29">
        <v>110</v>
      </c>
      <c r="F489" s="50">
        <v>76</v>
      </c>
      <c r="G489" s="21">
        <f t="shared" si="254"/>
        <v>4.4098573281452698</v>
      </c>
      <c r="H489" s="6">
        <v>44972</v>
      </c>
      <c r="I489" s="16">
        <v>77.34</v>
      </c>
      <c r="J489" s="25">
        <f t="shared" si="255"/>
        <v>-7.6096045872655504E-2</v>
      </c>
      <c r="K489" s="36">
        <f t="shared" si="256"/>
        <v>-101.91999999999985</v>
      </c>
      <c r="L489" s="21">
        <f t="shared" si="237"/>
        <v>2</v>
      </c>
      <c r="M489" s="9">
        <f t="shared" si="257"/>
        <v>0</v>
      </c>
      <c r="N489">
        <f t="shared" si="258"/>
        <v>0</v>
      </c>
      <c r="O489">
        <f t="shared" si="259"/>
        <v>-101.91999999999985</v>
      </c>
    </row>
    <row r="490" spans="1:18">
      <c r="A490" s="6">
        <v>44970</v>
      </c>
      <c r="B490" s="1" t="s">
        <v>213</v>
      </c>
      <c r="C490" s="9">
        <v>98</v>
      </c>
      <c r="D490">
        <v>71.260000000000005</v>
      </c>
      <c r="E490" s="29">
        <v>75</v>
      </c>
      <c r="F490" s="50">
        <v>70</v>
      </c>
      <c r="G490" s="21">
        <f t="shared" si="254"/>
        <v>3.9682539682539519</v>
      </c>
      <c r="H490" s="6">
        <v>44980</v>
      </c>
      <c r="I490" s="29">
        <v>72.41</v>
      </c>
      <c r="J490" s="30">
        <f t="shared" si="255"/>
        <v>1.6138085882682951E-2</v>
      </c>
      <c r="K490" s="35">
        <f t="shared" si="256"/>
        <v>112.69999999999891</v>
      </c>
      <c r="L490" s="21">
        <f t="shared" si="237"/>
        <v>10</v>
      </c>
      <c r="M490" s="9">
        <f t="shared" si="257"/>
        <v>1</v>
      </c>
      <c r="N490">
        <f t="shared" si="258"/>
        <v>112.69999999999891</v>
      </c>
      <c r="O490">
        <f t="shared" si="259"/>
        <v>0</v>
      </c>
      <c r="R490" s="28">
        <v>3933.49</v>
      </c>
    </row>
    <row r="491" spans="1:18">
      <c r="A491" s="6">
        <v>44967</v>
      </c>
      <c r="B491" s="1" t="s">
        <v>231</v>
      </c>
      <c r="C491" s="9">
        <v>89</v>
      </c>
      <c r="D491">
        <v>82.11</v>
      </c>
      <c r="E491" s="29">
        <v>100</v>
      </c>
      <c r="F491" s="50">
        <v>70</v>
      </c>
      <c r="G491" s="21">
        <f t="shared" si="254"/>
        <v>2.4772914946325351</v>
      </c>
      <c r="H491" s="6">
        <v>44974</v>
      </c>
      <c r="I491" s="16">
        <v>80</v>
      </c>
      <c r="J491" s="25">
        <f t="shared" si="255"/>
        <v>-2.5697235415905517E-2</v>
      </c>
      <c r="K491" s="36">
        <f t="shared" si="256"/>
        <v>-187.78999999999996</v>
      </c>
      <c r="L491" s="21">
        <f t="shared" si="237"/>
        <v>7</v>
      </c>
      <c r="M491" s="9">
        <f t="shared" si="257"/>
        <v>0</v>
      </c>
      <c r="N491">
        <f t="shared" si="258"/>
        <v>0</v>
      </c>
      <c r="O491">
        <f t="shared" si="259"/>
        <v>-187.78999999999996</v>
      </c>
    </row>
    <row r="492" spans="1:18">
      <c r="A492" s="6">
        <v>44967</v>
      </c>
      <c r="B492" s="1" t="s">
        <v>57</v>
      </c>
      <c r="C492" s="9">
        <v>26</v>
      </c>
      <c r="D492">
        <v>296.36</v>
      </c>
      <c r="E492" s="29">
        <v>315</v>
      </c>
      <c r="F492" s="50">
        <v>284</v>
      </c>
      <c r="G492" s="21">
        <f t="shared" si="254"/>
        <v>2.5080906148867288</v>
      </c>
      <c r="H492" s="6">
        <v>44971</v>
      </c>
      <c r="I492" s="29">
        <v>299.69</v>
      </c>
      <c r="J492" s="30">
        <f t="shared" si="255"/>
        <v>1.1236334188149399E-2</v>
      </c>
      <c r="K492" s="35">
        <f t="shared" si="256"/>
        <v>86.579999999999018</v>
      </c>
      <c r="L492" s="21">
        <f t="shared" si="237"/>
        <v>4</v>
      </c>
      <c r="M492" s="9">
        <f t="shared" si="257"/>
        <v>1</v>
      </c>
      <c r="N492">
        <f t="shared" si="258"/>
        <v>86.579999999999018</v>
      </c>
      <c r="O492">
        <f t="shared" si="259"/>
        <v>0</v>
      </c>
    </row>
    <row r="493" spans="1:18">
      <c r="A493" s="6">
        <v>44967</v>
      </c>
      <c r="B493" s="55" t="s">
        <v>286</v>
      </c>
      <c r="C493" s="57">
        <v>100</v>
      </c>
      <c r="D493">
        <v>9.4</v>
      </c>
      <c r="E493" s="29">
        <v>15</v>
      </c>
      <c r="F493" s="50">
        <v>4.7</v>
      </c>
      <c r="G493" s="21">
        <f t="shared" si="254"/>
        <v>2.1914893617021276</v>
      </c>
      <c r="H493" s="6">
        <v>45034</v>
      </c>
      <c r="I493" s="29">
        <v>11.3</v>
      </c>
      <c r="J493" s="30">
        <f t="shared" si="255"/>
        <v>0.2021276595744681</v>
      </c>
      <c r="K493" s="35">
        <f t="shared" si="256"/>
        <v>190</v>
      </c>
      <c r="L493" s="24">
        <f t="shared" si="237"/>
        <v>67</v>
      </c>
      <c r="M493" s="52">
        <f t="shared" si="257"/>
        <v>1</v>
      </c>
      <c r="N493" s="24">
        <f t="shared" si="258"/>
        <v>190</v>
      </c>
      <c r="O493">
        <f t="shared" si="259"/>
        <v>0</v>
      </c>
      <c r="R493" s="28">
        <v>3849.51</v>
      </c>
    </row>
    <row r="494" spans="1:18">
      <c r="A494" s="6">
        <v>44966</v>
      </c>
      <c r="B494" s="55" t="s">
        <v>87</v>
      </c>
      <c r="C494" s="57">
        <v>100</v>
      </c>
      <c r="D494">
        <v>35</v>
      </c>
      <c r="E494" s="29">
        <v>95</v>
      </c>
      <c r="F494" s="50">
        <v>17</v>
      </c>
      <c r="G494" s="21">
        <f t="shared" si="254"/>
        <v>4.333333333333333</v>
      </c>
      <c r="H494" s="6">
        <v>45086</v>
      </c>
      <c r="I494" s="29">
        <v>42.2</v>
      </c>
      <c r="J494" s="30">
        <f>I494/D494 -1</f>
        <v>0.20571428571428574</v>
      </c>
      <c r="K494" s="35">
        <f>(C494*I494) - (C494*D494)</f>
        <v>720</v>
      </c>
      <c r="L494" s="24">
        <f t="shared" si="237"/>
        <v>120</v>
      </c>
      <c r="M494" s="52">
        <f>IF(J494&gt;0,1,0)</f>
        <v>1</v>
      </c>
      <c r="N494" s="24">
        <f>IF(K494&gt;0, K494, 0)</f>
        <v>720</v>
      </c>
      <c r="O494">
        <f>IF(K494&lt;0, K494, 0)</f>
        <v>0</v>
      </c>
      <c r="R494" s="64">
        <v>4301.1899999999996</v>
      </c>
    </row>
    <row r="495" spans="1:18">
      <c r="A495" s="6">
        <v>44965</v>
      </c>
      <c r="B495" s="1" t="s">
        <v>447</v>
      </c>
      <c r="C495" s="9">
        <v>95</v>
      </c>
      <c r="D495">
        <v>211.88</v>
      </c>
      <c r="E495" s="29">
        <v>250</v>
      </c>
      <c r="F495" s="50">
        <v>200</v>
      </c>
      <c r="G495" s="21">
        <f xml:space="preserve"> (E495 - F495)/(D495-F495)</f>
        <v>4.2087542087542102</v>
      </c>
      <c r="H495" s="6"/>
      <c r="I495" s="29"/>
      <c r="J495" s="30"/>
      <c r="K495" s="35"/>
      <c r="L495" s="24"/>
      <c r="M495" s="52"/>
      <c r="N495" s="24"/>
      <c r="R495" s="29"/>
    </row>
    <row r="496" spans="1:18">
      <c r="A496" s="6">
        <v>44965</v>
      </c>
      <c r="B496" s="1" t="s">
        <v>447</v>
      </c>
      <c r="C496" s="9">
        <v>9</v>
      </c>
      <c r="D496">
        <v>235.01</v>
      </c>
      <c r="E496" s="29">
        <v>250</v>
      </c>
      <c r="F496" s="50">
        <v>200</v>
      </c>
      <c r="G496" s="21">
        <f xml:space="preserve"> (E496 - F496)/(D496-F496)</f>
        <v>1.4281633818908888</v>
      </c>
      <c r="H496" s="6">
        <v>45146</v>
      </c>
      <c r="I496" s="16">
        <v>135.5</v>
      </c>
      <c r="J496" s="25">
        <f>I496/D496 -1</f>
        <v>-0.42342879026424407</v>
      </c>
      <c r="K496" s="36">
        <f>(C496*I496) - (C496*D496)</f>
        <v>-895.59000000000015</v>
      </c>
      <c r="L496" s="21">
        <f t="shared" ref="L496:L510" si="260">H496-A496</f>
        <v>181</v>
      </c>
      <c r="M496" s="9">
        <f>IF(J496&gt;0,1,0)</f>
        <v>0</v>
      </c>
      <c r="N496">
        <f>IF(K496&gt;0, K496, 0)</f>
        <v>0</v>
      </c>
      <c r="O496">
        <f>IF(K496&lt;0, K496, 0)</f>
        <v>-895.59000000000015</v>
      </c>
      <c r="R496" s="29"/>
    </row>
    <row r="497" spans="1:18">
      <c r="A497" s="6">
        <v>44965</v>
      </c>
      <c r="B497" s="1" t="s">
        <v>447</v>
      </c>
      <c r="C497" s="9">
        <v>4</v>
      </c>
      <c r="D497">
        <v>235.01</v>
      </c>
      <c r="E497" s="29">
        <v>250</v>
      </c>
      <c r="F497" s="50">
        <v>200</v>
      </c>
      <c r="G497" s="21">
        <f t="shared" si="254"/>
        <v>1.4281633818908888</v>
      </c>
      <c r="H497" s="6">
        <v>45089</v>
      </c>
      <c r="I497" s="16">
        <v>160.69999999999999</v>
      </c>
      <c r="J497" s="25">
        <f t="shared" ref="J497:J502" si="261">I497/D497 -1</f>
        <v>-0.31619931066763118</v>
      </c>
      <c r="K497" s="36">
        <f t="shared" ref="K497:K502" si="262">(C497*I497) - (C497*D497)</f>
        <v>-297.24</v>
      </c>
      <c r="L497" s="21">
        <f t="shared" si="260"/>
        <v>124</v>
      </c>
      <c r="M497" s="9">
        <f t="shared" ref="M497:M502" si="263">IF(J497&gt;0,1,0)</f>
        <v>0</v>
      </c>
      <c r="N497">
        <f t="shared" ref="N497:N502" si="264">IF(K497&gt;0, K497, 0)</f>
        <v>0</v>
      </c>
      <c r="O497">
        <f t="shared" ref="O497:O502" si="265">IF(K497&lt;0, K497, 0)</f>
        <v>-297.24</v>
      </c>
    </row>
    <row r="498" spans="1:18">
      <c r="A498" s="6">
        <v>44965</v>
      </c>
      <c r="B498" s="1" t="s">
        <v>447</v>
      </c>
      <c r="C498" s="9">
        <v>2</v>
      </c>
      <c r="D498">
        <v>235.01</v>
      </c>
      <c r="E498" s="29">
        <v>250</v>
      </c>
      <c r="F498" s="50">
        <v>200</v>
      </c>
      <c r="G498" s="21">
        <f xml:space="preserve"> (E498 - F498)/(D498-F498)</f>
        <v>1.4281633818908888</v>
      </c>
      <c r="H498" s="6">
        <v>45089</v>
      </c>
      <c r="I498" s="16">
        <v>176.05</v>
      </c>
      <c r="J498" s="25">
        <f t="shared" si="261"/>
        <v>-0.25088294115144028</v>
      </c>
      <c r="K498" s="36">
        <f t="shared" si="262"/>
        <v>-117.91999999999996</v>
      </c>
      <c r="L498" s="21">
        <f t="shared" si="260"/>
        <v>124</v>
      </c>
      <c r="M498" s="9">
        <f t="shared" si="263"/>
        <v>0</v>
      </c>
      <c r="N498">
        <f t="shared" si="264"/>
        <v>0</v>
      </c>
      <c r="O498">
        <f t="shared" si="265"/>
        <v>-117.91999999999996</v>
      </c>
    </row>
    <row r="499" spans="1:18">
      <c r="A499" s="6">
        <v>44965</v>
      </c>
      <c r="B499" s="1" t="s">
        <v>447</v>
      </c>
      <c r="C499" s="9">
        <v>3</v>
      </c>
      <c r="D499">
        <v>235.01</v>
      </c>
      <c r="E499" s="29">
        <v>250</v>
      </c>
      <c r="F499" s="50">
        <v>200</v>
      </c>
      <c r="G499" s="21">
        <f xml:space="preserve"> (E499 - F499)/(D499-F499)</f>
        <v>1.4281633818908888</v>
      </c>
      <c r="H499" s="6">
        <v>45085</v>
      </c>
      <c r="I499" s="16">
        <v>175</v>
      </c>
      <c r="J499" s="25">
        <f t="shared" si="261"/>
        <v>-0.2553508361346325</v>
      </c>
      <c r="K499" s="36">
        <f t="shared" si="262"/>
        <v>-180.02999999999997</v>
      </c>
      <c r="L499" s="21">
        <f t="shared" si="260"/>
        <v>120</v>
      </c>
      <c r="M499" s="9">
        <f t="shared" si="263"/>
        <v>0</v>
      </c>
      <c r="N499">
        <f t="shared" si="264"/>
        <v>0</v>
      </c>
      <c r="O499">
        <f t="shared" si="265"/>
        <v>-180.02999999999997</v>
      </c>
    </row>
    <row r="500" spans="1:18">
      <c r="A500" s="6">
        <v>44965</v>
      </c>
      <c r="B500" s="1" t="s">
        <v>447</v>
      </c>
      <c r="C500" s="9">
        <v>2</v>
      </c>
      <c r="D500">
        <v>235.01</v>
      </c>
      <c r="E500" s="29">
        <v>250</v>
      </c>
      <c r="F500" s="50">
        <v>200</v>
      </c>
      <c r="G500" s="21">
        <f t="shared" si="254"/>
        <v>1.4281633818908888</v>
      </c>
      <c r="H500" s="6">
        <v>45079</v>
      </c>
      <c r="I500" s="16">
        <v>182.3</v>
      </c>
      <c r="J500" s="25">
        <f t="shared" si="261"/>
        <v>-0.22428832815624855</v>
      </c>
      <c r="K500" s="36">
        <f t="shared" si="262"/>
        <v>-105.41999999999996</v>
      </c>
      <c r="L500" s="21">
        <f t="shared" si="260"/>
        <v>114</v>
      </c>
      <c r="M500" s="9">
        <f t="shared" si="263"/>
        <v>0</v>
      </c>
      <c r="N500">
        <f t="shared" si="264"/>
        <v>0</v>
      </c>
      <c r="O500">
        <f t="shared" si="265"/>
        <v>-105.41999999999996</v>
      </c>
    </row>
    <row r="501" spans="1:18">
      <c r="A501" s="6">
        <v>44965</v>
      </c>
      <c r="B501" s="1" t="s">
        <v>447</v>
      </c>
      <c r="C501" s="9">
        <v>1</v>
      </c>
      <c r="D501">
        <v>235.01</v>
      </c>
      <c r="E501" s="29">
        <v>250</v>
      </c>
      <c r="F501" s="50">
        <v>200</v>
      </c>
      <c r="G501" s="21">
        <f xml:space="preserve"> (E501 - F501)/(D501-F501)</f>
        <v>1.4281633818908888</v>
      </c>
      <c r="H501" s="6">
        <v>45077</v>
      </c>
      <c r="I501" s="16">
        <v>172.38</v>
      </c>
      <c r="J501" s="25">
        <f t="shared" si="261"/>
        <v>-0.26649929790221694</v>
      </c>
      <c r="K501" s="36">
        <f t="shared" si="262"/>
        <v>-62.629999999999995</v>
      </c>
      <c r="L501" s="21">
        <f t="shared" si="260"/>
        <v>112</v>
      </c>
      <c r="M501" s="9">
        <f t="shared" si="263"/>
        <v>0</v>
      </c>
      <c r="N501">
        <f t="shared" si="264"/>
        <v>0</v>
      </c>
      <c r="O501">
        <f t="shared" si="265"/>
        <v>-62.629999999999995</v>
      </c>
    </row>
    <row r="502" spans="1:18">
      <c r="A502" s="6">
        <v>44965</v>
      </c>
      <c r="B502" s="1" t="s">
        <v>447</v>
      </c>
      <c r="C502" s="9">
        <v>2</v>
      </c>
      <c r="D502">
        <v>235.01</v>
      </c>
      <c r="E502" s="29">
        <v>250</v>
      </c>
      <c r="F502" s="50">
        <v>200</v>
      </c>
      <c r="G502" s="21">
        <f xml:space="preserve"> (E502 - F502)/(D502-F502)</f>
        <v>1.4281633818908888</v>
      </c>
      <c r="H502" s="6">
        <v>45070</v>
      </c>
      <c r="I502" s="16">
        <v>163.30000000000001</v>
      </c>
      <c r="J502" s="25">
        <f t="shared" si="261"/>
        <v>-0.30513595166163132</v>
      </c>
      <c r="K502" s="36">
        <f t="shared" si="262"/>
        <v>-143.41999999999996</v>
      </c>
      <c r="L502" s="21">
        <f t="shared" si="260"/>
        <v>105</v>
      </c>
      <c r="M502" s="9">
        <f t="shared" si="263"/>
        <v>0</v>
      </c>
      <c r="N502">
        <f t="shared" si="264"/>
        <v>0</v>
      </c>
      <c r="O502">
        <f t="shared" si="265"/>
        <v>-143.41999999999996</v>
      </c>
    </row>
    <row r="503" spans="1:18">
      <c r="A503" s="6">
        <v>44965</v>
      </c>
      <c r="B503" s="1" t="s">
        <v>180</v>
      </c>
      <c r="C503" s="9">
        <v>170</v>
      </c>
      <c r="D503">
        <v>42.35</v>
      </c>
      <c r="E503" s="29">
        <v>50</v>
      </c>
      <c r="F503" s="50">
        <v>41.33</v>
      </c>
      <c r="G503" s="21">
        <f t="shared" si="254"/>
        <v>8.4999999999999751</v>
      </c>
      <c r="H503" s="6">
        <v>44967</v>
      </c>
      <c r="I503" s="16">
        <v>41.01</v>
      </c>
      <c r="J503" s="25">
        <f t="shared" ref="J503:J510" si="266">I503/D503 -1</f>
        <v>-3.1641086186540823E-2</v>
      </c>
      <c r="K503" s="36">
        <f t="shared" ref="K503:K510" si="267">(C503*I503) - (C503*D503)</f>
        <v>-227.80000000000018</v>
      </c>
      <c r="L503" s="21">
        <f t="shared" si="260"/>
        <v>2</v>
      </c>
      <c r="M503" s="9">
        <f t="shared" ref="M503:M510" si="268">IF(J503&gt;0,1,0)</f>
        <v>0</v>
      </c>
      <c r="N503">
        <f t="shared" ref="N503:N510" si="269">IF(K503&gt;0, K503, 0)</f>
        <v>0</v>
      </c>
      <c r="O503">
        <f t="shared" ref="O503:O510" si="270">IF(K503&lt;0, K503, 0)</f>
        <v>-227.80000000000018</v>
      </c>
    </row>
    <row r="504" spans="1:18">
      <c r="A504" s="6">
        <v>44965</v>
      </c>
      <c r="B504" s="1" t="s">
        <v>316</v>
      </c>
      <c r="C504" s="9">
        <v>23</v>
      </c>
      <c r="D504">
        <v>366.47</v>
      </c>
      <c r="E504" s="29">
        <v>400</v>
      </c>
      <c r="F504" s="50">
        <v>341</v>
      </c>
      <c r="G504" s="21">
        <f t="shared" si="254"/>
        <v>2.3164507263447169</v>
      </c>
      <c r="H504" s="6">
        <v>44978</v>
      </c>
      <c r="I504" s="16">
        <v>341.06</v>
      </c>
      <c r="J504" s="25">
        <f t="shared" si="266"/>
        <v>-6.9337189947335398E-2</v>
      </c>
      <c r="K504" s="36">
        <f t="shared" si="267"/>
        <v>-584.4300000000012</v>
      </c>
      <c r="L504" s="21">
        <f t="shared" si="260"/>
        <v>13</v>
      </c>
      <c r="M504" s="9">
        <f t="shared" si="268"/>
        <v>0</v>
      </c>
      <c r="N504">
        <f t="shared" si="269"/>
        <v>0</v>
      </c>
      <c r="O504">
        <f t="shared" si="270"/>
        <v>-584.4300000000012</v>
      </c>
    </row>
    <row r="505" spans="1:18">
      <c r="A505" s="6">
        <v>44965</v>
      </c>
      <c r="B505" s="1" t="s">
        <v>519</v>
      </c>
      <c r="C505" s="9">
        <v>500</v>
      </c>
      <c r="D505">
        <v>36</v>
      </c>
      <c r="E505" s="29">
        <v>37.700000000000003</v>
      </c>
      <c r="F505" s="50">
        <v>35</v>
      </c>
      <c r="G505" s="21">
        <f t="shared" si="254"/>
        <v>2.7000000000000028</v>
      </c>
      <c r="H505" s="6">
        <v>45021</v>
      </c>
      <c r="I505" s="29">
        <v>36.340000000000003</v>
      </c>
      <c r="J505" s="30">
        <f t="shared" si="266"/>
        <v>9.4444444444445885E-3</v>
      </c>
      <c r="K505" s="35">
        <f t="shared" si="267"/>
        <v>170</v>
      </c>
      <c r="L505" s="21">
        <f t="shared" si="260"/>
        <v>56</v>
      </c>
      <c r="M505" s="9">
        <f t="shared" si="268"/>
        <v>1</v>
      </c>
      <c r="N505">
        <f t="shared" si="269"/>
        <v>170</v>
      </c>
      <c r="O505">
        <f t="shared" si="270"/>
        <v>0</v>
      </c>
      <c r="R505" s="28">
        <v>3861.19</v>
      </c>
    </row>
    <row r="506" spans="1:18">
      <c r="A506" s="6">
        <v>44964</v>
      </c>
      <c r="B506" s="1" t="s">
        <v>227</v>
      </c>
      <c r="C506" s="9">
        <v>23</v>
      </c>
      <c r="D506">
        <v>376.08</v>
      </c>
      <c r="E506" s="29">
        <v>450</v>
      </c>
      <c r="F506" s="50">
        <v>360</v>
      </c>
      <c r="G506" s="21">
        <f t="shared" si="254"/>
        <v>5.5970149253731396</v>
      </c>
      <c r="H506" s="6">
        <v>44974</v>
      </c>
      <c r="I506" s="16">
        <v>355.74</v>
      </c>
      <c r="J506" s="25">
        <f t="shared" si="266"/>
        <v>-5.408423739629864E-2</v>
      </c>
      <c r="K506" s="36">
        <f t="shared" si="267"/>
        <v>-467.81999999999971</v>
      </c>
      <c r="L506" s="21">
        <f t="shared" si="260"/>
        <v>10</v>
      </c>
      <c r="M506" s="9">
        <f t="shared" si="268"/>
        <v>0</v>
      </c>
      <c r="N506">
        <f t="shared" si="269"/>
        <v>0</v>
      </c>
      <c r="O506">
        <f t="shared" si="270"/>
        <v>-467.81999999999971</v>
      </c>
    </row>
    <row r="507" spans="1:18">
      <c r="A507" s="6">
        <v>44964</v>
      </c>
      <c r="B507" s="1" t="s">
        <v>436</v>
      </c>
      <c r="C507" s="9">
        <v>230</v>
      </c>
      <c r="D507">
        <v>36.15</v>
      </c>
      <c r="E507" s="29">
        <v>38</v>
      </c>
      <c r="F507" s="50">
        <v>34.24</v>
      </c>
      <c r="G507" s="21">
        <f t="shared" si="254"/>
        <v>1.9685863874345575</v>
      </c>
      <c r="H507" s="6">
        <v>44993</v>
      </c>
      <c r="I507" s="16">
        <v>33.909999999999997</v>
      </c>
      <c r="J507" s="25">
        <f t="shared" si="266"/>
        <v>-6.1964038727524318E-2</v>
      </c>
      <c r="K507" s="36">
        <f t="shared" si="267"/>
        <v>-515.20000000000073</v>
      </c>
      <c r="L507" s="21">
        <f t="shared" si="260"/>
        <v>29</v>
      </c>
      <c r="M507" s="9">
        <f t="shared" si="268"/>
        <v>0</v>
      </c>
      <c r="N507">
        <f t="shared" si="269"/>
        <v>0</v>
      </c>
      <c r="O507">
        <f t="shared" si="270"/>
        <v>-515.20000000000073</v>
      </c>
      <c r="R507" s="64">
        <v>4212.17</v>
      </c>
    </row>
    <row r="508" spans="1:18">
      <c r="A508" s="6">
        <v>44963</v>
      </c>
      <c r="B508" s="1" t="s">
        <v>349</v>
      </c>
      <c r="C508" s="9">
        <v>17</v>
      </c>
      <c r="D508">
        <v>484.51</v>
      </c>
      <c r="E508" s="29">
        <v>550</v>
      </c>
      <c r="F508" s="50">
        <v>475</v>
      </c>
      <c r="G508" s="21">
        <f t="shared" si="254"/>
        <v>7.8864353312302917</v>
      </c>
      <c r="H508" s="6">
        <v>44964</v>
      </c>
      <c r="I508" s="16">
        <v>474.03</v>
      </c>
      <c r="J508" s="25">
        <f t="shared" si="266"/>
        <v>-2.1630100513921335E-2</v>
      </c>
      <c r="K508" s="36">
        <f t="shared" si="267"/>
        <v>-178.16000000000076</v>
      </c>
      <c r="L508" s="21">
        <f t="shared" si="260"/>
        <v>1</v>
      </c>
      <c r="M508" s="9">
        <f t="shared" si="268"/>
        <v>0</v>
      </c>
      <c r="N508">
        <f t="shared" si="269"/>
        <v>0</v>
      </c>
      <c r="O508">
        <f t="shared" si="270"/>
        <v>-178.16000000000076</v>
      </c>
      <c r="R508" s="28">
        <v>4189.43</v>
      </c>
    </row>
    <row r="509" spans="1:18">
      <c r="A509" s="6">
        <v>44960</v>
      </c>
      <c r="B509" s="1" t="s">
        <v>40</v>
      </c>
      <c r="C509" s="9">
        <v>14</v>
      </c>
      <c r="D509">
        <v>99.61</v>
      </c>
      <c r="E509" s="29">
        <v>110</v>
      </c>
      <c r="F509" s="50">
        <v>96</v>
      </c>
      <c r="G509" s="21">
        <f t="shared" si="254"/>
        <v>3.8781163434903054</v>
      </c>
      <c r="H509" s="6">
        <v>44967</v>
      </c>
      <c r="I509" s="29">
        <v>107</v>
      </c>
      <c r="J509" s="30">
        <f t="shared" si="266"/>
        <v>7.4189338419837325E-2</v>
      </c>
      <c r="K509" s="35">
        <f t="shared" si="267"/>
        <v>103.46000000000004</v>
      </c>
      <c r="L509" s="21">
        <f t="shared" si="260"/>
        <v>7</v>
      </c>
      <c r="M509" s="9">
        <f t="shared" si="268"/>
        <v>1</v>
      </c>
      <c r="N509">
        <f t="shared" si="269"/>
        <v>103.46000000000004</v>
      </c>
      <c r="O509">
        <f t="shared" si="270"/>
        <v>0</v>
      </c>
    </row>
    <row r="510" spans="1:18">
      <c r="A510" s="6">
        <v>44960</v>
      </c>
      <c r="B510" s="1" t="s">
        <v>428</v>
      </c>
      <c r="C510" s="9">
        <v>230</v>
      </c>
      <c r="D510">
        <v>32.08</v>
      </c>
      <c r="E510" s="29">
        <v>45</v>
      </c>
      <c r="F510" s="50">
        <v>29.6</v>
      </c>
      <c r="G510" s="21">
        <f t="shared" si="254"/>
        <v>6.2096774193548461</v>
      </c>
      <c r="H510" s="6">
        <v>44965</v>
      </c>
      <c r="I510" s="16">
        <v>29.6</v>
      </c>
      <c r="J510" s="25">
        <f t="shared" si="266"/>
        <v>-7.7306733167082253E-2</v>
      </c>
      <c r="K510" s="36">
        <f t="shared" si="267"/>
        <v>-570.39999999999964</v>
      </c>
      <c r="L510" s="21">
        <f t="shared" si="260"/>
        <v>5</v>
      </c>
      <c r="M510" s="9">
        <f t="shared" si="268"/>
        <v>0</v>
      </c>
      <c r="N510">
        <f t="shared" si="269"/>
        <v>0</v>
      </c>
      <c r="O510">
        <f t="shared" si="270"/>
        <v>-570.39999999999964</v>
      </c>
    </row>
    <row r="511" spans="1:18">
      <c r="A511" s="6">
        <v>44960</v>
      </c>
      <c r="B511" s="55" t="s">
        <v>284</v>
      </c>
      <c r="C511" s="57">
        <v>200</v>
      </c>
      <c r="D511">
        <v>10.6</v>
      </c>
      <c r="E511" s="29">
        <v>55</v>
      </c>
      <c r="F511" s="50">
        <v>4</v>
      </c>
      <c r="G511" s="21">
        <f t="shared" si="254"/>
        <v>7.7272727272727275</v>
      </c>
      <c r="J511" s="30"/>
      <c r="K511" s="38"/>
      <c r="L511" s="37"/>
      <c r="N511" s="38"/>
      <c r="R511" s="28">
        <v>3467.03</v>
      </c>
    </row>
    <row r="512" spans="1:18">
      <c r="A512" s="6">
        <v>44959</v>
      </c>
      <c r="B512" s="1" t="s">
        <v>445</v>
      </c>
      <c r="C512" s="9">
        <v>8</v>
      </c>
      <c r="D512">
        <v>129.6</v>
      </c>
      <c r="E512" s="29">
        <v>140</v>
      </c>
      <c r="F512" s="50">
        <v>119.23</v>
      </c>
      <c r="G512" s="21">
        <f t="shared" si="254"/>
        <v>2.0028929604628751</v>
      </c>
      <c r="H512" s="6">
        <v>44980</v>
      </c>
      <c r="I512" s="16">
        <v>119.08</v>
      </c>
      <c r="J512" s="25">
        <f t="shared" ref="J512:J517" si="271">I512/D512 -1</f>
        <v>-8.1172839506172823E-2</v>
      </c>
      <c r="K512" s="36">
        <f t="shared" ref="K512:K517" si="272">(C512*I512) - (C512*D512)</f>
        <v>-84.159999999999968</v>
      </c>
      <c r="L512" s="21">
        <f t="shared" ref="L512:L543" si="273">H512-A512</f>
        <v>21</v>
      </c>
      <c r="M512" s="9">
        <f t="shared" ref="M512:M517" si="274">IF(J512&gt;0,1,0)</f>
        <v>0</v>
      </c>
      <c r="N512">
        <f t="shared" ref="N512:N517" si="275">IF(K512&gt;0, K512, 0)</f>
        <v>0</v>
      </c>
      <c r="O512">
        <f t="shared" ref="O512:O517" si="276">IF(K512&lt;0, K512, 0)</f>
        <v>-84.159999999999968</v>
      </c>
    </row>
    <row r="513" spans="1:18">
      <c r="A513" s="6">
        <v>44959</v>
      </c>
      <c r="B513" s="1" t="s">
        <v>132</v>
      </c>
      <c r="C513" s="9">
        <v>2150</v>
      </c>
      <c r="D513">
        <v>3.85</v>
      </c>
      <c r="E513" s="29">
        <v>5</v>
      </c>
      <c r="F513" s="50">
        <v>3.54</v>
      </c>
      <c r="G513" s="21">
        <f t="shared" si="254"/>
        <v>4.7096774193548381</v>
      </c>
      <c r="H513" s="6">
        <v>44963</v>
      </c>
      <c r="I513" s="16">
        <v>3.68</v>
      </c>
      <c r="J513" s="25">
        <f t="shared" si="271"/>
        <v>-4.4155844155844171E-2</v>
      </c>
      <c r="K513" s="36">
        <f t="shared" si="272"/>
        <v>-365.5</v>
      </c>
      <c r="L513" s="21">
        <f t="shared" si="273"/>
        <v>4</v>
      </c>
      <c r="M513" s="9">
        <f t="shared" si="274"/>
        <v>0</v>
      </c>
      <c r="N513">
        <f t="shared" si="275"/>
        <v>0</v>
      </c>
      <c r="O513">
        <f t="shared" si="276"/>
        <v>-365.5</v>
      </c>
    </row>
    <row r="514" spans="1:18">
      <c r="A514" s="6">
        <v>44959</v>
      </c>
      <c r="B514" s="1" t="s">
        <v>23</v>
      </c>
      <c r="C514" s="9">
        <v>8</v>
      </c>
      <c r="D514">
        <v>85.51</v>
      </c>
      <c r="E514" s="29">
        <v>90</v>
      </c>
      <c r="F514" s="50">
        <v>79</v>
      </c>
      <c r="G514" s="21">
        <f t="shared" si="254"/>
        <v>1.6897081413210433</v>
      </c>
      <c r="H514" s="6">
        <v>45076</v>
      </c>
      <c r="I514" s="16">
        <v>71.3</v>
      </c>
      <c r="J514" s="25">
        <f t="shared" si="271"/>
        <v>-0.16617939422289796</v>
      </c>
      <c r="K514" s="36">
        <f t="shared" si="272"/>
        <v>-113.68000000000006</v>
      </c>
      <c r="L514" s="21">
        <f t="shared" si="273"/>
        <v>117</v>
      </c>
      <c r="M514" s="9">
        <f t="shared" si="274"/>
        <v>0</v>
      </c>
      <c r="N514">
        <f t="shared" si="275"/>
        <v>0</v>
      </c>
      <c r="O514">
        <f t="shared" si="276"/>
        <v>-113.68000000000006</v>
      </c>
    </row>
    <row r="515" spans="1:18">
      <c r="A515" s="6">
        <v>44959</v>
      </c>
      <c r="B515" s="1" t="s">
        <v>23</v>
      </c>
      <c r="C515" s="9">
        <v>32</v>
      </c>
      <c r="D515">
        <v>85.51</v>
      </c>
      <c r="E515" s="29">
        <v>90</v>
      </c>
      <c r="F515" s="50">
        <v>79</v>
      </c>
      <c r="G515" s="21">
        <f t="shared" si="254"/>
        <v>1.6897081413210433</v>
      </c>
      <c r="H515" s="6">
        <v>45093</v>
      </c>
      <c r="I515" s="16">
        <v>75.5</v>
      </c>
      <c r="J515" s="25">
        <f t="shared" si="271"/>
        <v>-0.1170623318910069</v>
      </c>
      <c r="K515" s="36">
        <f t="shared" si="272"/>
        <v>-320.32000000000016</v>
      </c>
      <c r="L515" s="21">
        <f t="shared" si="273"/>
        <v>134</v>
      </c>
      <c r="M515" s="9">
        <f t="shared" si="274"/>
        <v>0</v>
      </c>
      <c r="N515">
        <f t="shared" si="275"/>
        <v>0</v>
      </c>
      <c r="O515">
        <f t="shared" si="276"/>
        <v>-320.32000000000016</v>
      </c>
    </row>
    <row r="516" spans="1:18">
      <c r="A516" s="6">
        <v>44959</v>
      </c>
      <c r="B516" s="1" t="s">
        <v>23</v>
      </c>
      <c r="C516" s="9">
        <v>260</v>
      </c>
      <c r="D516">
        <v>85.51</v>
      </c>
      <c r="E516" s="29">
        <v>90</v>
      </c>
      <c r="F516" s="50">
        <v>79</v>
      </c>
      <c r="G516" s="21">
        <f xml:space="preserve"> (E516 - F516)/(D516-F516)</f>
        <v>1.6897081413210433</v>
      </c>
      <c r="H516" s="6">
        <v>45135</v>
      </c>
      <c r="I516" s="29">
        <v>86.25</v>
      </c>
      <c r="J516" s="30">
        <f t="shared" si="271"/>
        <v>8.6539586013332226E-3</v>
      </c>
      <c r="K516" s="35">
        <f t="shared" si="272"/>
        <v>192.39999999999782</v>
      </c>
      <c r="L516" s="21">
        <f t="shared" si="273"/>
        <v>176</v>
      </c>
      <c r="M516" s="9">
        <f t="shared" si="274"/>
        <v>1</v>
      </c>
      <c r="N516">
        <f t="shared" si="275"/>
        <v>192.39999999999782</v>
      </c>
      <c r="O516">
        <f t="shared" si="276"/>
        <v>0</v>
      </c>
    </row>
    <row r="517" spans="1:18">
      <c r="A517" s="6">
        <v>44959</v>
      </c>
      <c r="B517" s="1" t="s">
        <v>287</v>
      </c>
      <c r="C517" s="9">
        <v>260</v>
      </c>
      <c r="D517">
        <v>26.96</v>
      </c>
      <c r="E517" s="29">
        <v>30</v>
      </c>
      <c r="F517" s="50">
        <v>24.8</v>
      </c>
      <c r="G517" s="21">
        <f t="shared" si="254"/>
        <v>2.407407407407407</v>
      </c>
      <c r="H517" s="6">
        <v>45016</v>
      </c>
      <c r="I517" s="29">
        <v>28.07</v>
      </c>
      <c r="J517" s="30">
        <f t="shared" si="271"/>
        <v>4.117210682492578E-2</v>
      </c>
      <c r="K517" s="35">
        <f t="shared" si="272"/>
        <v>288.59999999999945</v>
      </c>
      <c r="L517" s="21">
        <f t="shared" si="273"/>
        <v>57</v>
      </c>
      <c r="M517" s="9">
        <f t="shared" si="274"/>
        <v>1</v>
      </c>
      <c r="N517">
        <f t="shared" si="275"/>
        <v>288.59999999999945</v>
      </c>
      <c r="O517">
        <f t="shared" si="276"/>
        <v>0</v>
      </c>
    </row>
    <row r="518" spans="1:18">
      <c r="A518" s="6">
        <v>44959</v>
      </c>
      <c r="B518" s="1" t="s">
        <v>507</v>
      </c>
      <c r="C518" s="9">
        <v>230</v>
      </c>
      <c r="D518">
        <v>34.35</v>
      </c>
      <c r="E518" s="29">
        <v>50</v>
      </c>
      <c r="F518" s="50">
        <v>31.6</v>
      </c>
      <c r="G518" s="21">
        <f t="shared" si="254"/>
        <v>6.6909090909090905</v>
      </c>
      <c r="H518" s="6">
        <v>44967</v>
      </c>
      <c r="I518" s="16">
        <v>31.71</v>
      </c>
      <c r="J518" s="25">
        <f t="shared" ref="J518:J525" si="277">I518/D518 -1</f>
        <v>-7.6855895196506596E-2</v>
      </c>
      <c r="K518" s="36">
        <f t="shared" ref="K518:K525" si="278">(C518*I518) - (C518*D518)</f>
        <v>-607.19999999999982</v>
      </c>
      <c r="L518" s="21">
        <f t="shared" si="273"/>
        <v>8</v>
      </c>
      <c r="M518" s="9">
        <f t="shared" ref="M518:M525" si="279">IF(J518&gt;0,1,0)</f>
        <v>0</v>
      </c>
      <c r="N518">
        <f t="shared" ref="N518:N525" si="280">IF(K518&gt;0, K518, 0)</f>
        <v>0</v>
      </c>
      <c r="O518">
        <f t="shared" ref="O518:O525" si="281">IF(K518&lt;0, K518, 0)</f>
        <v>-607.19999999999982</v>
      </c>
      <c r="R518" s="28">
        <v>3229.22</v>
      </c>
    </row>
    <row r="519" spans="1:18">
      <c r="A519" s="6">
        <v>44958</v>
      </c>
      <c r="B519" s="1" t="s">
        <v>505</v>
      </c>
      <c r="C519" s="9">
        <v>800</v>
      </c>
      <c r="D519">
        <v>1.85</v>
      </c>
      <c r="E519" s="29">
        <v>5</v>
      </c>
      <c r="F519" s="50">
        <v>0.9</v>
      </c>
      <c r="G519" s="21">
        <f t="shared" si="254"/>
        <v>4.3157894736842097</v>
      </c>
      <c r="H519" s="6">
        <v>44966</v>
      </c>
      <c r="I519" s="29">
        <v>2.4</v>
      </c>
      <c r="J519" s="30">
        <f t="shared" si="277"/>
        <v>0.29729729729729715</v>
      </c>
      <c r="K519" s="35">
        <f t="shared" si="278"/>
        <v>440</v>
      </c>
      <c r="L519" s="21">
        <f t="shared" si="273"/>
        <v>8</v>
      </c>
      <c r="M519" s="9">
        <f t="shared" si="279"/>
        <v>1</v>
      </c>
      <c r="N519">
        <f t="shared" si="280"/>
        <v>440</v>
      </c>
      <c r="O519">
        <f t="shared" si="281"/>
        <v>0</v>
      </c>
    </row>
    <row r="520" spans="1:18">
      <c r="A520" s="6">
        <v>44958</v>
      </c>
      <c r="B520" s="1" t="s">
        <v>316</v>
      </c>
      <c r="C520" s="9">
        <v>23</v>
      </c>
      <c r="D520">
        <v>357.73</v>
      </c>
      <c r="E520" s="29">
        <v>400</v>
      </c>
      <c r="F520" s="50">
        <v>341</v>
      </c>
      <c r="G520" s="21">
        <f t="shared" si="254"/>
        <v>3.5265989240884599</v>
      </c>
      <c r="H520" s="6">
        <v>44965</v>
      </c>
      <c r="I520" s="29">
        <v>367.27</v>
      </c>
      <c r="J520" s="30">
        <f t="shared" si="277"/>
        <v>2.6668157548989324E-2</v>
      </c>
      <c r="K520" s="35">
        <f t="shared" si="278"/>
        <v>219.41999999999825</v>
      </c>
      <c r="L520" s="21">
        <f t="shared" si="273"/>
        <v>7</v>
      </c>
      <c r="M520" s="9">
        <f t="shared" si="279"/>
        <v>1</v>
      </c>
      <c r="N520">
        <f t="shared" si="280"/>
        <v>219.41999999999825</v>
      </c>
      <c r="O520">
        <f t="shared" si="281"/>
        <v>0</v>
      </c>
      <c r="R520" s="28">
        <v>2114.06</v>
      </c>
    </row>
    <row r="521" spans="1:18">
      <c r="A521" s="6">
        <v>44957</v>
      </c>
      <c r="B521" s="1" t="s">
        <v>23</v>
      </c>
      <c r="C521" s="9">
        <v>8</v>
      </c>
      <c r="D521">
        <v>82.48</v>
      </c>
      <c r="E521" s="29">
        <v>95</v>
      </c>
      <c r="F521" s="50">
        <v>80</v>
      </c>
      <c r="G521" s="21">
        <f t="shared" si="254"/>
        <v>6.0483870967741842</v>
      </c>
      <c r="H521" s="6">
        <v>44985</v>
      </c>
      <c r="I521" s="16">
        <v>79.56</v>
      </c>
      <c r="J521" s="25">
        <f t="shared" si="277"/>
        <v>-3.5402521823472366E-2</v>
      </c>
      <c r="K521" s="36">
        <f t="shared" si="278"/>
        <v>-23.360000000000014</v>
      </c>
      <c r="L521" s="21">
        <f t="shared" si="273"/>
        <v>28</v>
      </c>
      <c r="M521" s="9">
        <f t="shared" si="279"/>
        <v>0</v>
      </c>
      <c r="N521">
        <f t="shared" si="280"/>
        <v>0</v>
      </c>
      <c r="O521">
        <f t="shared" si="281"/>
        <v>-23.360000000000014</v>
      </c>
    </row>
    <row r="522" spans="1:18">
      <c r="A522" s="6">
        <v>44957</v>
      </c>
      <c r="B522" s="1" t="s">
        <v>91</v>
      </c>
      <c r="C522" s="9">
        <v>14</v>
      </c>
      <c r="D522">
        <v>443.4</v>
      </c>
      <c r="E522" s="29">
        <v>550</v>
      </c>
      <c r="F522" s="50">
        <v>430</v>
      </c>
      <c r="G522" s="21">
        <f t="shared" si="254"/>
        <v>8.9552238805970301</v>
      </c>
      <c r="H522" s="6">
        <v>44967</v>
      </c>
      <c r="I522" s="29">
        <v>462.33</v>
      </c>
      <c r="J522" s="30">
        <f t="shared" si="277"/>
        <v>4.2692828146143391E-2</v>
      </c>
      <c r="K522" s="35">
        <f t="shared" si="278"/>
        <v>265.02000000000044</v>
      </c>
      <c r="L522" s="21">
        <f t="shared" si="273"/>
        <v>10</v>
      </c>
      <c r="M522" s="9">
        <f t="shared" si="279"/>
        <v>1</v>
      </c>
      <c r="N522">
        <f t="shared" si="280"/>
        <v>265.02000000000044</v>
      </c>
      <c r="O522">
        <f t="shared" si="281"/>
        <v>0</v>
      </c>
    </row>
    <row r="523" spans="1:18">
      <c r="A523" s="6">
        <v>44957</v>
      </c>
      <c r="B523" s="1" t="s">
        <v>75</v>
      </c>
      <c r="C523" s="9">
        <v>890</v>
      </c>
      <c r="D523">
        <v>8.7899999999999991</v>
      </c>
      <c r="E523" s="29">
        <v>10.5</v>
      </c>
      <c r="F523" s="50">
        <v>8</v>
      </c>
      <c r="G523" s="21">
        <f t="shared" si="254"/>
        <v>3.16455696202532</v>
      </c>
      <c r="H523" s="6">
        <v>44963</v>
      </c>
      <c r="I523" s="29">
        <v>8.9</v>
      </c>
      <c r="J523" s="30">
        <f t="shared" si="277"/>
        <v>1.2514220705347023E-2</v>
      </c>
      <c r="K523" s="35">
        <f t="shared" si="278"/>
        <v>97.900000000000546</v>
      </c>
      <c r="L523" s="21">
        <f t="shared" si="273"/>
        <v>6</v>
      </c>
      <c r="M523" s="9">
        <f t="shared" si="279"/>
        <v>1</v>
      </c>
      <c r="N523">
        <f t="shared" si="280"/>
        <v>97.900000000000546</v>
      </c>
      <c r="O523">
        <f t="shared" si="281"/>
        <v>0</v>
      </c>
      <c r="R523" s="28">
        <v>1401.06</v>
      </c>
    </row>
    <row r="524" spans="1:18">
      <c r="A524" s="6">
        <v>44956</v>
      </c>
      <c r="B524" s="1" t="s">
        <v>24</v>
      </c>
      <c r="C524" s="9">
        <v>14</v>
      </c>
      <c r="D524">
        <v>85.51</v>
      </c>
      <c r="E524" s="29">
        <v>95</v>
      </c>
      <c r="F524" s="50">
        <v>80</v>
      </c>
      <c r="G524" s="21">
        <f t="shared" ref="G524:G532" si="282" xml:space="preserve"> (E524 - F524)/(D524-F524)</f>
        <v>2.7223230490018122</v>
      </c>
      <c r="H524" s="6">
        <v>44967</v>
      </c>
      <c r="I524" s="29">
        <v>86.57</v>
      </c>
      <c r="J524" s="30">
        <f t="shared" si="277"/>
        <v>1.2396210969477073E-2</v>
      </c>
      <c r="K524" s="63">
        <f t="shared" si="278"/>
        <v>14.839999999999918</v>
      </c>
      <c r="L524" s="24">
        <f t="shared" si="273"/>
        <v>11</v>
      </c>
      <c r="M524" s="52">
        <f t="shared" si="279"/>
        <v>1</v>
      </c>
      <c r="N524" s="24">
        <f t="shared" si="280"/>
        <v>14.839999999999918</v>
      </c>
      <c r="O524">
        <f t="shared" si="281"/>
        <v>0</v>
      </c>
    </row>
    <row r="525" spans="1:18">
      <c r="A525" s="6">
        <v>44956</v>
      </c>
      <c r="B525" s="1" t="s">
        <v>310</v>
      </c>
      <c r="C525" s="9">
        <v>268</v>
      </c>
      <c r="D525">
        <v>4.74</v>
      </c>
      <c r="E525" s="29">
        <v>5.5</v>
      </c>
      <c r="F525" s="50">
        <v>3.5</v>
      </c>
      <c r="G525" s="21">
        <f t="shared" si="282"/>
        <v>1.6129032258064513</v>
      </c>
      <c r="H525" s="6">
        <v>45148</v>
      </c>
      <c r="I525" s="16">
        <v>2.63</v>
      </c>
      <c r="J525" s="25">
        <f t="shared" si="277"/>
        <v>-0.44514767932489452</v>
      </c>
      <c r="K525" s="36">
        <f t="shared" si="278"/>
        <v>-565.48000000000025</v>
      </c>
      <c r="L525" s="24">
        <f t="shared" si="273"/>
        <v>192</v>
      </c>
      <c r="M525" s="52">
        <f t="shared" si="279"/>
        <v>0</v>
      </c>
      <c r="N525" s="24">
        <f t="shared" si="280"/>
        <v>0</v>
      </c>
      <c r="O525">
        <f t="shared" si="281"/>
        <v>-565.48000000000025</v>
      </c>
    </row>
    <row r="526" spans="1:18">
      <c r="A526" s="6">
        <v>44956</v>
      </c>
      <c r="B526" s="1" t="s">
        <v>310</v>
      </c>
      <c r="C526" s="9">
        <v>38</v>
      </c>
      <c r="D526">
        <v>4.74</v>
      </c>
      <c r="E526" s="29">
        <v>5.5</v>
      </c>
      <c r="F526" s="50">
        <v>3.5</v>
      </c>
      <c r="G526" s="21">
        <f xml:space="preserve"> (E526 - F526)/(D526-F526)</f>
        <v>1.6129032258064513</v>
      </c>
      <c r="H526" s="6">
        <v>45082</v>
      </c>
      <c r="I526" s="16">
        <v>4</v>
      </c>
      <c r="J526" s="25">
        <f t="shared" ref="J526:J535" si="283">I526/D526 -1</f>
        <v>-0.1561181434599157</v>
      </c>
      <c r="K526" s="36">
        <f t="shared" ref="K526:K535" si="284">(C526*I526) - (C526*D526)</f>
        <v>-28.120000000000005</v>
      </c>
      <c r="L526" s="24">
        <f t="shared" si="273"/>
        <v>126</v>
      </c>
      <c r="M526" s="52">
        <f t="shared" ref="M526:M535" si="285">IF(J526&gt;0,1,0)</f>
        <v>0</v>
      </c>
      <c r="N526" s="24">
        <f t="shared" ref="N526:N535" si="286">IF(K526&gt;0, K526, 0)</f>
        <v>0</v>
      </c>
      <c r="O526">
        <f t="shared" ref="O526:O535" si="287">IF(K526&lt;0, K526, 0)</f>
        <v>-28.120000000000005</v>
      </c>
    </row>
    <row r="527" spans="1:18">
      <c r="A527" s="6">
        <v>44956</v>
      </c>
      <c r="B527" s="1" t="s">
        <v>227</v>
      </c>
      <c r="C527" s="9">
        <v>23</v>
      </c>
      <c r="D527">
        <v>366.1</v>
      </c>
      <c r="E527" s="29">
        <v>400</v>
      </c>
      <c r="F527" s="50">
        <v>350</v>
      </c>
      <c r="G527" s="21">
        <f t="shared" si="282"/>
        <v>3.1055900621117969</v>
      </c>
      <c r="H527" s="6">
        <v>44959</v>
      </c>
      <c r="I527" s="29">
        <v>389.52</v>
      </c>
      <c r="J527" s="30">
        <f t="shared" si="283"/>
        <v>6.3971592461076199E-2</v>
      </c>
      <c r="K527" s="35">
        <f t="shared" si="284"/>
        <v>538.65999999999804</v>
      </c>
      <c r="L527" s="21">
        <f t="shared" si="273"/>
        <v>3</v>
      </c>
      <c r="M527" s="9">
        <f t="shared" si="285"/>
        <v>1</v>
      </c>
      <c r="N527">
        <f t="shared" si="286"/>
        <v>538.65999999999804</v>
      </c>
      <c r="O527">
        <f t="shared" si="287"/>
        <v>0</v>
      </c>
    </row>
    <row r="528" spans="1:18">
      <c r="A528" s="6">
        <v>44956</v>
      </c>
      <c r="B528" s="55" t="s">
        <v>87</v>
      </c>
      <c r="C528" s="57">
        <v>100</v>
      </c>
      <c r="D528">
        <v>23</v>
      </c>
      <c r="E528" s="29">
        <v>115</v>
      </c>
      <c r="F528" s="50">
        <v>11</v>
      </c>
      <c r="G528" s="21">
        <f t="shared" si="282"/>
        <v>8.6666666666666661</v>
      </c>
      <c r="H528" s="6">
        <v>44963</v>
      </c>
      <c r="I528" s="29">
        <v>32.9</v>
      </c>
      <c r="J528" s="30">
        <f t="shared" si="283"/>
        <v>0.43043478260869561</v>
      </c>
      <c r="K528" s="35">
        <f t="shared" si="284"/>
        <v>990</v>
      </c>
      <c r="L528" s="21">
        <f t="shared" si="273"/>
        <v>7</v>
      </c>
      <c r="M528" s="9">
        <f t="shared" si="285"/>
        <v>1</v>
      </c>
      <c r="N528">
        <f t="shared" si="286"/>
        <v>990</v>
      </c>
      <c r="O528">
        <f t="shared" si="287"/>
        <v>0</v>
      </c>
    </row>
    <row r="529" spans="1:18">
      <c r="A529" s="6">
        <v>44956</v>
      </c>
      <c r="B529" s="1" t="s">
        <v>132</v>
      </c>
      <c r="C529" s="9">
        <v>2300</v>
      </c>
      <c r="D529">
        <v>3.44</v>
      </c>
      <c r="E529" s="29">
        <v>4.5</v>
      </c>
      <c r="F529" s="50">
        <v>3</v>
      </c>
      <c r="G529" s="21">
        <f t="shared" si="282"/>
        <v>3.4090909090909096</v>
      </c>
      <c r="H529" s="6">
        <v>44958</v>
      </c>
      <c r="I529" s="29">
        <v>3.75</v>
      </c>
      <c r="J529" s="30">
        <f t="shared" si="283"/>
        <v>9.011627906976738E-2</v>
      </c>
      <c r="K529" s="35">
        <f t="shared" si="284"/>
        <v>713</v>
      </c>
      <c r="L529" s="21">
        <f t="shared" si="273"/>
        <v>2</v>
      </c>
      <c r="M529" s="9">
        <f t="shared" si="285"/>
        <v>1</v>
      </c>
      <c r="N529">
        <f t="shared" si="286"/>
        <v>713</v>
      </c>
      <c r="O529">
        <f t="shared" si="287"/>
        <v>0</v>
      </c>
    </row>
    <row r="530" spans="1:18">
      <c r="A530" s="6">
        <v>44956</v>
      </c>
      <c r="B530" s="1" t="s">
        <v>19</v>
      </c>
      <c r="C530" s="9">
        <v>323</v>
      </c>
      <c r="D530">
        <v>15.55</v>
      </c>
      <c r="E530" s="29">
        <v>18</v>
      </c>
      <c r="F530" s="50">
        <v>15</v>
      </c>
      <c r="G530" s="21">
        <f t="shared" si="282"/>
        <v>5.4545454545454479</v>
      </c>
      <c r="H530" s="6">
        <v>44970</v>
      </c>
      <c r="I530" s="29">
        <v>15.81</v>
      </c>
      <c r="J530" s="30">
        <f t="shared" si="283"/>
        <v>1.6720257234726699E-2</v>
      </c>
      <c r="K530" s="35">
        <f t="shared" si="284"/>
        <v>83.979999999999563</v>
      </c>
      <c r="L530" s="24">
        <f t="shared" si="273"/>
        <v>14</v>
      </c>
      <c r="M530" s="52">
        <f t="shared" si="285"/>
        <v>1</v>
      </c>
      <c r="N530" s="24">
        <f t="shared" si="286"/>
        <v>83.979999999999563</v>
      </c>
      <c r="O530">
        <f t="shared" si="287"/>
        <v>0</v>
      </c>
      <c r="R530" s="28">
        <v>1151.78</v>
      </c>
    </row>
    <row r="531" spans="1:18">
      <c r="A531" s="6">
        <v>44953</v>
      </c>
      <c r="B531" s="1" t="s">
        <v>140</v>
      </c>
      <c r="C531" s="9">
        <v>4</v>
      </c>
      <c r="D531">
        <v>12.62</v>
      </c>
      <c r="E531" s="29">
        <v>14</v>
      </c>
      <c r="F531" s="50">
        <v>12</v>
      </c>
      <c r="G531" s="21">
        <f t="shared" si="282"/>
        <v>3.2258064516129075</v>
      </c>
      <c r="H531" s="6">
        <v>44993</v>
      </c>
      <c r="I531" s="16">
        <v>11.08</v>
      </c>
      <c r="J531" s="25">
        <f t="shared" si="283"/>
        <v>-0.12202852614896986</v>
      </c>
      <c r="K531" s="36">
        <f t="shared" si="284"/>
        <v>-6.1599999999999966</v>
      </c>
      <c r="L531" s="24">
        <f t="shared" si="273"/>
        <v>40</v>
      </c>
      <c r="M531" s="52">
        <f t="shared" si="285"/>
        <v>0</v>
      </c>
      <c r="N531" s="24">
        <f t="shared" si="286"/>
        <v>0</v>
      </c>
      <c r="O531">
        <f t="shared" si="287"/>
        <v>-6.1599999999999966</v>
      </c>
      <c r="R531" s="28"/>
    </row>
    <row r="532" spans="1:18">
      <c r="A532" s="6">
        <v>44953</v>
      </c>
      <c r="B532" s="1" t="s">
        <v>140</v>
      </c>
      <c r="C532" s="9">
        <v>224</v>
      </c>
      <c r="D532">
        <v>12.62</v>
      </c>
      <c r="E532" s="29">
        <v>14</v>
      </c>
      <c r="F532" s="50">
        <v>12</v>
      </c>
      <c r="G532" s="21">
        <f t="shared" si="282"/>
        <v>3.2258064516129075</v>
      </c>
      <c r="H532" s="6">
        <v>45079</v>
      </c>
      <c r="I532" s="29">
        <v>12.84</v>
      </c>
      <c r="J532" s="30">
        <f t="shared" si="283"/>
        <v>1.7432646592709933E-2</v>
      </c>
      <c r="K532" s="35">
        <f t="shared" si="284"/>
        <v>49.2800000000002</v>
      </c>
      <c r="L532" s="24">
        <f t="shared" si="273"/>
        <v>126</v>
      </c>
      <c r="M532" s="52">
        <f t="shared" si="285"/>
        <v>1</v>
      </c>
      <c r="N532" s="24">
        <f t="shared" si="286"/>
        <v>49.2800000000002</v>
      </c>
      <c r="O532">
        <f t="shared" si="287"/>
        <v>0</v>
      </c>
      <c r="R532" s="28"/>
    </row>
    <row r="533" spans="1:18">
      <c r="A533" s="6">
        <v>44953</v>
      </c>
      <c r="B533" s="1" t="s">
        <v>140</v>
      </c>
      <c r="C533" s="9">
        <v>11</v>
      </c>
      <c r="D533">
        <v>12.62</v>
      </c>
      <c r="E533" s="29">
        <v>14</v>
      </c>
      <c r="F533" s="50">
        <v>12</v>
      </c>
      <c r="G533" s="21">
        <f xml:space="preserve"> (E533 - F533)/(D533-F533)</f>
        <v>3.2258064516129075</v>
      </c>
      <c r="H533" s="6">
        <v>45065</v>
      </c>
      <c r="I533" s="16">
        <v>11.63</v>
      </c>
      <c r="J533" s="25">
        <f t="shared" si="283"/>
        <v>-7.8446909667194809E-2</v>
      </c>
      <c r="K533" s="36">
        <f t="shared" si="284"/>
        <v>-10.889999999999986</v>
      </c>
      <c r="L533" s="24">
        <f t="shared" si="273"/>
        <v>112</v>
      </c>
      <c r="M533" s="52">
        <f t="shared" si="285"/>
        <v>0</v>
      </c>
      <c r="N533" s="24">
        <f t="shared" si="286"/>
        <v>0</v>
      </c>
      <c r="O533">
        <f t="shared" si="287"/>
        <v>-10.889999999999986</v>
      </c>
      <c r="R533" s="28"/>
    </row>
    <row r="534" spans="1:18">
      <c r="A534" s="6">
        <v>44953</v>
      </c>
      <c r="B534" s="1" t="s">
        <v>140</v>
      </c>
      <c r="C534" s="9">
        <v>89</v>
      </c>
      <c r="D534">
        <v>12.62</v>
      </c>
      <c r="E534" s="29">
        <v>14</v>
      </c>
      <c r="F534" s="50">
        <v>12</v>
      </c>
      <c r="G534" s="21">
        <f xml:space="preserve"> (E534 - F534)/(D534-F534)</f>
        <v>3.2258064516129075</v>
      </c>
      <c r="H534" s="6">
        <v>45065</v>
      </c>
      <c r="I534" s="16">
        <v>11.62</v>
      </c>
      <c r="J534" s="25">
        <f t="shared" si="283"/>
        <v>-7.923930269413626E-2</v>
      </c>
      <c r="K534" s="36">
        <f t="shared" si="284"/>
        <v>-89</v>
      </c>
      <c r="L534" s="24">
        <f t="shared" si="273"/>
        <v>112</v>
      </c>
      <c r="M534" s="52">
        <f t="shared" si="285"/>
        <v>0</v>
      </c>
      <c r="N534" s="24">
        <f t="shared" si="286"/>
        <v>0</v>
      </c>
      <c r="O534">
        <f t="shared" si="287"/>
        <v>-89</v>
      </c>
      <c r="R534" s="28"/>
    </row>
    <row r="535" spans="1:18">
      <c r="A535" s="6">
        <v>44953</v>
      </c>
      <c r="B535" s="1" t="s">
        <v>140</v>
      </c>
      <c r="C535" s="9">
        <v>172</v>
      </c>
      <c r="D535">
        <v>12.62</v>
      </c>
      <c r="E535" s="29">
        <v>14</v>
      </c>
      <c r="F535" s="50">
        <v>12</v>
      </c>
      <c r="G535" s="21">
        <f t="shared" ref="G535:G540" si="288" xml:space="preserve"> (E535 - F535)/(D535-F535)</f>
        <v>3.2258064516129075</v>
      </c>
      <c r="H535" s="6">
        <v>45082</v>
      </c>
      <c r="I535" s="16">
        <v>12.61</v>
      </c>
      <c r="J535" s="25">
        <f t="shared" si="283"/>
        <v>-7.9239302694134039E-4</v>
      </c>
      <c r="K535" s="36">
        <f t="shared" si="284"/>
        <v>-1.7199999999997999</v>
      </c>
      <c r="L535" s="24">
        <f t="shared" si="273"/>
        <v>129</v>
      </c>
      <c r="M535" s="52">
        <f t="shared" si="285"/>
        <v>0</v>
      </c>
      <c r="N535" s="24">
        <f t="shared" si="286"/>
        <v>0</v>
      </c>
      <c r="O535">
        <f t="shared" si="287"/>
        <v>-1.7199999999997999</v>
      </c>
    </row>
    <row r="536" spans="1:18">
      <c r="A536" s="6">
        <v>44953</v>
      </c>
      <c r="B536" s="1" t="s">
        <v>84</v>
      </c>
      <c r="C536" s="9">
        <v>68</v>
      </c>
      <c r="D536">
        <v>91.36</v>
      </c>
      <c r="E536" s="29">
        <v>110</v>
      </c>
      <c r="F536" s="50">
        <v>85.32</v>
      </c>
      <c r="G536" s="21">
        <f t="shared" si="288"/>
        <v>4.0860927152317847</v>
      </c>
      <c r="H536" s="6">
        <v>44956</v>
      </c>
      <c r="I536" s="29">
        <v>92.92</v>
      </c>
      <c r="J536" s="30">
        <f t="shared" ref="J536:J542" si="289">I536/D536 -1</f>
        <v>1.7075306479859886E-2</v>
      </c>
      <c r="K536" s="35">
        <f t="shared" ref="K536:K542" si="290">(C536*I536) - (C536*D536)</f>
        <v>106.08000000000084</v>
      </c>
      <c r="L536" s="21">
        <f t="shared" si="273"/>
        <v>3</v>
      </c>
      <c r="M536" s="9">
        <f t="shared" ref="M536:M542" si="291">IF(J536&gt;0,1,0)</f>
        <v>1</v>
      </c>
      <c r="N536">
        <f t="shared" ref="N536:N542" si="292">IF(K536&gt;0, K536, 0)</f>
        <v>106.08000000000084</v>
      </c>
      <c r="O536">
        <f t="shared" ref="O536:O542" si="293">IF(K536&lt;0, K536, 0)</f>
        <v>0</v>
      </c>
      <c r="R536" s="28">
        <v>1157.3</v>
      </c>
    </row>
    <row r="537" spans="1:18">
      <c r="A537" s="6">
        <v>44952</v>
      </c>
      <c r="B537" s="1" t="s">
        <v>349</v>
      </c>
      <c r="C537" s="9">
        <v>3</v>
      </c>
      <c r="D537">
        <v>504.36</v>
      </c>
      <c r="E537" s="29">
        <v>550</v>
      </c>
      <c r="F537" s="50">
        <v>480</v>
      </c>
      <c r="G537" s="21">
        <f t="shared" si="288"/>
        <v>2.8735632183908031</v>
      </c>
      <c r="H537" s="6">
        <v>44960</v>
      </c>
      <c r="I537" s="16">
        <v>493.41</v>
      </c>
      <c r="J537" s="25">
        <f t="shared" si="289"/>
        <v>-2.1710682845586415E-2</v>
      </c>
      <c r="K537" s="36">
        <f t="shared" si="290"/>
        <v>-32.849999999999909</v>
      </c>
      <c r="L537" s="21">
        <f t="shared" si="273"/>
        <v>8</v>
      </c>
      <c r="M537" s="9">
        <f t="shared" si="291"/>
        <v>0</v>
      </c>
      <c r="N537">
        <f t="shared" si="292"/>
        <v>0</v>
      </c>
      <c r="O537">
        <f t="shared" si="293"/>
        <v>-32.849999999999909</v>
      </c>
    </row>
    <row r="538" spans="1:18">
      <c r="A538" s="6">
        <v>44952</v>
      </c>
      <c r="B538" s="1" t="s">
        <v>231</v>
      </c>
      <c r="C538" s="9">
        <v>98</v>
      </c>
      <c r="D538">
        <v>79.739999999999995</v>
      </c>
      <c r="E538" s="29">
        <v>100</v>
      </c>
      <c r="F538" s="50">
        <v>75.400000000000006</v>
      </c>
      <c r="G538" s="21">
        <f t="shared" si="288"/>
        <v>5.6682027649769715</v>
      </c>
      <c r="H538" s="6">
        <v>44959</v>
      </c>
      <c r="I538" s="29">
        <v>85.99</v>
      </c>
      <c r="J538" s="30">
        <f t="shared" si="289"/>
        <v>7.8379734135941792E-2</v>
      </c>
      <c r="K538" s="35">
        <f t="shared" si="290"/>
        <v>612.49999999999909</v>
      </c>
      <c r="L538" s="21">
        <f t="shared" si="273"/>
        <v>7</v>
      </c>
      <c r="M538" s="9">
        <f t="shared" si="291"/>
        <v>1</v>
      </c>
      <c r="N538">
        <f t="shared" si="292"/>
        <v>612.49999999999909</v>
      </c>
      <c r="O538">
        <f t="shared" si="293"/>
        <v>0</v>
      </c>
    </row>
    <row r="539" spans="1:18">
      <c r="A539" s="6">
        <v>44952</v>
      </c>
      <c r="B539" s="1" t="s">
        <v>89</v>
      </c>
      <c r="C539" s="9">
        <v>35</v>
      </c>
      <c r="D539">
        <v>220.32</v>
      </c>
      <c r="E539" s="29">
        <v>244</v>
      </c>
      <c r="F539" s="50">
        <v>211.4</v>
      </c>
      <c r="G539" s="21">
        <f t="shared" si="288"/>
        <v>3.6547085201793768</v>
      </c>
      <c r="H539" s="6">
        <v>44964</v>
      </c>
      <c r="I539" s="29">
        <v>226.06</v>
      </c>
      <c r="J539" s="30">
        <f t="shared" si="289"/>
        <v>2.6053013798111868E-2</v>
      </c>
      <c r="K539" s="35">
        <f t="shared" si="290"/>
        <v>200.90000000000055</v>
      </c>
      <c r="L539" s="21">
        <f t="shared" si="273"/>
        <v>12</v>
      </c>
      <c r="M539" s="9">
        <f t="shared" si="291"/>
        <v>1</v>
      </c>
      <c r="N539">
        <f t="shared" si="292"/>
        <v>200.90000000000055</v>
      </c>
      <c r="O539">
        <f t="shared" si="293"/>
        <v>0</v>
      </c>
    </row>
    <row r="540" spans="1:18">
      <c r="A540" s="6">
        <v>44952</v>
      </c>
      <c r="B540" s="1" t="s">
        <v>23</v>
      </c>
      <c r="C540" s="9">
        <v>80</v>
      </c>
      <c r="D540">
        <v>85.08</v>
      </c>
      <c r="E540" s="29">
        <v>95</v>
      </c>
      <c r="F540" s="50">
        <v>83.06</v>
      </c>
      <c r="G540" s="21">
        <f t="shared" si="288"/>
        <v>5.9108910891089215</v>
      </c>
      <c r="H540" s="6">
        <v>44956</v>
      </c>
      <c r="I540" s="16">
        <v>83.01</v>
      </c>
      <c r="J540" s="25">
        <f t="shared" si="289"/>
        <v>-2.4330042313116973E-2</v>
      </c>
      <c r="K540" s="36">
        <f t="shared" si="290"/>
        <v>-165.59999999999945</v>
      </c>
      <c r="L540" s="21">
        <f t="shared" si="273"/>
        <v>4</v>
      </c>
      <c r="M540" s="9">
        <f t="shared" si="291"/>
        <v>0</v>
      </c>
      <c r="N540">
        <f t="shared" si="292"/>
        <v>0</v>
      </c>
      <c r="O540">
        <f t="shared" si="293"/>
        <v>-165.59999999999945</v>
      </c>
      <c r="R540" s="28">
        <v>987</v>
      </c>
    </row>
    <row r="541" spans="1:18">
      <c r="A541" s="6">
        <v>44951</v>
      </c>
      <c r="B541" s="1" t="s">
        <v>470</v>
      </c>
      <c r="C541" s="9">
        <v>8</v>
      </c>
      <c r="D541">
        <v>129.19999999999999</v>
      </c>
      <c r="E541" s="29">
        <v>135</v>
      </c>
      <c r="F541" s="50">
        <v>124</v>
      </c>
      <c r="G541" s="21">
        <f t="shared" ref="G541:G554" si="294" xml:space="preserve"> (E541 - F541)/(D541-F541)</f>
        <v>2.1153846153846199</v>
      </c>
      <c r="H541" s="6">
        <v>44959</v>
      </c>
      <c r="I541" s="16">
        <v>124.7</v>
      </c>
      <c r="J541" s="25">
        <f t="shared" si="289"/>
        <v>-3.4829721362228949E-2</v>
      </c>
      <c r="K541" s="36">
        <f t="shared" si="290"/>
        <v>-35.999999999999886</v>
      </c>
      <c r="L541" s="21">
        <f t="shared" si="273"/>
        <v>8</v>
      </c>
      <c r="M541" s="9">
        <f t="shared" si="291"/>
        <v>0</v>
      </c>
      <c r="N541">
        <f t="shared" si="292"/>
        <v>0</v>
      </c>
      <c r="O541">
        <f t="shared" si="293"/>
        <v>-35.999999999999886</v>
      </c>
    </row>
    <row r="542" spans="1:18">
      <c r="A542" s="6">
        <v>44951</v>
      </c>
      <c r="B542" s="55" t="s">
        <v>117</v>
      </c>
      <c r="C542" s="57">
        <v>200</v>
      </c>
      <c r="D542">
        <v>12.23</v>
      </c>
      <c r="E542" s="29">
        <v>17</v>
      </c>
      <c r="F542" s="50">
        <v>3.5</v>
      </c>
      <c r="G542" s="21">
        <f t="shared" si="294"/>
        <v>1.5463917525773194</v>
      </c>
      <c r="H542" s="6">
        <v>45114</v>
      </c>
      <c r="I542" s="29">
        <v>13.4</v>
      </c>
      <c r="J542" s="30">
        <f t="shared" si="289"/>
        <v>9.5666394112837283E-2</v>
      </c>
      <c r="K542" s="35">
        <f t="shared" si="290"/>
        <v>234</v>
      </c>
      <c r="L542" s="21">
        <f t="shared" si="273"/>
        <v>163</v>
      </c>
      <c r="M542" s="9">
        <f t="shared" si="291"/>
        <v>1</v>
      </c>
      <c r="N542">
        <f t="shared" si="292"/>
        <v>234</v>
      </c>
      <c r="O542">
        <f t="shared" si="293"/>
        <v>0</v>
      </c>
    </row>
    <row r="543" spans="1:18">
      <c r="A543" s="6">
        <v>44951</v>
      </c>
      <c r="B543" s="1" t="s">
        <v>324</v>
      </c>
      <c r="C543" s="9">
        <v>71</v>
      </c>
      <c r="D543">
        <v>121.35</v>
      </c>
      <c r="E543" s="29">
        <v>137</v>
      </c>
      <c r="F543" s="50">
        <v>115</v>
      </c>
      <c r="G543" s="21">
        <f t="shared" si="294"/>
        <v>3.4645669291338614</v>
      </c>
      <c r="H543" s="6">
        <v>44952</v>
      </c>
      <c r="I543" s="29">
        <v>123.58</v>
      </c>
      <c r="J543" s="30">
        <f t="shared" ref="J543:J549" si="295">I543/D543 -1</f>
        <v>1.8376596621343166E-2</v>
      </c>
      <c r="K543" s="35">
        <f t="shared" ref="K543:K549" si="296">(C543*I543) - (C543*D543)</f>
        <v>158.32999999999993</v>
      </c>
      <c r="L543" s="21">
        <f t="shared" si="273"/>
        <v>1</v>
      </c>
      <c r="M543" s="9">
        <f t="shared" ref="M543:M549" si="297">IF(J543&gt;0,1,0)</f>
        <v>1</v>
      </c>
      <c r="N543">
        <f t="shared" ref="N543:N549" si="298">IF(K543&gt;0, K543, 0)</f>
        <v>158.32999999999993</v>
      </c>
      <c r="O543">
        <f t="shared" ref="O543:O549" si="299">IF(K543&lt;0, K543, 0)</f>
        <v>0</v>
      </c>
      <c r="R543" s="28">
        <v>886.81</v>
      </c>
    </row>
    <row r="544" spans="1:18">
      <c r="A544" s="6">
        <v>44950</v>
      </c>
      <c r="B544" s="55" t="s">
        <v>301</v>
      </c>
      <c r="C544" s="57">
        <v>500</v>
      </c>
      <c r="D544">
        <v>2.5</v>
      </c>
      <c r="E544" s="29">
        <v>7.5</v>
      </c>
      <c r="F544" s="50">
        <v>1.25</v>
      </c>
      <c r="G544" s="21">
        <f t="shared" si="294"/>
        <v>5</v>
      </c>
      <c r="H544" s="6">
        <v>44974</v>
      </c>
      <c r="I544" s="29">
        <v>3.2</v>
      </c>
      <c r="J544" s="30">
        <f t="shared" si="295"/>
        <v>0.28000000000000003</v>
      </c>
      <c r="K544" s="35">
        <f t="shared" si="296"/>
        <v>350</v>
      </c>
      <c r="L544" s="21">
        <f t="shared" ref="L544:L560" si="300">H544-A544</f>
        <v>24</v>
      </c>
      <c r="M544" s="9">
        <f t="shared" si="297"/>
        <v>1</v>
      </c>
      <c r="N544">
        <f t="shared" si="298"/>
        <v>350</v>
      </c>
      <c r="O544">
        <f t="shared" si="299"/>
        <v>0</v>
      </c>
    </row>
    <row r="545" spans="1:18">
      <c r="A545" s="6">
        <v>44950</v>
      </c>
      <c r="B545" s="1" t="s">
        <v>227</v>
      </c>
      <c r="C545" s="9">
        <v>23</v>
      </c>
      <c r="D545">
        <v>361.35</v>
      </c>
      <c r="E545" s="29">
        <v>400</v>
      </c>
      <c r="F545" s="50">
        <v>341</v>
      </c>
      <c r="G545" s="21">
        <f t="shared" si="294"/>
        <v>2.8992628992628959</v>
      </c>
      <c r="H545" s="6">
        <v>44953</v>
      </c>
      <c r="I545" s="29">
        <v>371.15</v>
      </c>
      <c r="J545" s="30">
        <f t="shared" si="295"/>
        <v>2.712052027120504E-2</v>
      </c>
      <c r="K545" s="35">
        <f t="shared" si="296"/>
        <v>225.39999999999782</v>
      </c>
      <c r="L545" s="21">
        <f t="shared" si="300"/>
        <v>3</v>
      </c>
      <c r="M545" s="9">
        <f t="shared" si="297"/>
        <v>1</v>
      </c>
      <c r="N545">
        <f t="shared" si="298"/>
        <v>225.39999999999782</v>
      </c>
      <c r="O545">
        <f t="shared" si="299"/>
        <v>0</v>
      </c>
    </row>
    <row r="546" spans="1:18">
      <c r="A546" s="6">
        <v>44950</v>
      </c>
      <c r="B546" s="55" t="s">
        <v>286</v>
      </c>
      <c r="C546" s="57">
        <v>200</v>
      </c>
      <c r="D546">
        <v>6.44</v>
      </c>
      <c r="E546" s="29">
        <v>8</v>
      </c>
      <c r="F546" s="50">
        <v>3.22</v>
      </c>
      <c r="G546" s="21">
        <f t="shared" si="294"/>
        <v>1.4844720496894408</v>
      </c>
      <c r="H546" s="6">
        <v>44952</v>
      </c>
      <c r="I546" s="29">
        <v>7</v>
      </c>
      <c r="J546" s="30">
        <f t="shared" si="295"/>
        <v>8.6956521739130377E-2</v>
      </c>
      <c r="K546" s="35">
        <f t="shared" si="296"/>
        <v>112</v>
      </c>
      <c r="L546" s="21">
        <f t="shared" si="300"/>
        <v>2</v>
      </c>
      <c r="M546" s="9">
        <f t="shared" si="297"/>
        <v>1</v>
      </c>
      <c r="N546">
        <f t="shared" si="298"/>
        <v>112</v>
      </c>
      <c r="O546">
        <f t="shared" si="299"/>
        <v>0</v>
      </c>
    </row>
    <row r="547" spans="1:18">
      <c r="A547" s="6">
        <v>44950</v>
      </c>
      <c r="B547" s="1" t="s">
        <v>117</v>
      </c>
      <c r="C547" s="9">
        <v>134</v>
      </c>
      <c r="D547">
        <v>62.62</v>
      </c>
      <c r="E547" s="29">
        <v>77</v>
      </c>
      <c r="F547" s="50">
        <v>56</v>
      </c>
      <c r="G547" s="21">
        <f t="shared" si="294"/>
        <v>3.1722054380664666</v>
      </c>
      <c r="H547" s="6">
        <v>44952</v>
      </c>
      <c r="I547" s="16">
        <v>57.72</v>
      </c>
      <c r="J547" s="25">
        <f t="shared" si="295"/>
        <v>-7.8249760459916939E-2</v>
      </c>
      <c r="K547" s="36">
        <f t="shared" si="296"/>
        <v>-656.60000000000036</v>
      </c>
      <c r="L547" s="21">
        <f t="shared" si="300"/>
        <v>2</v>
      </c>
      <c r="M547" s="9">
        <f t="shared" si="297"/>
        <v>0</v>
      </c>
      <c r="N547">
        <f t="shared" si="298"/>
        <v>0</v>
      </c>
      <c r="O547">
        <f t="shared" si="299"/>
        <v>-656.60000000000036</v>
      </c>
      <c r="R547" s="28">
        <v>1126.8499999999999</v>
      </c>
    </row>
    <row r="548" spans="1:18">
      <c r="A548" s="6">
        <v>44949</v>
      </c>
      <c r="B548" s="1" t="s">
        <v>91</v>
      </c>
      <c r="C548" s="9">
        <v>17</v>
      </c>
      <c r="D548">
        <v>451.63</v>
      </c>
      <c r="E548" s="29">
        <v>550</v>
      </c>
      <c r="F548" s="50">
        <v>433</v>
      </c>
      <c r="G548" s="21">
        <f t="shared" si="294"/>
        <v>6.2801932367149771</v>
      </c>
      <c r="H548" s="6">
        <v>44953</v>
      </c>
      <c r="I548" s="16">
        <v>433.04</v>
      </c>
      <c r="J548" s="25">
        <f t="shared" si="295"/>
        <v>-4.1162013152359123E-2</v>
      </c>
      <c r="K548" s="36">
        <f t="shared" si="296"/>
        <v>-316.02999999999975</v>
      </c>
      <c r="L548" s="21">
        <f t="shared" si="300"/>
        <v>4</v>
      </c>
      <c r="M548" s="9">
        <f t="shared" si="297"/>
        <v>0</v>
      </c>
      <c r="N548">
        <f t="shared" si="298"/>
        <v>0</v>
      </c>
      <c r="O548">
        <f t="shared" si="299"/>
        <v>-316.02999999999975</v>
      </c>
    </row>
    <row r="549" spans="1:18">
      <c r="A549" s="6">
        <v>44949</v>
      </c>
      <c r="B549" s="1" t="s">
        <v>303</v>
      </c>
      <c r="C549" s="9">
        <v>35</v>
      </c>
      <c r="D549">
        <v>237.58</v>
      </c>
      <c r="E549" s="29">
        <v>252</v>
      </c>
      <c r="F549" s="50">
        <v>231</v>
      </c>
      <c r="G549" s="21">
        <f t="shared" si="294"/>
        <v>3.1914893617021214</v>
      </c>
      <c r="H549" s="6">
        <v>44951</v>
      </c>
      <c r="I549" s="29">
        <v>245.96</v>
      </c>
      <c r="J549" s="30">
        <f t="shared" si="295"/>
        <v>3.5272329320649831E-2</v>
      </c>
      <c r="K549" s="35">
        <f t="shared" si="296"/>
        <v>293.29999999999927</v>
      </c>
      <c r="L549" s="21">
        <f t="shared" si="300"/>
        <v>2</v>
      </c>
      <c r="M549" s="9">
        <f t="shared" si="297"/>
        <v>1</v>
      </c>
      <c r="N549">
        <f t="shared" si="298"/>
        <v>293.29999999999927</v>
      </c>
      <c r="O549">
        <f t="shared" si="299"/>
        <v>0</v>
      </c>
    </row>
    <row r="550" spans="1:18">
      <c r="A550" s="6">
        <v>44949</v>
      </c>
      <c r="B550" s="55" t="s">
        <v>124</v>
      </c>
      <c r="C550" s="9">
        <v>200</v>
      </c>
      <c r="D550">
        <v>27.9</v>
      </c>
      <c r="E550" s="29">
        <v>30</v>
      </c>
      <c r="F550" s="50">
        <v>22.5</v>
      </c>
      <c r="G550" s="21">
        <f t="shared" si="294"/>
        <v>1.3888888888888893</v>
      </c>
      <c r="H550" s="6">
        <v>45093</v>
      </c>
      <c r="I550" s="16">
        <v>27.26</v>
      </c>
      <c r="J550" s="25">
        <f t="shared" ref="J550:J555" si="301">I550/D550 -1</f>
        <v>-2.2939068100358284E-2</v>
      </c>
      <c r="K550" s="36">
        <f t="shared" ref="K550:K555" si="302">(C550*I550) - (C550*D550)</f>
        <v>-128</v>
      </c>
      <c r="L550" s="21">
        <f t="shared" si="300"/>
        <v>144</v>
      </c>
      <c r="M550" s="9">
        <f t="shared" ref="M550:M555" si="303">IF(J550&gt;0,1,0)</f>
        <v>0</v>
      </c>
      <c r="N550">
        <f t="shared" ref="N550:N555" si="304">IF(K550&gt;0, K550, 0)</f>
        <v>0</v>
      </c>
      <c r="O550">
        <f t="shared" ref="O550:O555" si="305">IF(K550&lt;0, K550, 0)</f>
        <v>-128</v>
      </c>
      <c r="R550" s="28">
        <v>653.73</v>
      </c>
    </row>
    <row r="551" spans="1:18">
      <c r="A551" s="6">
        <v>44946</v>
      </c>
      <c r="B551" s="1" t="s">
        <v>19</v>
      </c>
      <c r="C551" s="9">
        <v>80</v>
      </c>
      <c r="D551">
        <v>14.82</v>
      </c>
      <c r="E551" s="29">
        <v>18</v>
      </c>
      <c r="F551" s="50">
        <v>14</v>
      </c>
      <c r="G551" s="21">
        <f t="shared" si="294"/>
        <v>4.878048780487803</v>
      </c>
      <c r="H551" s="6">
        <v>44953</v>
      </c>
      <c r="I551" s="29">
        <v>15.47</v>
      </c>
      <c r="J551" s="30">
        <f t="shared" si="301"/>
        <v>4.3859649122806932E-2</v>
      </c>
      <c r="K551" s="35">
        <f t="shared" si="302"/>
        <v>52.000000000000227</v>
      </c>
      <c r="L551" s="21">
        <f t="shared" si="300"/>
        <v>7</v>
      </c>
      <c r="M551" s="9">
        <f t="shared" si="303"/>
        <v>1</v>
      </c>
      <c r="N551">
        <f t="shared" si="304"/>
        <v>52.000000000000227</v>
      </c>
      <c r="O551">
        <f t="shared" si="305"/>
        <v>0</v>
      </c>
    </row>
    <row r="552" spans="1:18">
      <c r="A552" s="6">
        <v>44946</v>
      </c>
      <c r="B552" s="1" t="s">
        <v>18</v>
      </c>
      <c r="C552" s="9">
        <v>26</v>
      </c>
      <c r="D552">
        <v>47.18</v>
      </c>
      <c r="E552" s="29">
        <v>50</v>
      </c>
      <c r="F552" s="50">
        <v>43.73</v>
      </c>
      <c r="G552" s="21">
        <f t="shared" si="294"/>
        <v>1.8173913043478256</v>
      </c>
      <c r="H552" s="6">
        <v>44950</v>
      </c>
      <c r="I552" s="16">
        <v>42.3</v>
      </c>
      <c r="J552" s="25">
        <f t="shared" si="301"/>
        <v>-0.10343365832980078</v>
      </c>
      <c r="K552" s="36">
        <f t="shared" si="302"/>
        <v>-126.88000000000011</v>
      </c>
      <c r="L552" s="21">
        <f t="shared" si="300"/>
        <v>4</v>
      </c>
      <c r="M552" s="9">
        <f t="shared" si="303"/>
        <v>0</v>
      </c>
      <c r="N552">
        <f t="shared" si="304"/>
        <v>0</v>
      </c>
      <c r="O552">
        <f t="shared" si="305"/>
        <v>-126.88000000000011</v>
      </c>
    </row>
    <row r="553" spans="1:18">
      <c r="A553" s="6">
        <v>44946</v>
      </c>
      <c r="B553" s="1" t="s">
        <v>427</v>
      </c>
      <c r="C553" s="9">
        <v>26</v>
      </c>
      <c r="D553">
        <v>309.49</v>
      </c>
      <c r="E553" s="29">
        <v>380</v>
      </c>
      <c r="F553" s="50">
        <v>287</v>
      </c>
      <c r="G553" s="21">
        <f t="shared" si="294"/>
        <v>4.1351711871943069</v>
      </c>
      <c r="H553" s="6">
        <v>44960</v>
      </c>
      <c r="I553" s="29">
        <v>319.89999999999998</v>
      </c>
      <c r="J553" s="30">
        <f t="shared" si="301"/>
        <v>3.3635981776470869E-2</v>
      </c>
      <c r="K553" s="35">
        <f t="shared" si="302"/>
        <v>270.65999999999985</v>
      </c>
      <c r="L553" s="21">
        <f t="shared" si="300"/>
        <v>14</v>
      </c>
      <c r="M553" s="9">
        <f t="shared" si="303"/>
        <v>1</v>
      </c>
      <c r="N553">
        <f t="shared" si="304"/>
        <v>270.65999999999985</v>
      </c>
      <c r="O553">
        <f t="shared" si="305"/>
        <v>0</v>
      </c>
    </row>
    <row r="554" spans="1:18">
      <c r="A554" s="6">
        <v>44946</v>
      </c>
      <c r="B554" s="1" t="s">
        <v>227</v>
      </c>
      <c r="C554" s="9">
        <v>23</v>
      </c>
      <c r="D554">
        <v>351.81</v>
      </c>
      <c r="E554" s="29">
        <v>400</v>
      </c>
      <c r="F554" s="50">
        <v>320</v>
      </c>
      <c r="G554" s="21">
        <f t="shared" si="294"/>
        <v>2.5149324111914488</v>
      </c>
      <c r="H554" s="6">
        <v>44949</v>
      </c>
      <c r="I554" s="29">
        <v>364.32</v>
      </c>
      <c r="J554" s="30">
        <f t="shared" si="301"/>
        <v>3.5558966487592603E-2</v>
      </c>
      <c r="K554" s="35">
        <f t="shared" si="302"/>
        <v>287.73000000000047</v>
      </c>
      <c r="L554" s="21">
        <f t="shared" si="300"/>
        <v>3</v>
      </c>
      <c r="M554" s="9">
        <f t="shared" si="303"/>
        <v>1</v>
      </c>
      <c r="N554">
        <f t="shared" si="304"/>
        <v>287.73000000000047</v>
      </c>
      <c r="O554">
        <f t="shared" si="305"/>
        <v>0</v>
      </c>
      <c r="R554" s="28">
        <v>735.14</v>
      </c>
    </row>
    <row r="555" spans="1:18">
      <c r="A555" s="6">
        <v>44945</v>
      </c>
      <c r="B555" s="55" t="s">
        <v>140</v>
      </c>
      <c r="C555" s="57">
        <v>500</v>
      </c>
      <c r="D555">
        <v>2</v>
      </c>
      <c r="E555" s="29">
        <v>6</v>
      </c>
      <c r="F555" s="50">
        <v>1</v>
      </c>
      <c r="G555" s="21">
        <f t="shared" ref="G555:G560" si="306" xml:space="preserve"> (E555 - F555)/(D555-F555)</f>
        <v>5</v>
      </c>
      <c r="H555" s="6">
        <v>44946</v>
      </c>
      <c r="I555" s="16">
        <v>1.99</v>
      </c>
      <c r="J555" s="25">
        <f t="shared" si="301"/>
        <v>-5.0000000000000044E-3</v>
      </c>
      <c r="K555" s="36">
        <f t="shared" si="302"/>
        <v>-5</v>
      </c>
      <c r="L555" s="21">
        <f t="shared" si="300"/>
        <v>1</v>
      </c>
      <c r="M555" s="9">
        <f t="shared" si="303"/>
        <v>0</v>
      </c>
      <c r="N555">
        <f t="shared" si="304"/>
        <v>0</v>
      </c>
      <c r="O555">
        <f t="shared" si="305"/>
        <v>-5</v>
      </c>
    </row>
    <row r="556" spans="1:18">
      <c r="A556" s="6">
        <v>44945</v>
      </c>
      <c r="B556" s="1" t="s">
        <v>112</v>
      </c>
      <c r="C556" s="9">
        <v>200</v>
      </c>
      <c r="D556">
        <v>76.62</v>
      </c>
      <c r="E556" s="29">
        <v>80</v>
      </c>
      <c r="F556" s="50">
        <v>72.25</v>
      </c>
      <c r="G556" s="21">
        <f t="shared" si="306"/>
        <v>1.7734553775743689</v>
      </c>
      <c r="H556" s="6">
        <v>45222</v>
      </c>
      <c r="I556" s="16">
        <v>70.599999999999994</v>
      </c>
      <c r="J556" s="25">
        <f>I556/D556 -1</f>
        <v>-7.8569564082485166E-2</v>
      </c>
      <c r="K556" s="36">
        <f>(C556*I556) - (C556*D556)</f>
        <v>-1204.0000000000018</v>
      </c>
      <c r="L556" s="24">
        <f t="shared" si="300"/>
        <v>277</v>
      </c>
      <c r="M556" s="52">
        <f>IF(J556&gt;0,1,0)</f>
        <v>0</v>
      </c>
      <c r="N556" s="24">
        <f>IF(K556&gt;0, K556, 0)</f>
        <v>0</v>
      </c>
      <c r="O556">
        <f>IF(K556&lt;0, K556, 0)</f>
        <v>-1204.0000000000018</v>
      </c>
    </row>
    <row r="557" spans="1:18">
      <c r="A557" s="6">
        <v>44945</v>
      </c>
      <c r="B557" s="55" t="s">
        <v>484</v>
      </c>
      <c r="C557" s="57">
        <v>200</v>
      </c>
      <c r="D557">
        <v>8</v>
      </c>
      <c r="E557" s="29">
        <v>25</v>
      </c>
      <c r="F557" s="50">
        <v>4</v>
      </c>
      <c r="G557" s="21">
        <f t="shared" si="306"/>
        <v>5.25</v>
      </c>
      <c r="H557" s="6">
        <v>44952</v>
      </c>
      <c r="I557" s="29">
        <v>10.199999999999999</v>
      </c>
      <c r="J557" s="30">
        <f>I557/D557 -1</f>
        <v>0.27499999999999991</v>
      </c>
      <c r="K557" s="35">
        <f>(C557*I557) - (C557*D557)</f>
        <v>439.99999999999977</v>
      </c>
      <c r="L557" s="21">
        <f t="shared" si="300"/>
        <v>7</v>
      </c>
      <c r="M557" s="9">
        <f>IF(J557&gt;0,1,0)</f>
        <v>1</v>
      </c>
      <c r="N557">
        <f>IF(K557&gt;0, K557, 0)</f>
        <v>439.99999999999977</v>
      </c>
      <c r="O557">
        <f>IF(K557&lt;0, K557, 0)</f>
        <v>0</v>
      </c>
    </row>
    <row r="558" spans="1:18">
      <c r="A558" s="6">
        <v>44945</v>
      </c>
      <c r="B558" s="1" t="s">
        <v>231</v>
      </c>
      <c r="C558" s="9">
        <v>11</v>
      </c>
      <c r="D558">
        <v>75.81</v>
      </c>
      <c r="E558" s="29">
        <v>74</v>
      </c>
      <c r="F558" s="50">
        <v>77</v>
      </c>
      <c r="G558" s="21">
        <f t="shared" si="306"/>
        <v>2.5210084033613493</v>
      </c>
      <c r="H558" s="6">
        <v>44979</v>
      </c>
      <c r="I558" s="16">
        <v>73.59</v>
      </c>
      <c r="J558" s="25">
        <f>I558/D558 -1</f>
        <v>-2.9283735654926812E-2</v>
      </c>
      <c r="K558" s="36">
        <f>(C558*I558) - (C558*D558)</f>
        <v>-24.420000000000073</v>
      </c>
      <c r="L558" s="24">
        <f t="shared" si="300"/>
        <v>34</v>
      </c>
      <c r="M558" s="52">
        <f>IF(J558&gt;0,1,0)</f>
        <v>0</v>
      </c>
      <c r="N558" s="24">
        <f>IF(K558&gt;0, K558, 0)</f>
        <v>0</v>
      </c>
      <c r="O558">
        <f>IF(K558&lt;0, K558, 0)</f>
        <v>-24.420000000000073</v>
      </c>
    </row>
    <row r="559" spans="1:18">
      <c r="A559" s="6">
        <v>44945</v>
      </c>
      <c r="B559" s="55" t="s">
        <v>118</v>
      </c>
      <c r="C559" s="57">
        <v>1400</v>
      </c>
      <c r="D559">
        <v>0.9</v>
      </c>
      <c r="E559" s="29">
        <v>2.5</v>
      </c>
      <c r="F559" s="50">
        <v>0.4</v>
      </c>
      <c r="G559" s="21">
        <f t="shared" si="306"/>
        <v>4.2</v>
      </c>
      <c r="H559" s="6">
        <v>44949</v>
      </c>
      <c r="I559" s="29">
        <v>1.2</v>
      </c>
      <c r="J559" s="30">
        <f>I559/D559 -1</f>
        <v>0.33333333333333326</v>
      </c>
      <c r="K559" s="35">
        <f>(C559*I559) - (C559*D559)</f>
        <v>420</v>
      </c>
      <c r="L559" s="21">
        <f t="shared" si="300"/>
        <v>4</v>
      </c>
      <c r="M559" s="9">
        <f>IF(J559&gt;0,1,0)</f>
        <v>1</v>
      </c>
      <c r="N559">
        <f>IF(K559&gt;0, K559, 0)</f>
        <v>420</v>
      </c>
      <c r="O559">
        <f>IF(K559&lt;0, K559, 0)</f>
        <v>0</v>
      </c>
    </row>
    <row r="560" spans="1:18">
      <c r="A560" s="6">
        <v>44945</v>
      </c>
      <c r="B560" s="1" t="s">
        <v>296</v>
      </c>
      <c r="C560" s="9">
        <v>170</v>
      </c>
      <c r="D560">
        <v>48.02</v>
      </c>
      <c r="E560" s="29">
        <v>57</v>
      </c>
      <c r="F560" s="50">
        <v>44</v>
      </c>
      <c r="G560" s="21">
        <f t="shared" si="306"/>
        <v>3.2338308457711418</v>
      </c>
      <c r="H560" s="6">
        <v>44946</v>
      </c>
      <c r="I560" s="16">
        <v>47.33</v>
      </c>
      <c r="J560" s="25">
        <f>I560/D560 -1</f>
        <v>-1.4369012911287116E-2</v>
      </c>
      <c r="K560" s="36">
        <f>(C560*I560) - (C560*D560)</f>
        <v>-117.30000000000109</v>
      </c>
      <c r="L560" s="21">
        <f t="shared" si="300"/>
        <v>1</v>
      </c>
      <c r="M560" s="9">
        <f>IF(J560&gt;0,1,0)</f>
        <v>0</v>
      </c>
      <c r="N560">
        <f>IF(K560&gt;0, K560, 0)</f>
        <v>0</v>
      </c>
      <c r="O560">
        <f>IF(K560&lt;0, K560, 0)</f>
        <v>-117.30000000000109</v>
      </c>
      <c r="R560" s="64">
        <v>2593.4</v>
      </c>
    </row>
    <row r="561" spans="1:18">
      <c r="A561" s="6">
        <v>44944</v>
      </c>
      <c r="B561" s="1" t="s">
        <v>48</v>
      </c>
      <c r="C561" s="9">
        <v>100</v>
      </c>
      <c r="D561">
        <v>91.47</v>
      </c>
      <c r="E561" s="29">
        <v>92</v>
      </c>
      <c r="F561" s="50">
        <v>90</v>
      </c>
      <c r="G561" s="21">
        <f xml:space="preserve"> (E561 - F561)/(D561-F561)</f>
        <v>1.3605442176870759</v>
      </c>
      <c r="J561" s="30"/>
      <c r="K561" s="38"/>
      <c r="L561" s="37"/>
      <c r="N561" s="38"/>
    </row>
    <row r="562" spans="1:18">
      <c r="A562" s="6">
        <v>44944</v>
      </c>
      <c r="B562" s="55" t="s">
        <v>377</v>
      </c>
      <c r="C562" s="57">
        <v>500</v>
      </c>
      <c r="D562">
        <v>3.67</v>
      </c>
      <c r="E562" s="29">
        <v>9</v>
      </c>
      <c r="F562" s="50">
        <v>1.1299999999999999</v>
      </c>
      <c r="G562" s="21">
        <f xml:space="preserve"> (E562 - F562)/(D562-F562)</f>
        <v>3.0984251968503935</v>
      </c>
      <c r="J562" s="30"/>
      <c r="K562" s="38"/>
      <c r="L562" s="37"/>
      <c r="N562" s="38"/>
    </row>
    <row r="563" spans="1:18">
      <c r="A563" s="6">
        <v>44944</v>
      </c>
      <c r="B563" s="1" t="s">
        <v>296</v>
      </c>
      <c r="C563" s="9">
        <v>170</v>
      </c>
      <c r="D563">
        <v>46.78</v>
      </c>
      <c r="E563" s="29">
        <v>57</v>
      </c>
      <c r="F563" s="50">
        <v>44</v>
      </c>
      <c r="G563" s="21">
        <f xml:space="preserve"> (E563 - F563)/(D563-F563)</f>
        <v>4.6762589928057539</v>
      </c>
      <c r="H563" s="6">
        <v>44945</v>
      </c>
      <c r="I563" s="29">
        <v>47.71</v>
      </c>
      <c r="J563" s="30">
        <f t="shared" ref="J563:J570" si="307">I563/D563 -1</f>
        <v>1.9880290722531058E-2</v>
      </c>
      <c r="K563" s="35">
        <f t="shared" ref="K563:K570" si="308">(C563*I563) - (C563*D563)</f>
        <v>158.09999999999945</v>
      </c>
      <c r="L563" s="21">
        <f t="shared" ref="L563:L577" si="309">H563-A563</f>
        <v>1</v>
      </c>
      <c r="M563" s="9">
        <f t="shared" ref="M563:M570" si="310">IF(J563&gt;0,1,0)</f>
        <v>1</v>
      </c>
      <c r="N563">
        <f t="shared" ref="N563:N570" si="311">IF(K563&gt;0, K563, 0)</f>
        <v>158.09999999999945</v>
      </c>
      <c r="O563">
        <f t="shared" ref="O563:O570" si="312">IF(K563&lt;0, K563, 0)</f>
        <v>0</v>
      </c>
      <c r="R563" s="28">
        <v>1962.67</v>
      </c>
    </row>
    <row r="564" spans="1:18">
      <c r="A564" s="6">
        <v>44943</v>
      </c>
      <c r="B564" s="1" t="s">
        <v>24</v>
      </c>
      <c r="C564" s="9">
        <v>98</v>
      </c>
      <c r="D564">
        <v>84.47</v>
      </c>
      <c r="E564" s="29">
        <v>95</v>
      </c>
      <c r="F564" s="50">
        <v>80</v>
      </c>
      <c r="G564" s="21">
        <f t="shared" ref="G564:G569" si="313" xml:space="preserve"> (E564 - F564)/(D564-F564)</f>
        <v>3.3557046979865781</v>
      </c>
      <c r="H564" s="6">
        <v>44953</v>
      </c>
      <c r="I564" s="29">
        <v>86.6</v>
      </c>
      <c r="J564" s="30">
        <f t="shared" si="307"/>
        <v>2.5216053036581032E-2</v>
      </c>
      <c r="K564" s="35">
        <f t="shared" si="308"/>
        <v>208.73999999999978</v>
      </c>
      <c r="L564" s="21">
        <f t="shared" si="309"/>
        <v>10</v>
      </c>
      <c r="M564" s="9">
        <f t="shared" si="310"/>
        <v>1</v>
      </c>
      <c r="N564">
        <f t="shared" si="311"/>
        <v>208.73999999999978</v>
      </c>
      <c r="O564">
        <f t="shared" si="312"/>
        <v>0</v>
      </c>
    </row>
    <row r="565" spans="1:18">
      <c r="A565" s="6">
        <v>44943</v>
      </c>
      <c r="B565" s="55" t="s">
        <v>233</v>
      </c>
      <c r="C565" s="57">
        <v>100</v>
      </c>
      <c r="D565">
        <v>29</v>
      </c>
      <c r="E565" s="29">
        <v>80</v>
      </c>
      <c r="F565" s="50">
        <v>15</v>
      </c>
      <c r="G565" s="21">
        <f t="shared" si="313"/>
        <v>4.6428571428571432</v>
      </c>
      <c r="H565" s="6">
        <v>44946</v>
      </c>
      <c r="I565" s="29">
        <v>32.81</v>
      </c>
      <c r="J565" s="30">
        <f t="shared" si="307"/>
        <v>0.13137931034482775</v>
      </c>
      <c r="K565" s="35">
        <f t="shared" si="308"/>
        <v>381</v>
      </c>
      <c r="L565" s="21">
        <f t="shared" si="309"/>
        <v>3</v>
      </c>
      <c r="M565" s="9">
        <f t="shared" si="310"/>
        <v>1</v>
      </c>
      <c r="N565">
        <f t="shared" si="311"/>
        <v>381</v>
      </c>
      <c r="O565">
        <f t="shared" si="312"/>
        <v>0</v>
      </c>
      <c r="R565" s="28">
        <v>1852.49</v>
      </c>
    </row>
    <row r="566" spans="1:18">
      <c r="A566" s="6">
        <v>44939</v>
      </c>
      <c r="B566" s="1" t="s">
        <v>345</v>
      </c>
      <c r="C566" s="9">
        <v>3</v>
      </c>
      <c r="D566">
        <v>485.37</v>
      </c>
      <c r="E566" s="29">
        <v>550</v>
      </c>
      <c r="F566" s="50">
        <v>465</v>
      </c>
      <c r="G566" s="21">
        <f t="shared" si="313"/>
        <v>4.1728031418753062</v>
      </c>
      <c r="H566" s="6">
        <v>44952</v>
      </c>
      <c r="I566" s="29">
        <v>500.92</v>
      </c>
      <c r="J566" s="30">
        <f t="shared" si="307"/>
        <v>3.2037414755753391E-2</v>
      </c>
      <c r="K566" s="35">
        <f t="shared" si="308"/>
        <v>46.649999999999864</v>
      </c>
      <c r="L566" s="21">
        <f t="shared" si="309"/>
        <v>13</v>
      </c>
      <c r="M566" s="9">
        <f t="shared" si="310"/>
        <v>1</v>
      </c>
      <c r="N566">
        <f t="shared" si="311"/>
        <v>46.649999999999864</v>
      </c>
      <c r="O566">
        <f t="shared" si="312"/>
        <v>0</v>
      </c>
    </row>
    <row r="567" spans="1:18">
      <c r="A567" s="6">
        <v>44939</v>
      </c>
      <c r="B567" s="1" t="s">
        <v>21</v>
      </c>
      <c r="C567" s="9">
        <v>8</v>
      </c>
      <c r="D567">
        <v>144.47</v>
      </c>
      <c r="E567" s="29">
        <v>167</v>
      </c>
      <c r="F567" s="50">
        <v>140</v>
      </c>
      <c r="G567" s="21">
        <f t="shared" si="313"/>
        <v>6.0402684563758404</v>
      </c>
      <c r="H567" s="6">
        <v>44951</v>
      </c>
      <c r="I567" s="29">
        <v>146.69999999999999</v>
      </c>
      <c r="J567" s="30">
        <f t="shared" si="307"/>
        <v>1.5435730601508935E-2</v>
      </c>
      <c r="K567" s="35">
        <f t="shared" si="308"/>
        <v>17.839999999999918</v>
      </c>
      <c r="L567" s="21">
        <f t="shared" si="309"/>
        <v>12</v>
      </c>
      <c r="M567" s="9">
        <f t="shared" si="310"/>
        <v>1</v>
      </c>
      <c r="N567">
        <f t="shared" si="311"/>
        <v>17.839999999999918</v>
      </c>
      <c r="O567">
        <f t="shared" si="312"/>
        <v>0</v>
      </c>
    </row>
    <row r="568" spans="1:18">
      <c r="A568" s="6">
        <v>44939</v>
      </c>
      <c r="B568" s="1" t="s">
        <v>377</v>
      </c>
      <c r="C568" s="9">
        <v>18</v>
      </c>
      <c r="D568">
        <v>47.68</v>
      </c>
      <c r="E568" s="29">
        <v>55</v>
      </c>
      <c r="F568" s="50">
        <v>46</v>
      </c>
      <c r="G568" s="21">
        <f t="shared" si="313"/>
        <v>5.3571428571428577</v>
      </c>
      <c r="H568" s="6">
        <v>44943</v>
      </c>
      <c r="I568" s="16">
        <v>45.79</v>
      </c>
      <c r="J568" s="25">
        <f t="shared" si="307"/>
        <v>-3.9639261744966459E-2</v>
      </c>
      <c r="K568" s="36">
        <f t="shared" si="308"/>
        <v>-34.019999999999982</v>
      </c>
      <c r="L568" s="21">
        <f t="shared" si="309"/>
        <v>4</v>
      </c>
      <c r="M568" s="9">
        <f t="shared" si="310"/>
        <v>0</v>
      </c>
      <c r="N568">
        <f t="shared" si="311"/>
        <v>0</v>
      </c>
      <c r="O568">
        <f t="shared" si="312"/>
        <v>-34.019999999999982</v>
      </c>
    </row>
    <row r="569" spans="1:18">
      <c r="A569" s="6">
        <v>44939</v>
      </c>
      <c r="B569" s="1" t="s">
        <v>227</v>
      </c>
      <c r="C569" s="9">
        <v>26</v>
      </c>
      <c r="D569">
        <v>341.87</v>
      </c>
      <c r="E569" s="29">
        <v>400</v>
      </c>
      <c r="F569" s="50">
        <v>320</v>
      </c>
      <c r="G569" s="21">
        <f t="shared" si="313"/>
        <v>3.657978966620941</v>
      </c>
      <c r="H569" s="6">
        <v>44945</v>
      </c>
      <c r="I569" s="29">
        <v>342.86</v>
      </c>
      <c r="J569" s="30">
        <f t="shared" si="307"/>
        <v>2.895837599087292E-3</v>
      </c>
      <c r="K569" s="35">
        <f t="shared" si="308"/>
        <v>25.739999999999782</v>
      </c>
      <c r="L569" s="21">
        <f t="shared" si="309"/>
        <v>6</v>
      </c>
      <c r="M569" s="9">
        <f t="shared" si="310"/>
        <v>1</v>
      </c>
      <c r="N569">
        <f t="shared" si="311"/>
        <v>25.739999999999782</v>
      </c>
      <c r="O569">
        <f t="shared" si="312"/>
        <v>0</v>
      </c>
      <c r="R569" s="28">
        <v>1549.75</v>
      </c>
    </row>
    <row r="570" spans="1:18">
      <c r="A570" s="6">
        <v>44938</v>
      </c>
      <c r="B570" s="55" t="s">
        <v>284</v>
      </c>
      <c r="C570" s="57">
        <v>100</v>
      </c>
      <c r="D570">
        <v>17</v>
      </c>
      <c r="E570" s="29">
        <v>50</v>
      </c>
      <c r="F570" s="50">
        <v>8.5</v>
      </c>
      <c r="G570" s="21">
        <f t="shared" ref="G570:G583" si="314" xml:space="preserve"> (E570 - F570)/(D570-F570)</f>
        <v>4.882352941176471</v>
      </c>
      <c r="H570" s="6">
        <v>44975</v>
      </c>
      <c r="I570" s="16">
        <v>0</v>
      </c>
      <c r="J570" s="25">
        <f t="shared" si="307"/>
        <v>-1</v>
      </c>
      <c r="K570" s="36">
        <f t="shared" si="308"/>
        <v>-1700</v>
      </c>
      <c r="L570" s="21">
        <f t="shared" si="309"/>
        <v>37</v>
      </c>
      <c r="M570" s="9">
        <f t="shared" si="310"/>
        <v>0</v>
      </c>
      <c r="N570">
        <f t="shared" si="311"/>
        <v>0</v>
      </c>
      <c r="O570">
        <f t="shared" si="312"/>
        <v>-1700</v>
      </c>
    </row>
    <row r="571" spans="1:18">
      <c r="A571" s="6">
        <v>44938</v>
      </c>
      <c r="B571" s="55" t="s">
        <v>43</v>
      </c>
      <c r="C571" s="57">
        <v>400</v>
      </c>
      <c r="D571">
        <v>2.0099999999999998</v>
      </c>
      <c r="E571" s="29">
        <v>6</v>
      </c>
      <c r="F571" s="50">
        <v>1</v>
      </c>
      <c r="G571" s="21">
        <f t="shared" si="314"/>
        <v>4.9504950495049513</v>
      </c>
      <c r="H571" s="6">
        <v>44974</v>
      </c>
      <c r="I571" s="16">
        <v>0</v>
      </c>
      <c r="J571" s="25">
        <f>I571/D571 -1</f>
        <v>-1</v>
      </c>
      <c r="K571" s="36">
        <f>(C571*I571) - (C571*D571)</f>
        <v>-803.99999999999989</v>
      </c>
      <c r="L571" s="21">
        <f t="shared" si="309"/>
        <v>36</v>
      </c>
      <c r="M571" s="9">
        <f>IF(J571&gt;0,1,0)</f>
        <v>0</v>
      </c>
      <c r="N571">
        <f>IF(K571&gt;0, K571, 0)</f>
        <v>0</v>
      </c>
      <c r="O571">
        <f>IF(K571&lt;0, K571, 0)</f>
        <v>-803.99999999999989</v>
      </c>
    </row>
    <row r="572" spans="1:18">
      <c r="A572" s="6">
        <v>44938</v>
      </c>
      <c r="B572" s="55" t="s">
        <v>61</v>
      </c>
      <c r="C572" s="57">
        <v>100</v>
      </c>
      <c r="D572">
        <v>13.9</v>
      </c>
      <c r="E572" s="29">
        <v>43</v>
      </c>
      <c r="F572" s="50">
        <v>7</v>
      </c>
      <c r="G572" s="21">
        <f t="shared" si="314"/>
        <v>5.2173913043478262</v>
      </c>
      <c r="H572" s="6">
        <v>44974</v>
      </c>
      <c r="I572" s="16">
        <v>0</v>
      </c>
      <c r="J572" s="25">
        <f>I572/D572 -1</f>
        <v>-1</v>
      </c>
      <c r="K572" s="36">
        <f>(C572*I572) - (C572*D572)</f>
        <v>-1390</v>
      </c>
      <c r="L572" s="21">
        <f t="shared" si="309"/>
        <v>36</v>
      </c>
      <c r="M572" s="9">
        <f>IF(J572&gt;0,1,0)</f>
        <v>0</v>
      </c>
      <c r="N572">
        <f>IF(K572&gt;0, K572, 0)</f>
        <v>0</v>
      </c>
      <c r="O572">
        <f>IF(K572&lt;0, K572, 0)</f>
        <v>-1390</v>
      </c>
    </row>
    <row r="573" spans="1:18">
      <c r="A573" s="6">
        <v>44938</v>
      </c>
      <c r="B573" s="1" t="s">
        <v>284</v>
      </c>
      <c r="C573" s="9">
        <v>89</v>
      </c>
      <c r="D573">
        <v>86.39</v>
      </c>
      <c r="E573" s="29">
        <v>120</v>
      </c>
      <c r="F573" s="50">
        <v>77</v>
      </c>
      <c r="G573" s="21">
        <f t="shared" si="314"/>
        <v>4.5793397231096913</v>
      </c>
      <c r="H573" s="6">
        <v>44944</v>
      </c>
      <c r="I573" s="16">
        <v>77.010000000000005</v>
      </c>
      <c r="J573" s="25">
        <f t="shared" ref="J573:J583" si="315">I573/D573 -1</f>
        <v>-0.10857738164139363</v>
      </c>
      <c r="K573" s="36">
        <f t="shared" ref="K573:K583" si="316">(C573*I573) - (C573*D573)</f>
        <v>-834.81999999999971</v>
      </c>
      <c r="L573" s="21">
        <f t="shared" si="309"/>
        <v>6</v>
      </c>
      <c r="M573" s="9">
        <f t="shared" ref="M573:M583" si="317">IF(J573&gt;0,1,0)</f>
        <v>0</v>
      </c>
      <c r="N573">
        <f t="shared" ref="N573:N583" si="318">IF(K573&gt;0, K573, 0)</f>
        <v>0</v>
      </c>
      <c r="O573">
        <f t="shared" ref="O573:O583" si="319">IF(K573&lt;0, K573, 0)</f>
        <v>-834.81999999999971</v>
      </c>
    </row>
    <row r="574" spans="1:18">
      <c r="A574" s="6">
        <v>44938</v>
      </c>
      <c r="B574" s="1" t="s">
        <v>427</v>
      </c>
      <c r="C574" s="9">
        <v>26</v>
      </c>
      <c r="D574">
        <v>314.86</v>
      </c>
      <c r="E574" s="29">
        <v>380</v>
      </c>
      <c r="F574" s="50">
        <v>296</v>
      </c>
      <c r="G574" s="21">
        <f t="shared" si="314"/>
        <v>4.4538706256627751</v>
      </c>
      <c r="H574" s="6">
        <v>44943</v>
      </c>
      <c r="I574" s="16">
        <v>314</v>
      </c>
      <c r="J574" s="25">
        <f t="shared" si="315"/>
        <v>-2.7313726735692656E-3</v>
      </c>
      <c r="K574" s="36">
        <f t="shared" si="316"/>
        <v>-22.360000000000582</v>
      </c>
      <c r="L574" s="21">
        <f t="shared" si="309"/>
        <v>5</v>
      </c>
      <c r="M574" s="9">
        <f t="shared" si="317"/>
        <v>0</v>
      </c>
      <c r="N574">
        <f t="shared" si="318"/>
        <v>0</v>
      </c>
      <c r="O574">
        <f t="shared" si="319"/>
        <v>-22.360000000000582</v>
      </c>
      <c r="R574" s="28">
        <v>1034.8</v>
      </c>
    </row>
    <row r="575" spans="1:18">
      <c r="A575" s="6">
        <v>44937</v>
      </c>
      <c r="B575" s="1" t="s">
        <v>374</v>
      </c>
      <c r="C575" s="9">
        <v>11</v>
      </c>
      <c r="D575">
        <v>105.99</v>
      </c>
      <c r="E575" s="29">
        <v>120</v>
      </c>
      <c r="F575" s="50">
        <v>98</v>
      </c>
      <c r="G575" s="21">
        <f t="shared" si="314"/>
        <v>2.753441802252818</v>
      </c>
      <c r="H575" s="6">
        <v>44949</v>
      </c>
      <c r="I575" s="29">
        <v>110.9</v>
      </c>
      <c r="J575" s="30">
        <f t="shared" si="315"/>
        <v>4.6325125011793755E-2</v>
      </c>
      <c r="K575" s="35">
        <f t="shared" si="316"/>
        <v>54.010000000000218</v>
      </c>
      <c r="L575" s="21">
        <f t="shared" si="309"/>
        <v>12</v>
      </c>
      <c r="M575" s="9">
        <f t="shared" si="317"/>
        <v>1</v>
      </c>
      <c r="N575">
        <f t="shared" si="318"/>
        <v>54.010000000000218</v>
      </c>
      <c r="O575">
        <f t="shared" si="319"/>
        <v>0</v>
      </c>
    </row>
    <row r="576" spans="1:18">
      <c r="A576" s="6">
        <v>44937</v>
      </c>
      <c r="B576" s="55" t="s">
        <v>18</v>
      </c>
      <c r="C576" s="57">
        <v>500</v>
      </c>
      <c r="D576">
        <v>3.8</v>
      </c>
      <c r="E576" s="29">
        <v>11.5</v>
      </c>
      <c r="F576" s="50">
        <v>2</v>
      </c>
      <c r="G576" s="21">
        <f t="shared" si="314"/>
        <v>5.2777777777777786</v>
      </c>
      <c r="H576" s="6">
        <v>44944</v>
      </c>
      <c r="I576" s="29">
        <v>5.61</v>
      </c>
      <c r="J576" s="30">
        <f t="shared" si="315"/>
        <v>0.47631578947368447</v>
      </c>
      <c r="K576" s="35">
        <f t="shared" si="316"/>
        <v>905</v>
      </c>
      <c r="L576" s="21">
        <f t="shared" si="309"/>
        <v>7</v>
      </c>
      <c r="M576" s="9">
        <f t="shared" si="317"/>
        <v>1</v>
      </c>
      <c r="N576">
        <f t="shared" si="318"/>
        <v>905</v>
      </c>
      <c r="O576">
        <f t="shared" si="319"/>
        <v>0</v>
      </c>
    </row>
    <row r="577" spans="1:18">
      <c r="A577" s="6">
        <v>44937</v>
      </c>
      <c r="B577" s="55" t="s">
        <v>286</v>
      </c>
      <c r="C577" s="57">
        <v>200</v>
      </c>
      <c r="D577">
        <v>5</v>
      </c>
      <c r="E577" s="29">
        <v>13</v>
      </c>
      <c r="F577" s="50">
        <v>2.5</v>
      </c>
      <c r="G577" s="21">
        <f t="shared" si="314"/>
        <v>4.2</v>
      </c>
      <c r="H577" s="6">
        <v>44946</v>
      </c>
      <c r="I577" s="29">
        <v>5.47</v>
      </c>
      <c r="J577" s="30">
        <f t="shared" si="315"/>
        <v>9.3999999999999861E-2</v>
      </c>
      <c r="K577" s="35">
        <f t="shared" si="316"/>
        <v>94</v>
      </c>
      <c r="L577" s="21">
        <f t="shared" si="309"/>
        <v>9</v>
      </c>
      <c r="M577" s="9">
        <f t="shared" si="317"/>
        <v>1</v>
      </c>
      <c r="N577">
        <f t="shared" si="318"/>
        <v>94</v>
      </c>
      <c r="O577">
        <f t="shared" si="319"/>
        <v>0</v>
      </c>
    </row>
    <row r="578" spans="1:18">
      <c r="A578" s="6">
        <v>44937</v>
      </c>
      <c r="B578" s="55" t="s">
        <v>324</v>
      </c>
      <c r="C578" s="57">
        <v>200</v>
      </c>
      <c r="D578">
        <v>7</v>
      </c>
      <c r="E578" s="29">
        <v>22</v>
      </c>
      <c r="F578" s="50">
        <v>3.5</v>
      </c>
      <c r="G578" s="21">
        <f t="shared" si="314"/>
        <v>5.2857142857142856</v>
      </c>
      <c r="H578" s="6">
        <v>44950</v>
      </c>
      <c r="I578" s="29">
        <v>10</v>
      </c>
      <c r="J578" s="30">
        <f t="shared" si="315"/>
        <v>0.4285714285714286</v>
      </c>
      <c r="K578" s="35">
        <f t="shared" si="316"/>
        <v>600</v>
      </c>
      <c r="L578" s="24"/>
      <c r="M578" s="52">
        <f t="shared" si="317"/>
        <v>1</v>
      </c>
      <c r="N578" s="24">
        <f t="shared" si="318"/>
        <v>600</v>
      </c>
      <c r="O578" s="17">
        <f t="shared" si="319"/>
        <v>0</v>
      </c>
    </row>
    <row r="579" spans="1:18">
      <c r="A579" s="6">
        <v>44937</v>
      </c>
      <c r="B579" s="1" t="s">
        <v>462</v>
      </c>
      <c r="C579" s="9">
        <v>89</v>
      </c>
      <c r="D579">
        <v>84.2</v>
      </c>
      <c r="E579" s="29">
        <v>100</v>
      </c>
      <c r="F579" s="50">
        <v>80</v>
      </c>
      <c r="G579" s="21">
        <f t="shared" si="314"/>
        <v>4.7619047619047583</v>
      </c>
      <c r="H579" s="6">
        <v>44946</v>
      </c>
      <c r="I579" s="29">
        <v>86.6</v>
      </c>
      <c r="J579" s="30">
        <f t="shared" si="315"/>
        <v>2.8503562945368044E-2</v>
      </c>
      <c r="K579" s="35">
        <f t="shared" si="316"/>
        <v>213.59999999999945</v>
      </c>
      <c r="L579" s="21">
        <f t="shared" ref="L579:L598" si="320">H579-A579</f>
        <v>9</v>
      </c>
      <c r="M579" s="9">
        <f t="shared" si="317"/>
        <v>1</v>
      </c>
      <c r="N579">
        <f t="shared" si="318"/>
        <v>213.59999999999945</v>
      </c>
      <c r="O579">
        <f t="shared" si="319"/>
        <v>0</v>
      </c>
      <c r="R579" s="28">
        <v>843.03</v>
      </c>
    </row>
    <row r="580" spans="1:18">
      <c r="A580" s="6">
        <v>44936</v>
      </c>
      <c r="B580" s="1" t="s">
        <v>18</v>
      </c>
      <c r="C580" s="9">
        <v>23</v>
      </c>
      <c r="D580">
        <v>47.7</v>
      </c>
      <c r="E580" s="29">
        <v>55</v>
      </c>
      <c r="F580" s="50">
        <v>43.1</v>
      </c>
      <c r="G580" s="21">
        <f t="shared" si="314"/>
        <v>2.5869565217391295</v>
      </c>
      <c r="H580" s="59">
        <v>44937</v>
      </c>
      <c r="I580" s="16">
        <v>44.83</v>
      </c>
      <c r="J580" s="25">
        <f t="shared" si="315"/>
        <v>-6.0167714884696077E-2</v>
      </c>
      <c r="K580" s="36">
        <f t="shared" si="316"/>
        <v>-66.010000000000218</v>
      </c>
      <c r="L580" s="21">
        <f t="shared" si="320"/>
        <v>1</v>
      </c>
      <c r="M580" s="9">
        <f t="shared" si="317"/>
        <v>0</v>
      </c>
      <c r="N580">
        <f t="shared" si="318"/>
        <v>0</v>
      </c>
      <c r="O580">
        <f t="shared" si="319"/>
        <v>-66.010000000000218</v>
      </c>
    </row>
    <row r="581" spans="1:18">
      <c r="A581" s="6">
        <v>44936</v>
      </c>
      <c r="B581" s="55" t="s">
        <v>57</v>
      </c>
      <c r="C581" s="57">
        <v>100</v>
      </c>
      <c r="D581">
        <v>13.8</v>
      </c>
      <c r="E581" s="29">
        <v>40</v>
      </c>
      <c r="F581" s="50">
        <v>7</v>
      </c>
      <c r="G581" s="21">
        <f t="shared" si="314"/>
        <v>4.8529411764705879</v>
      </c>
      <c r="H581" s="6">
        <v>44945</v>
      </c>
      <c r="I581" s="29">
        <v>17.5</v>
      </c>
      <c r="J581" s="30">
        <f t="shared" si="315"/>
        <v>0.26811594202898537</v>
      </c>
      <c r="K581" s="35">
        <f t="shared" si="316"/>
        <v>370</v>
      </c>
      <c r="L581" s="21">
        <f t="shared" si="320"/>
        <v>9</v>
      </c>
      <c r="M581" s="9">
        <f t="shared" si="317"/>
        <v>1</v>
      </c>
      <c r="N581">
        <f t="shared" si="318"/>
        <v>370</v>
      </c>
      <c r="O581">
        <f t="shared" si="319"/>
        <v>0</v>
      </c>
    </row>
    <row r="582" spans="1:18">
      <c r="A582" s="6">
        <v>44936</v>
      </c>
      <c r="B582" s="1" t="s">
        <v>217</v>
      </c>
      <c r="C582" s="9">
        <v>77</v>
      </c>
      <c r="D582">
        <v>103.03</v>
      </c>
      <c r="E582" s="29">
        <v>115</v>
      </c>
      <c r="F582" s="50">
        <v>98</v>
      </c>
      <c r="G582" s="21">
        <f t="shared" si="314"/>
        <v>3.3797216699801185</v>
      </c>
      <c r="H582" s="6">
        <v>44938</v>
      </c>
      <c r="I582" s="29">
        <v>104.44</v>
      </c>
      <c r="J582" s="30">
        <f t="shared" si="315"/>
        <v>1.3685334368630508E-2</v>
      </c>
      <c r="K582" s="35">
        <f t="shared" si="316"/>
        <v>108.56999999999971</v>
      </c>
      <c r="L582" s="21">
        <f t="shared" si="320"/>
        <v>2</v>
      </c>
      <c r="M582" s="9">
        <f t="shared" si="317"/>
        <v>1</v>
      </c>
      <c r="N582">
        <f t="shared" si="318"/>
        <v>108.56999999999971</v>
      </c>
      <c r="O582">
        <f t="shared" si="319"/>
        <v>0</v>
      </c>
    </row>
    <row r="583" spans="1:18">
      <c r="A583" s="6">
        <v>44936</v>
      </c>
      <c r="B583" s="55" t="s">
        <v>88</v>
      </c>
      <c r="C583" s="57">
        <v>1000</v>
      </c>
      <c r="D583">
        <v>0.92</v>
      </c>
      <c r="E583" s="29">
        <v>2.8</v>
      </c>
      <c r="F583" s="50">
        <v>0.43</v>
      </c>
      <c r="G583" s="21">
        <f t="shared" si="314"/>
        <v>4.83673469387755</v>
      </c>
      <c r="H583" s="6">
        <v>44974</v>
      </c>
      <c r="I583" s="16">
        <v>0</v>
      </c>
      <c r="J583" s="25">
        <f t="shared" si="315"/>
        <v>-1</v>
      </c>
      <c r="K583" s="36">
        <f t="shared" si="316"/>
        <v>-920</v>
      </c>
      <c r="L583" s="24">
        <f t="shared" si="320"/>
        <v>38</v>
      </c>
      <c r="M583" s="52">
        <f t="shared" si="317"/>
        <v>0</v>
      </c>
      <c r="N583" s="24">
        <f t="shared" si="318"/>
        <v>0</v>
      </c>
      <c r="O583" s="17">
        <f t="shared" si="319"/>
        <v>-920</v>
      </c>
      <c r="R583" s="64">
        <v>849.9</v>
      </c>
    </row>
    <row r="584" spans="1:18">
      <c r="A584" s="6">
        <v>44935</v>
      </c>
      <c r="B584" s="55" t="s">
        <v>165</v>
      </c>
      <c r="C584" s="57">
        <v>300</v>
      </c>
      <c r="D584">
        <v>3.8</v>
      </c>
      <c r="E584" s="29">
        <v>11</v>
      </c>
      <c r="F584" s="50">
        <v>1.9</v>
      </c>
      <c r="G584" s="21">
        <f t="shared" ref="G584:G591" si="321" xml:space="preserve"> (E584 - F584)/(D584-F584)</f>
        <v>4.7894736842105265</v>
      </c>
      <c r="H584" s="6">
        <v>44938</v>
      </c>
      <c r="I584" s="29">
        <v>4.2</v>
      </c>
      <c r="J584" s="30">
        <f t="shared" ref="J584:J589" si="322">I584/D584 -1</f>
        <v>0.10526315789473695</v>
      </c>
      <c r="K584" s="35">
        <f t="shared" ref="K584:K589" si="323">(C584*I584) - (C584*D584)</f>
        <v>120</v>
      </c>
      <c r="L584" s="21">
        <f t="shared" si="320"/>
        <v>3</v>
      </c>
      <c r="M584" s="9">
        <f t="shared" ref="M584:M589" si="324">IF(J584&gt;0,1,0)</f>
        <v>1</v>
      </c>
      <c r="N584">
        <f t="shared" ref="N584:N589" si="325">IF(K584&gt;0, K584, 0)</f>
        <v>120</v>
      </c>
      <c r="O584">
        <f t="shared" ref="O584:O589" si="326">IF(K584&lt;0, K584, 0)</f>
        <v>0</v>
      </c>
    </row>
    <row r="585" spans="1:18">
      <c r="A585" s="6">
        <v>44935</v>
      </c>
      <c r="B585" s="1" t="s">
        <v>132</v>
      </c>
      <c r="C585" s="9">
        <v>200</v>
      </c>
      <c r="D585">
        <v>3.06</v>
      </c>
      <c r="E585" s="29">
        <v>4.5</v>
      </c>
      <c r="F585" s="50">
        <v>3</v>
      </c>
      <c r="G585" s="21">
        <f t="shared" si="321"/>
        <v>24.999999999999979</v>
      </c>
      <c r="H585" s="6">
        <v>44978</v>
      </c>
      <c r="I585" s="29">
        <v>3.74</v>
      </c>
      <c r="J585" s="30">
        <f t="shared" si="322"/>
        <v>0.22222222222222232</v>
      </c>
      <c r="K585" s="35">
        <f t="shared" si="323"/>
        <v>136</v>
      </c>
      <c r="L585" s="24">
        <f t="shared" si="320"/>
        <v>43</v>
      </c>
      <c r="M585" s="52">
        <f t="shared" si="324"/>
        <v>1</v>
      </c>
      <c r="N585" s="24">
        <f t="shared" si="325"/>
        <v>136</v>
      </c>
      <c r="O585">
        <f t="shared" si="326"/>
        <v>0</v>
      </c>
    </row>
    <row r="586" spans="1:18">
      <c r="A586" s="6">
        <v>44935</v>
      </c>
      <c r="B586" s="55" t="s">
        <v>185</v>
      </c>
      <c r="C586" s="57">
        <v>100</v>
      </c>
      <c r="D586">
        <v>1.9</v>
      </c>
      <c r="E586" s="29">
        <v>6.5</v>
      </c>
      <c r="F586" s="50">
        <v>0.95</v>
      </c>
      <c r="G586" s="21">
        <f t="shared" si="321"/>
        <v>5.8421052631578947</v>
      </c>
      <c r="H586" s="6">
        <v>44944</v>
      </c>
      <c r="I586" s="29">
        <v>2.2999999999999998</v>
      </c>
      <c r="J586" s="30">
        <f t="shared" si="322"/>
        <v>0.21052631578947367</v>
      </c>
      <c r="K586" s="35">
        <f t="shared" si="323"/>
        <v>39.999999999999972</v>
      </c>
      <c r="L586" s="21">
        <f t="shared" si="320"/>
        <v>9</v>
      </c>
      <c r="M586" s="9">
        <f t="shared" si="324"/>
        <v>1</v>
      </c>
      <c r="N586">
        <f t="shared" si="325"/>
        <v>39.999999999999972</v>
      </c>
      <c r="O586">
        <f t="shared" si="326"/>
        <v>0</v>
      </c>
    </row>
    <row r="587" spans="1:18">
      <c r="A587" s="6">
        <v>44935</v>
      </c>
      <c r="B587" s="1" t="s">
        <v>427</v>
      </c>
      <c r="C587" s="9">
        <v>26</v>
      </c>
      <c r="D587">
        <v>293.74</v>
      </c>
      <c r="E587" s="29">
        <v>380</v>
      </c>
      <c r="F587" s="50">
        <v>278</v>
      </c>
      <c r="G587" s="21">
        <f t="shared" si="321"/>
        <v>6.4803049555273153</v>
      </c>
      <c r="H587" s="6">
        <v>44937</v>
      </c>
      <c r="I587" s="29">
        <v>311.18</v>
      </c>
      <c r="J587" s="30">
        <f t="shared" si="322"/>
        <v>5.9372233948389752E-2</v>
      </c>
      <c r="K587" s="35">
        <f t="shared" si="323"/>
        <v>453.44000000000051</v>
      </c>
      <c r="L587" s="21">
        <f t="shared" si="320"/>
        <v>2</v>
      </c>
      <c r="M587" s="9">
        <f t="shared" si="324"/>
        <v>1</v>
      </c>
      <c r="N587">
        <f t="shared" si="325"/>
        <v>453.44000000000051</v>
      </c>
      <c r="O587">
        <f t="shared" si="326"/>
        <v>0</v>
      </c>
    </row>
    <row r="588" spans="1:18">
      <c r="A588" s="6">
        <v>44935</v>
      </c>
      <c r="B588" s="1" t="s">
        <v>286</v>
      </c>
      <c r="C588" s="9">
        <v>305</v>
      </c>
      <c r="D588">
        <v>30.92</v>
      </c>
      <c r="E588" s="29">
        <v>36</v>
      </c>
      <c r="F588" s="50">
        <v>26</v>
      </c>
      <c r="G588" s="21">
        <f t="shared" si="321"/>
        <v>2.0325203252032513</v>
      </c>
      <c r="H588" s="6">
        <v>44936</v>
      </c>
      <c r="I588" s="29">
        <v>33.36</v>
      </c>
      <c r="J588" s="30">
        <f t="shared" si="322"/>
        <v>7.8913324708926202E-2</v>
      </c>
      <c r="K588" s="35">
        <f t="shared" si="323"/>
        <v>744.19999999999891</v>
      </c>
      <c r="L588" s="21">
        <f t="shared" si="320"/>
        <v>1</v>
      </c>
      <c r="M588" s="9">
        <f t="shared" si="324"/>
        <v>1</v>
      </c>
      <c r="N588">
        <f t="shared" si="325"/>
        <v>744.19999999999891</v>
      </c>
      <c r="O588">
        <f t="shared" si="326"/>
        <v>0</v>
      </c>
    </row>
    <row r="589" spans="1:18">
      <c r="A589" s="6">
        <v>44935</v>
      </c>
      <c r="B589" s="55" t="s">
        <v>342</v>
      </c>
      <c r="C589" s="57">
        <v>500</v>
      </c>
      <c r="D589">
        <v>1.55</v>
      </c>
      <c r="E589" s="29">
        <v>5.5</v>
      </c>
      <c r="F589" s="50">
        <v>0.77</v>
      </c>
      <c r="G589" s="21">
        <f t="shared" si="321"/>
        <v>6.0641025641025648</v>
      </c>
      <c r="H589" s="6">
        <v>44974</v>
      </c>
      <c r="I589" s="16">
        <v>0</v>
      </c>
      <c r="J589" s="25">
        <f t="shared" si="322"/>
        <v>-1</v>
      </c>
      <c r="K589" s="36">
        <f t="shared" si="323"/>
        <v>-775</v>
      </c>
      <c r="L589" s="24">
        <f t="shared" si="320"/>
        <v>39</v>
      </c>
      <c r="M589" s="52">
        <f t="shared" si="324"/>
        <v>0</v>
      </c>
      <c r="N589" s="24">
        <f t="shared" si="325"/>
        <v>0</v>
      </c>
      <c r="O589" s="17">
        <f t="shared" si="326"/>
        <v>-775</v>
      </c>
    </row>
    <row r="590" spans="1:18">
      <c r="A590" s="6">
        <v>44935</v>
      </c>
      <c r="B590" s="1" t="s">
        <v>149</v>
      </c>
      <c r="C590" s="9">
        <v>233</v>
      </c>
      <c r="D590">
        <v>36.89</v>
      </c>
      <c r="E590" s="29">
        <v>42</v>
      </c>
      <c r="F590" s="50">
        <v>34.1</v>
      </c>
      <c r="G590" s="21">
        <f t="shared" si="321"/>
        <v>2.8315412186379931</v>
      </c>
      <c r="H590" s="6">
        <v>44945</v>
      </c>
      <c r="I590" s="29">
        <v>37.22</v>
      </c>
      <c r="J590" s="30">
        <f t="shared" ref="J590:J598" si="327">I590/D590 -1</f>
        <v>8.9455136893465959E-3</v>
      </c>
      <c r="K590" s="35">
        <f t="shared" ref="K590:K598" si="328">(C590*I590) - (C590*D590)</f>
        <v>76.889999999999418</v>
      </c>
      <c r="L590" s="21">
        <f t="shared" si="320"/>
        <v>10</v>
      </c>
      <c r="M590" s="9">
        <f t="shared" ref="M590:M598" si="329">IF(J590&gt;0,1,0)</f>
        <v>1</v>
      </c>
      <c r="N590">
        <f t="shared" ref="N590:N598" si="330">IF(K590&gt;0, K590, 0)</f>
        <v>76.889999999999418</v>
      </c>
      <c r="O590">
        <f t="shared" ref="O590:O598" si="331">IF(K590&lt;0, K590, 0)</f>
        <v>0</v>
      </c>
    </row>
    <row r="591" spans="1:18">
      <c r="A591" s="6">
        <v>44935</v>
      </c>
      <c r="B591" s="1" t="s">
        <v>447</v>
      </c>
      <c r="C591" s="9">
        <v>35</v>
      </c>
      <c r="D591">
        <v>242.7</v>
      </c>
      <c r="E591" s="29">
        <v>330</v>
      </c>
      <c r="F591" s="50">
        <v>218.6</v>
      </c>
      <c r="G591" s="21">
        <f t="shared" si="321"/>
        <v>4.6224066390041507</v>
      </c>
      <c r="H591" s="6">
        <v>44949</v>
      </c>
      <c r="I591" s="16">
        <v>218.61</v>
      </c>
      <c r="J591" s="25">
        <f t="shared" si="327"/>
        <v>-9.925834363411612E-2</v>
      </c>
      <c r="K591" s="36">
        <f t="shared" si="328"/>
        <v>-843.14999999999964</v>
      </c>
      <c r="L591" s="24">
        <f t="shared" si="320"/>
        <v>14</v>
      </c>
      <c r="M591" s="52">
        <f t="shared" si="329"/>
        <v>0</v>
      </c>
      <c r="N591" s="24">
        <f t="shared" si="330"/>
        <v>0</v>
      </c>
      <c r="O591" s="17">
        <f t="shared" si="331"/>
        <v>-843.14999999999964</v>
      </c>
      <c r="R591" s="28">
        <v>217.27</v>
      </c>
    </row>
    <row r="592" spans="1:18">
      <c r="A592" s="6">
        <v>44932</v>
      </c>
      <c r="B592" s="1" t="s">
        <v>48</v>
      </c>
      <c r="C592" s="9">
        <v>14</v>
      </c>
      <c r="D592">
        <v>85.52</v>
      </c>
      <c r="E592" s="29">
        <v>110</v>
      </c>
      <c r="F592" s="50">
        <v>80</v>
      </c>
      <c r="G592" s="21">
        <f t="shared" ref="G592:G601" si="332" xml:space="preserve"> (E592 - F592)/(D592-F592)</f>
        <v>5.4347826086956559</v>
      </c>
      <c r="H592" s="6">
        <v>44943</v>
      </c>
      <c r="I592" s="29">
        <v>86.6</v>
      </c>
      <c r="J592" s="30">
        <f t="shared" si="327"/>
        <v>1.2628624883068262E-2</v>
      </c>
      <c r="K592" s="35">
        <f t="shared" si="328"/>
        <v>15.119999999999891</v>
      </c>
      <c r="L592" s="21">
        <f t="shared" si="320"/>
        <v>11</v>
      </c>
      <c r="M592" s="9">
        <f t="shared" si="329"/>
        <v>1</v>
      </c>
      <c r="N592">
        <f t="shared" si="330"/>
        <v>15.119999999999891</v>
      </c>
      <c r="O592">
        <f t="shared" si="331"/>
        <v>0</v>
      </c>
    </row>
    <row r="593" spans="1:18">
      <c r="A593" s="6">
        <v>44932</v>
      </c>
      <c r="B593" s="1" t="s">
        <v>310</v>
      </c>
      <c r="C593" s="9">
        <v>2375</v>
      </c>
      <c r="D593">
        <v>4.28</v>
      </c>
      <c r="E593" s="29">
        <v>4.95</v>
      </c>
      <c r="F593" s="50">
        <v>4</v>
      </c>
      <c r="G593" s="21">
        <f t="shared" si="332"/>
        <v>3.3928571428571406</v>
      </c>
      <c r="H593" s="6">
        <v>44936</v>
      </c>
      <c r="I593" s="29">
        <v>4.45</v>
      </c>
      <c r="J593" s="30">
        <f t="shared" si="327"/>
        <v>3.971962616822422E-2</v>
      </c>
      <c r="K593" s="35">
        <f t="shared" si="328"/>
        <v>403.75</v>
      </c>
      <c r="L593" s="21">
        <f t="shared" si="320"/>
        <v>4</v>
      </c>
      <c r="M593" s="9">
        <f t="shared" si="329"/>
        <v>1</v>
      </c>
      <c r="N593">
        <f t="shared" si="330"/>
        <v>403.75</v>
      </c>
      <c r="O593">
        <f t="shared" si="331"/>
        <v>0</v>
      </c>
    </row>
    <row r="594" spans="1:18">
      <c r="A594" s="6">
        <v>44932</v>
      </c>
      <c r="B594" s="1" t="s">
        <v>217</v>
      </c>
      <c r="C594" s="9">
        <v>89</v>
      </c>
      <c r="D594">
        <v>96.24</v>
      </c>
      <c r="E594" s="29">
        <v>107</v>
      </c>
      <c r="F594" s="50">
        <v>89</v>
      </c>
      <c r="G594" s="21">
        <f t="shared" si="332"/>
        <v>2.4861878453038693</v>
      </c>
      <c r="H594" s="6">
        <v>44935</v>
      </c>
      <c r="I594" s="29">
        <v>102.76</v>
      </c>
      <c r="J594" s="30">
        <f t="shared" si="327"/>
        <v>6.7747298420615332E-2</v>
      </c>
      <c r="K594" s="35">
        <f t="shared" si="328"/>
        <v>580.28000000000247</v>
      </c>
      <c r="L594" s="21">
        <f t="shared" si="320"/>
        <v>3</v>
      </c>
      <c r="M594" s="9">
        <f t="shared" si="329"/>
        <v>1</v>
      </c>
      <c r="N594">
        <f t="shared" si="330"/>
        <v>580.28000000000247</v>
      </c>
      <c r="O594">
        <f t="shared" si="331"/>
        <v>0</v>
      </c>
    </row>
    <row r="595" spans="1:18">
      <c r="A595" s="6">
        <v>44932</v>
      </c>
      <c r="B595" s="1" t="s">
        <v>117</v>
      </c>
      <c r="C595" s="9">
        <v>140</v>
      </c>
      <c r="D595">
        <v>59.77</v>
      </c>
      <c r="E595" s="29">
        <v>77</v>
      </c>
      <c r="F595" s="50">
        <v>56.06</v>
      </c>
      <c r="G595" s="21">
        <f t="shared" si="332"/>
        <v>5.6442048517520194</v>
      </c>
      <c r="H595" s="6">
        <v>44936</v>
      </c>
      <c r="I595" s="16">
        <v>56.06</v>
      </c>
      <c r="J595" s="25">
        <f t="shared" si="327"/>
        <v>-6.2071273213986977E-2</v>
      </c>
      <c r="K595" s="36">
        <f t="shared" si="328"/>
        <v>-519.40000000000055</v>
      </c>
      <c r="L595" s="21">
        <f t="shared" si="320"/>
        <v>4</v>
      </c>
      <c r="M595" s="9">
        <f t="shared" si="329"/>
        <v>0</v>
      </c>
      <c r="N595">
        <f t="shared" si="330"/>
        <v>0</v>
      </c>
      <c r="O595">
        <f t="shared" si="331"/>
        <v>-519.40000000000055</v>
      </c>
    </row>
    <row r="596" spans="1:18">
      <c r="A596" s="6">
        <v>44932</v>
      </c>
      <c r="B596" s="1" t="s">
        <v>20</v>
      </c>
      <c r="C596" s="9">
        <v>26</v>
      </c>
      <c r="D596">
        <v>329.5</v>
      </c>
      <c r="E596" s="29">
        <v>376</v>
      </c>
      <c r="F596" s="50">
        <v>308</v>
      </c>
      <c r="G596" s="21">
        <f t="shared" si="332"/>
        <v>3.1627906976744184</v>
      </c>
      <c r="H596" s="6">
        <v>44937</v>
      </c>
      <c r="I596" s="29">
        <v>357.16</v>
      </c>
      <c r="J596" s="30">
        <f t="shared" si="327"/>
        <v>8.3945371775417277E-2</v>
      </c>
      <c r="K596" s="35">
        <f t="shared" si="328"/>
        <v>719.15999999999985</v>
      </c>
      <c r="L596" s="21">
        <f t="shared" si="320"/>
        <v>5</v>
      </c>
      <c r="M596" s="9">
        <f t="shared" si="329"/>
        <v>1</v>
      </c>
      <c r="N596">
        <f t="shared" si="330"/>
        <v>719.15999999999985</v>
      </c>
      <c r="O596">
        <f t="shared" si="331"/>
        <v>0</v>
      </c>
      <c r="R596" s="28">
        <v>77.17</v>
      </c>
    </row>
    <row r="597" spans="1:18">
      <c r="A597" s="6">
        <v>44931</v>
      </c>
      <c r="B597" s="1" t="s">
        <v>48</v>
      </c>
      <c r="C597" s="9">
        <v>16</v>
      </c>
      <c r="D597">
        <v>83.47</v>
      </c>
      <c r="E597" s="29">
        <v>110</v>
      </c>
      <c r="F597" s="50">
        <v>80</v>
      </c>
      <c r="G597" s="21">
        <f t="shared" si="332"/>
        <v>8.6455331412103771</v>
      </c>
      <c r="H597" s="6">
        <v>44932</v>
      </c>
      <c r="I597" s="29">
        <v>85.52</v>
      </c>
      <c r="J597" s="30">
        <f t="shared" si="327"/>
        <v>2.4559722055828459E-2</v>
      </c>
      <c r="K597" s="35">
        <f t="shared" si="328"/>
        <v>32.799999999999955</v>
      </c>
      <c r="L597" s="21">
        <f t="shared" si="320"/>
        <v>1</v>
      </c>
      <c r="M597" s="9">
        <f t="shared" si="329"/>
        <v>1</v>
      </c>
      <c r="N597">
        <f t="shared" si="330"/>
        <v>32.799999999999955</v>
      </c>
      <c r="O597">
        <f t="shared" si="331"/>
        <v>0</v>
      </c>
    </row>
    <row r="598" spans="1:18">
      <c r="A598" s="6">
        <v>44931</v>
      </c>
      <c r="B598" s="55" t="s">
        <v>48</v>
      </c>
      <c r="C598" s="57">
        <v>200</v>
      </c>
      <c r="D598">
        <v>6.6</v>
      </c>
      <c r="E598" s="29">
        <v>36</v>
      </c>
      <c r="F598" s="50">
        <v>3.45</v>
      </c>
      <c r="G598" s="21">
        <f t="shared" si="332"/>
        <v>10.333333333333334</v>
      </c>
      <c r="H598" s="6">
        <v>44943</v>
      </c>
      <c r="I598" s="29">
        <v>8.32</v>
      </c>
      <c r="J598" s="30">
        <f t="shared" si="327"/>
        <v>0.26060606060606073</v>
      </c>
      <c r="K598" s="35">
        <f t="shared" si="328"/>
        <v>344</v>
      </c>
      <c r="L598" s="24">
        <f t="shared" si="320"/>
        <v>12</v>
      </c>
      <c r="M598" s="52">
        <f t="shared" si="329"/>
        <v>1</v>
      </c>
      <c r="N598" s="24">
        <f t="shared" si="330"/>
        <v>344</v>
      </c>
      <c r="O598">
        <f t="shared" si="331"/>
        <v>0</v>
      </c>
    </row>
    <row r="599" spans="1:18">
      <c r="A599" s="6">
        <v>44931</v>
      </c>
      <c r="B599" s="55" t="s">
        <v>447</v>
      </c>
      <c r="C599" s="57">
        <v>100</v>
      </c>
      <c r="D599">
        <v>38.909999999999997</v>
      </c>
      <c r="E599" s="29">
        <v>80</v>
      </c>
      <c r="F599" s="50">
        <v>8.5</v>
      </c>
      <c r="G599" s="21">
        <f t="shared" si="332"/>
        <v>2.3512002630713584</v>
      </c>
      <c r="J599" s="30"/>
      <c r="K599" s="38"/>
      <c r="L599" s="37"/>
      <c r="N599" s="38"/>
    </row>
    <row r="600" spans="1:18">
      <c r="A600" s="6">
        <v>44931</v>
      </c>
      <c r="B600" s="1" t="s">
        <v>18</v>
      </c>
      <c r="C600" s="9">
        <v>203</v>
      </c>
      <c r="D600">
        <v>43.92</v>
      </c>
      <c r="E600" s="29">
        <v>55</v>
      </c>
      <c r="F600" s="50">
        <v>42.2</v>
      </c>
      <c r="G600" s="21">
        <f t="shared" si="332"/>
        <v>7.4418604651162825</v>
      </c>
      <c r="H600" s="6">
        <v>44932</v>
      </c>
      <c r="I600" s="29">
        <v>45.33</v>
      </c>
      <c r="J600" s="30">
        <f t="shared" ref="J600:J607" si="333">I600/D600 -1</f>
        <v>3.2103825136611919E-2</v>
      </c>
      <c r="K600" s="35">
        <f t="shared" ref="K600:K607" si="334">(C600*I600) - (C600*D600)</f>
        <v>286.22999999999956</v>
      </c>
      <c r="L600" s="21">
        <f t="shared" ref="L600:L632" si="335">H600-A600</f>
        <v>1</v>
      </c>
      <c r="M600" s="9">
        <f t="shared" ref="M600:M607" si="336">IF(J600&gt;0,1,0)</f>
        <v>1</v>
      </c>
      <c r="N600">
        <f t="shared" ref="N600:N607" si="337">IF(K600&gt;0, K600, 0)</f>
        <v>286.22999999999956</v>
      </c>
      <c r="O600">
        <f t="shared" ref="O600:O607" si="338">IF(K600&lt;0, K600, 0)</f>
        <v>0</v>
      </c>
    </row>
    <row r="601" spans="1:18">
      <c r="A601" s="6">
        <v>44931</v>
      </c>
      <c r="B601" s="1" t="s">
        <v>149</v>
      </c>
      <c r="C601" s="9">
        <v>233</v>
      </c>
      <c r="D601">
        <v>35.74</v>
      </c>
      <c r="E601" s="29">
        <v>42</v>
      </c>
      <c r="F601" s="50">
        <v>33</v>
      </c>
      <c r="G601" s="21">
        <f t="shared" si="332"/>
        <v>3.2846715328467129</v>
      </c>
      <c r="H601" s="6">
        <v>44932</v>
      </c>
      <c r="I601" s="29">
        <v>36.07</v>
      </c>
      <c r="J601" s="30">
        <f t="shared" si="333"/>
        <v>9.2333519865697156E-3</v>
      </c>
      <c r="K601" s="35">
        <f t="shared" si="334"/>
        <v>76.889999999999418</v>
      </c>
      <c r="L601" s="21">
        <f t="shared" si="335"/>
        <v>1</v>
      </c>
      <c r="M601" s="9">
        <f t="shared" si="336"/>
        <v>1</v>
      </c>
      <c r="N601">
        <f t="shared" si="337"/>
        <v>76.889999999999418</v>
      </c>
      <c r="O601">
        <f t="shared" si="338"/>
        <v>0</v>
      </c>
      <c r="R601" s="29">
        <v>819.22</v>
      </c>
    </row>
    <row r="602" spans="1:18">
      <c r="A602" s="6">
        <v>44930</v>
      </c>
      <c r="B602" s="1" t="s">
        <v>432</v>
      </c>
      <c r="C602" s="9">
        <v>14</v>
      </c>
      <c r="D602">
        <v>89.26</v>
      </c>
      <c r="E602" s="29">
        <v>109</v>
      </c>
      <c r="F602" s="50">
        <v>82.7</v>
      </c>
      <c r="G602" s="21">
        <f t="shared" ref="G602:G607" si="339" xml:space="preserve"> (E602 - F602)/(D602-F602)</f>
        <v>4.0091463414634125</v>
      </c>
      <c r="H602" s="6">
        <v>44931</v>
      </c>
      <c r="I602" s="29">
        <v>93.5</v>
      </c>
      <c r="J602" s="30">
        <f t="shared" si="333"/>
        <v>4.7501680483979403E-2</v>
      </c>
      <c r="K602" s="35">
        <f t="shared" si="334"/>
        <v>59.3599999999999</v>
      </c>
      <c r="L602" s="21">
        <f t="shared" si="335"/>
        <v>1</v>
      </c>
      <c r="M602" s="9">
        <f t="shared" si="336"/>
        <v>1</v>
      </c>
      <c r="N602">
        <f t="shared" si="337"/>
        <v>59.3599999999999</v>
      </c>
      <c r="O602">
        <f t="shared" si="338"/>
        <v>0</v>
      </c>
    </row>
    <row r="603" spans="1:18">
      <c r="A603" s="6">
        <v>44930</v>
      </c>
      <c r="B603" s="1" t="s">
        <v>286</v>
      </c>
      <c r="C603" s="9">
        <v>305</v>
      </c>
      <c r="D603">
        <v>30.22</v>
      </c>
      <c r="E603" s="29">
        <v>40</v>
      </c>
      <c r="F603" s="50">
        <v>26</v>
      </c>
      <c r="G603" s="21">
        <f t="shared" si="339"/>
        <v>3.3175355450236976</v>
      </c>
      <c r="H603" s="6">
        <v>44932</v>
      </c>
      <c r="I603" s="29">
        <v>31.65</v>
      </c>
      <c r="J603" s="30">
        <f t="shared" si="333"/>
        <v>4.7319655857048337E-2</v>
      </c>
      <c r="K603" s="35">
        <f t="shared" si="334"/>
        <v>436.14999999999964</v>
      </c>
      <c r="L603" s="21">
        <f t="shared" si="335"/>
        <v>2</v>
      </c>
      <c r="M603" s="9">
        <f t="shared" si="336"/>
        <v>1</v>
      </c>
      <c r="N603">
        <f t="shared" si="337"/>
        <v>436.14999999999964</v>
      </c>
      <c r="O603">
        <f t="shared" si="338"/>
        <v>0</v>
      </c>
    </row>
    <row r="604" spans="1:18">
      <c r="A604" s="6">
        <v>44929</v>
      </c>
      <c r="B604" s="1" t="s">
        <v>185</v>
      </c>
      <c r="C604" s="9">
        <v>107</v>
      </c>
      <c r="D604">
        <v>11.04</v>
      </c>
      <c r="E604" s="29">
        <v>19</v>
      </c>
      <c r="F604" s="50">
        <v>7.73</v>
      </c>
      <c r="G604" s="21">
        <f t="shared" si="339"/>
        <v>3.4048338368580073</v>
      </c>
      <c r="H604" s="6">
        <v>44930</v>
      </c>
      <c r="I604" s="29">
        <v>11.21</v>
      </c>
      <c r="J604" s="30">
        <f t="shared" si="333"/>
        <v>1.5398550724637916E-2</v>
      </c>
      <c r="K604" s="35">
        <f t="shared" si="334"/>
        <v>18.190000000000055</v>
      </c>
      <c r="L604" s="21">
        <f t="shared" si="335"/>
        <v>1</v>
      </c>
      <c r="M604" s="9">
        <f t="shared" si="336"/>
        <v>1</v>
      </c>
      <c r="N604">
        <f t="shared" si="337"/>
        <v>18.190000000000055</v>
      </c>
      <c r="O604">
        <f t="shared" si="338"/>
        <v>0</v>
      </c>
    </row>
    <row r="605" spans="1:18">
      <c r="A605" s="6">
        <v>44929</v>
      </c>
      <c r="B605" s="1" t="s">
        <v>284</v>
      </c>
      <c r="C605" s="9">
        <v>89</v>
      </c>
      <c r="D605">
        <v>95.41</v>
      </c>
      <c r="E605" s="29">
        <v>120</v>
      </c>
      <c r="F605" s="50">
        <v>82.97</v>
      </c>
      <c r="G605" s="21">
        <f t="shared" si="339"/>
        <v>2.9766881028938914</v>
      </c>
      <c r="H605" s="6">
        <v>44937</v>
      </c>
      <c r="I605" s="16">
        <v>82.87</v>
      </c>
      <c r="J605" s="25">
        <f t="shared" si="333"/>
        <v>-0.13143276386123037</v>
      </c>
      <c r="K605" s="36">
        <f t="shared" si="334"/>
        <v>-1116.0599999999995</v>
      </c>
      <c r="L605" s="24">
        <f t="shared" si="335"/>
        <v>8</v>
      </c>
      <c r="M605" s="52">
        <f t="shared" si="336"/>
        <v>0</v>
      </c>
      <c r="N605" s="24">
        <f t="shared" si="337"/>
        <v>0</v>
      </c>
      <c r="O605" s="17">
        <f t="shared" si="338"/>
        <v>-1116.0599999999995</v>
      </c>
    </row>
    <row r="606" spans="1:18">
      <c r="A606" s="6">
        <v>44929</v>
      </c>
      <c r="B606" s="1" t="s">
        <v>310</v>
      </c>
      <c r="C606" s="9">
        <v>2375</v>
      </c>
      <c r="D606">
        <v>4.17</v>
      </c>
      <c r="E606" s="29">
        <v>4.95</v>
      </c>
      <c r="F606" s="50">
        <v>3.59</v>
      </c>
      <c r="G606" s="21">
        <f t="shared" si="339"/>
        <v>2.3448275862068968</v>
      </c>
      <c r="H606" s="6">
        <v>44931</v>
      </c>
      <c r="I606" s="29">
        <v>4.2300000000000004</v>
      </c>
      <c r="J606" s="30">
        <f t="shared" si="333"/>
        <v>1.4388489208633226E-2</v>
      </c>
      <c r="K606" s="35">
        <f t="shared" si="334"/>
        <v>142.50000000000182</v>
      </c>
      <c r="L606" s="21">
        <f t="shared" si="335"/>
        <v>2</v>
      </c>
      <c r="M606" s="9">
        <f t="shared" si="336"/>
        <v>1</v>
      </c>
      <c r="N606">
        <f t="shared" si="337"/>
        <v>142.50000000000182</v>
      </c>
      <c r="O606">
        <f t="shared" si="338"/>
        <v>0</v>
      </c>
    </row>
    <row r="607" spans="1:18">
      <c r="A607" s="6">
        <v>44929</v>
      </c>
      <c r="B607" s="1" t="s">
        <v>457</v>
      </c>
      <c r="C607" s="9">
        <v>152</v>
      </c>
      <c r="D607">
        <v>55.33</v>
      </c>
      <c r="E607" s="29">
        <v>65</v>
      </c>
      <c r="F607" s="50">
        <v>52</v>
      </c>
      <c r="G607" s="21">
        <f t="shared" si="339"/>
        <v>3.9039039039039061</v>
      </c>
      <c r="H607" s="6">
        <v>44957</v>
      </c>
      <c r="I607" s="29">
        <v>56.97</v>
      </c>
      <c r="J607" s="30">
        <f t="shared" si="333"/>
        <v>2.9640339779504865E-2</v>
      </c>
      <c r="K607" s="35">
        <f t="shared" si="334"/>
        <v>249.28000000000065</v>
      </c>
      <c r="L607" s="24">
        <f t="shared" si="335"/>
        <v>28</v>
      </c>
      <c r="M607" s="52">
        <f t="shared" si="336"/>
        <v>1</v>
      </c>
      <c r="N607" s="24">
        <f t="shared" si="337"/>
        <v>249.28000000000065</v>
      </c>
      <c r="O607">
        <f t="shared" si="338"/>
        <v>0</v>
      </c>
      <c r="R607" s="28">
        <v>291.67</v>
      </c>
    </row>
    <row r="608" spans="1:18">
      <c r="A608" s="6">
        <v>44925</v>
      </c>
      <c r="B608" s="1" t="s">
        <v>15</v>
      </c>
      <c r="C608" s="9">
        <v>10</v>
      </c>
      <c r="D608">
        <v>116.76</v>
      </c>
      <c r="E608" s="29">
        <v>134</v>
      </c>
      <c r="F608" s="50">
        <v>109.7</v>
      </c>
      <c r="G608" s="21">
        <f t="shared" ref="G608:G632" si="340" xml:space="preserve"> (E608 - F608)/(D608-F608)</f>
        <v>3.4419263456090636</v>
      </c>
      <c r="H608" s="6">
        <v>44935</v>
      </c>
      <c r="I608" s="29">
        <v>117.54</v>
      </c>
      <c r="J608" s="30">
        <f t="shared" ref="J608:J614" si="341">I608/D608 -1</f>
        <v>6.6803699897224345E-3</v>
      </c>
      <c r="K608" s="35">
        <f t="shared" ref="K608:K614" si="342">(C608*I608) - (C608*D608)</f>
        <v>7.7999999999999545</v>
      </c>
      <c r="L608" s="21">
        <f t="shared" si="335"/>
        <v>10</v>
      </c>
      <c r="M608" s="9">
        <f t="shared" ref="M608:M614" si="343">IF(J608&gt;0,1,0)</f>
        <v>1</v>
      </c>
      <c r="N608">
        <f t="shared" ref="N608:N614" si="344">IF(K608&gt;0, K608, 0)</f>
        <v>7.7999999999999545</v>
      </c>
      <c r="O608">
        <f t="shared" ref="O608:O614" si="345">IF(K608&lt;0, K608, 0)</f>
        <v>0</v>
      </c>
    </row>
    <row r="609" spans="1:18">
      <c r="A609" s="6">
        <v>44925</v>
      </c>
      <c r="B609" s="55" t="s">
        <v>140</v>
      </c>
      <c r="C609" s="9">
        <v>200</v>
      </c>
      <c r="D609">
        <v>0.25</v>
      </c>
      <c r="E609" s="29">
        <v>0.75</v>
      </c>
      <c r="F609" s="50">
        <v>0.12</v>
      </c>
      <c r="G609" s="21">
        <f t="shared" si="340"/>
        <v>4.8461538461538458</v>
      </c>
      <c r="H609" s="6">
        <v>44946</v>
      </c>
      <c r="I609" s="16">
        <v>0</v>
      </c>
      <c r="J609" s="25">
        <f t="shared" si="341"/>
        <v>-1</v>
      </c>
      <c r="K609" s="36">
        <f t="shared" si="342"/>
        <v>-50</v>
      </c>
      <c r="L609" s="24">
        <f t="shared" si="335"/>
        <v>21</v>
      </c>
      <c r="M609" s="52">
        <f t="shared" si="343"/>
        <v>0</v>
      </c>
      <c r="N609" s="24">
        <f t="shared" si="344"/>
        <v>0</v>
      </c>
      <c r="O609" s="17">
        <f t="shared" si="345"/>
        <v>-50</v>
      </c>
    </row>
    <row r="610" spans="1:18">
      <c r="A610" s="6">
        <v>44925</v>
      </c>
      <c r="B610" s="1" t="s">
        <v>231</v>
      </c>
      <c r="C610" s="9">
        <v>140</v>
      </c>
      <c r="D610">
        <v>69.63</v>
      </c>
      <c r="E610" s="29">
        <v>100</v>
      </c>
      <c r="F610" s="50">
        <v>66.319999999999993</v>
      </c>
      <c r="G610" s="21">
        <f t="shared" si="340"/>
        <v>10.175226586102713</v>
      </c>
      <c r="H610" s="6">
        <v>44930</v>
      </c>
      <c r="I610" s="29">
        <v>77.34</v>
      </c>
      <c r="J610" s="30">
        <f t="shared" si="341"/>
        <v>0.11072813442481699</v>
      </c>
      <c r="K610" s="35">
        <f t="shared" si="342"/>
        <v>1079.4000000000015</v>
      </c>
      <c r="L610" s="21">
        <f t="shared" si="335"/>
        <v>5</v>
      </c>
      <c r="M610" s="9">
        <f t="shared" si="343"/>
        <v>1</v>
      </c>
      <c r="N610">
        <f t="shared" si="344"/>
        <v>1079.4000000000015</v>
      </c>
      <c r="O610">
        <f t="shared" si="345"/>
        <v>0</v>
      </c>
    </row>
    <row r="611" spans="1:18">
      <c r="A611" s="6">
        <v>44925</v>
      </c>
      <c r="B611" s="55" t="s">
        <v>117</v>
      </c>
      <c r="C611" s="9">
        <v>300</v>
      </c>
      <c r="D611">
        <v>3.41</v>
      </c>
      <c r="E611" s="29">
        <v>10.23</v>
      </c>
      <c r="F611" s="50">
        <v>1.7</v>
      </c>
      <c r="G611" s="21">
        <f t="shared" si="340"/>
        <v>4.988304093567252</v>
      </c>
      <c r="H611" s="6">
        <v>44946</v>
      </c>
      <c r="I611" s="16">
        <v>0</v>
      </c>
      <c r="J611" s="25">
        <f t="shared" si="341"/>
        <v>-1</v>
      </c>
      <c r="K611" s="36">
        <f t="shared" si="342"/>
        <v>-1023</v>
      </c>
      <c r="L611" s="24">
        <f t="shared" si="335"/>
        <v>21</v>
      </c>
      <c r="M611" s="52">
        <f t="shared" si="343"/>
        <v>0</v>
      </c>
      <c r="N611" s="24">
        <f t="shared" si="344"/>
        <v>0</v>
      </c>
      <c r="O611" s="17">
        <f t="shared" si="345"/>
        <v>-1023</v>
      </c>
    </row>
    <row r="612" spans="1:18">
      <c r="A612" s="6">
        <v>44925</v>
      </c>
      <c r="B612" s="1" t="s">
        <v>427</v>
      </c>
      <c r="C612" s="9">
        <v>26</v>
      </c>
      <c r="D612">
        <v>317.08999999999997</v>
      </c>
      <c r="E612" s="29">
        <v>380</v>
      </c>
      <c r="F612" s="50">
        <v>300</v>
      </c>
      <c r="G612" s="21">
        <f t="shared" si="340"/>
        <v>4.6811000585137572</v>
      </c>
      <c r="H612" s="6">
        <v>44935</v>
      </c>
      <c r="I612" s="16">
        <v>293.93</v>
      </c>
      <c r="J612" s="25">
        <f t="shared" si="341"/>
        <v>-7.3039200227064782E-2</v>
      </c>
      <c r="K612" s="36">
        <f t="shared" si="342"/>
        <v>-602.15999999999985</v>
      </c>
      <c r="L612" s="24">
        <f t="shared" si="335"/>
        <v>10</v>
      </c>
      <c r="M612" s="9">
        <f t="shared" si="343"/>
        <v>0</v>
      </c>
      <c r="N612">
        <f t="shared" si="344"/>
        <v>0</v>
      </c>
      <c r="O612">
        <f t="shared" si="345"/>
        <v>-602.15999999999985</v>
      </c>
      <c r="R612" s="51">
        <v>0</v>
      </c>
    </row>
    <row r="613" spans="1:18">
      <c r="A613" s="6">
        <v>44924</v>
      </c>
      <c r="B613" s="1" t="s">
        <v>233</v>
      </c>
      <c r="C613" s="9">
        <v>5</v>
      </c>
      <c r="D613">
        <v>220.05</v>
      </c>
      <c r="E613" s="29">
        <v>284</v>
      </c>
      <c r="F613" s="50">
        <v>188</v>
      </c>
      <c r="G613" s="21">
        <f t="shared" si="340"/>
        <v>2.9953198127925105</v>
      </c>
      <c r="H613" s="6">
        <v>44939</v>
      </c>
      <c r="I613" s="29">
        <v>242.04</v>
      </c>
      <c r="J613" s="30">
        <f t="shared" si="341"/>
        <v>9.9931833674164805E-2</v>
      </c>
      <c r="K613" s="35">
        <f t="shared" si="342"/>
        <v>109.95000000000005</v>
      </c>
      <c r="L613" s="21">
        <f t="shared" si="335"/>
        <v>15</v>
      </c>
      <c r="M613" s="9">
        <f t="shared" si="343"/>
        <v>1</v>
      </c>
      <c r="N613">
        <f t="shared" si="344"/>
        <v>109.95000000000005</v>
      </c>
      <c r="O613">
        <f t="shared" si="345"/>
        <v>0</v>
      </c>
    </row>
    <row r="614" spans="1:18">
      <c r="A614" s="6">
        <v>44924</v>
      </c>
      <c r="B614" s="55" t="s">
        <v>457</v>
      </c>
      <c r="C614" s="9">
        <v>100</v>
      </c>
      <c r="D614">
        <v>1.75</v>
      </c>
      <c r="E614" s="29">
        <v>5.25</v>
      </c>
      <c r="F614" s="50">
        <v>0.87</v>
      </c>
      <c r="G614" s="21">
        <f t="shared" si="340"/>
        <v>4.9772727272727275</v>
      </c>
      <c r="H614" s="6">
        <v>44956</v>
      </c>
      <c r="I614" s="29">
        <v>2.29</v>
      </c>
      <c r="J614" s="30">
        <f t="shared" si="341"/>
        <v>0.3085714285714285</v>
      </c>
      <c r="K614" s="35">
        <f t="shared" si="342"/>
        <v>54</v>
      </c>
      <c r="L614" s="24">
        <f t="shared" si="335"/>
        <v>32</v>
      </c>
      <c r="M614" s="52">
        <f t="shared" si="343"/>
        <v>1</v>
      </c>
      <c r="N614" s="24">
        <f t="shared" si="344"/>
        <v>54</v>
      </c>
      <c r="O614">
        <f t="shared" si="345"/>
        <v>0</v>
      </c>
    </row>
    <row r="615" spans="1:18">
      <c r="A615" s="6">
        <v>44923</v>
      </c>
      <c r="B615" s="1" t="s">
        <v>432</v>
      </c>
      <c r="C615" s="9">
        <v>15</v>
      </c>
      <c r="D615">
        <v>86.76</v>
      </c>
      <c r="E615" s="29">
        <v>109</v>
      </c>
      <c r="F615">
        <v>82</v>
      </c>
      <c r="G615" s="21">
        <f t="shared" si="340"/>
        <v>5.6722689075630193</v>
      </c>
      <c r="H615" s="6">
        <v>44929</v>
      </c>
      <c r="I615" s="29">
        <v>87.74</v>
      </c>
      <c r="J615" s="30">
        <f t="shared" ref="J615:J632" si="346">I615/D615 -1</f>
        <v>1.1295527893038226E-2</v>
      </c>
      <c r="K615" s="35">
        <f t="shared" ref="K615:K632" si="347">(C615*I615) - (C615*D615)</f>
        <v>14.699999999999818</v>
      </c>
      <c r="L615" s="21">
        <f t="shared" si="335"/>
        <v>6</v>
      </c>
      <c r="M615" s="9">
        <f t="shared" ref="M615:M632" si="348">IF(J615&gt;0,1,0)</f>
        <v>1</v>
      </c>
      <c r="N615">
        <f t="shared" ref="N615:N632" si="349">IF(K615&gt;0, K615, 0)</f>
        <v>14.699999999999818</v>
      </c>
      <c r="O615">
        <f t="shared" ref="O615:O632" si="350">IF(K615&lt;0, K615, 0)</f>
        <v>0</v>
      </c>
    </row>
    <row r="616" spans="1:18">
      <c r="A616" s="6">
        <v>44923</v>
      </c>
      <c r="B616" s="55" t="s">
        <v>233</v>
      </c>
      <c r="C616" s="9">
        <v>100</v>
      </c>
      <c r="D616">
        <v>11.44</v>
      </c>
      <c r="E616" s="29">
        <v>34.32</v>
      </c>
      <c r="F616">
        <v>5.72</v>
      </c>
      <c r="G616" s="21">
        <f t="shared" si="340"/>
        <v>5.0000000000000009</v>
      </c>
      <c r="H616" s="6">
        <v>44939</v>
      </c>
      <c r="I616" s="29">
        <v>21.6</v>
      </c>
      <c r="J616" s="30">
        <f t="shared" si="346"/>
        <v>0.88811188811188835</v>
      </c>
      <c r="K616" s="35">
        <f t="shared" si="347"/>
        <v>1016</v>
      </c>
      <c r="L616" s="21">
        <f t="shared" si="335"/>
        <v>16</v>
      </c>
      <c r="M616" s="9">
        <f t="shared" si="348"/>
        <v>1</v>
      </c>
      <c r="N616">
        <f t="shared" si="349"/>
        <v>1016</v>
      </c>
      <c r="O616">
        <f t="shared" si="350"/>
        <v>0</v>
      </c>
    </row>
    <row r="617" spans="1:18">
      <c r="A617" s="6">
        <v>44923</v>
      </c>
      <c r="B617" s="1" t="s">
        <v>227</v>
      </c>
      <c r="C617" s="9">
        <v>26</v>
      </c>
      <c r="D617">
        <v>335.8</v>
      </c>
      <c r="E617" s="29">
        <v>400</v>
      </c>
      <c r="F617">
        <v>320</v>
      </c>
      <c r="G617" s="21">
        <f t="shared" si="340"/>
        <v>5.0632911392405031</v>
      </c>
      <c r="H617" s="6">
        <v>44935</v>
      </c>
      <c r="I617" s="29">
        <v>341.73</v>
      </c>
      <c r="J617" s="30">
        <f t="shared" si="346"/>
        <v>1.7659321024419361E-2</v>
      </c>
      <c r="K617" s="35">
        <f t="shared" si="347"/>
        <v>154.17999999999847</v>
      </c>
      <c r="L617" s="21">
        <f t="shared" si="335"/>
        <v>12</v>
      </c>
      <c r="M617" s="9">
        <f t="shared" si="348"/>
        <v>1</v>
      </c>
      <c r="N617">
        <f t="shared" si="349"/>
        <v>154.17999999999847</v>
      </c>
      <c r="O617">
        <f t="shared" si="350"/>
        <v>0</v>
      </c>
    </row>
    <row r="618" spans="1:18">
      <c r="A618" s="6">
        <v>44923</v>
      </c>
      <c r="B618" s="1" t="s">
        <v>313</v>
      </c>
      <c r="C618" s="9">
        <v>35</v>
      </c>
      <c r="D618">
        <v>207.35</v>
      </c>
      <c r="E618" s="29">
        <v>217</v>
      </c>
      <c r="F618">
        <v>202</v>
      </c>
      <c r="G618" s="21">
        <f t="shared" si="340"/>
        <v>2.8037383177570123</v>
      </c>
      <c r="H618" s="6">
        <v>44930</v>
      </c>
      <c r="I618" s="29">
        <v>211.41</v>
      </c>
      <c r="J618" s="30">
        <f t="shared" si="346"/>
        <v>1.9580419580419672E-2</v>
      </c>
      <c r="K618" s="35">
        <f t="shared" si="347"/>
        <v>142.09999999999945</v>
      </c>
      <c r="L618" s="21">
        <f t="shared" si="335"/>
        <v>7</v>
      </c>
      <c r="M618" s="9">
        <f t="shared" si="348"/>
        <v>1</v>
      </c>
      <c r="N618">
        <f t="shared" si="349"/>
        <v>142.09999999999945</v>
      </c>
      <c r="O618">
        <f t="shared" si="350"/>
        <v>0</v>
      </c>
      <c r="R618" s="28"/>
    </row>
    <row r="619" spans="1:18">
      <c r="A619" s="6">
        <v>44922</v>
      </c>
      <c r="B619" s="55" t="s">
        <v>454</v>
      </c>
      <c r="C619" s="9">
        <v>3500</v>
      </c>
      <c r="D619">
        <v>0.39</v>
      </c>
      <c r="E619" s="29">
        <v>1.17</v>
      </c>
      <c r="F619">
        <v>0.19</v>
      </c>
      <c r="G619" s="21">
        <f t="shared" si="340"/>
        <v>4.8999999999999995</v>
      </c>
      <c r="H619" s="6">
        <v>44946</v>
      </c>
      <c r="I619" s="28">
        <v>0</v>
      </c>
      <c r="J619" s="25">
        <f t="shared" si="346"/>
        <v>-1</v>
      </c>
      <c r="K619" s="36">
        <f t="shared" si="347"/>
        <v>-1365</v>
      </c>
      <c r="L619" s="24">
        <f t="shared" si="335"/>
        <v>24</v>
      </c>
      <c r="M619" s="52">
        <f t="shared" si="348"/>
        <v>0</v>
      </c>
      <c r="N619" s="24">
        <f t="shared" si="349"/>
        <v>0</v>
      </c>
      <c r="O619" s="17">
        <f t="shared" si="350"/>
        <v>-1365</v>
      </c>
      <c r="R619" s="28"/>
    </row>
    <row r="620" spans="1:18">
      <c r="A620" s="6">
        <v>44922</v>
      </c>
      <c r="B620" s="1" t="s">
        <v>228</v>
      </c>
      <c r="C620" s="9">
        <v>8</v>
      </c>
      <c r="D620">
        <v>136.88999999999999</v>
      </c>
      <c r="E620" s="29">
        <v>178</v>
      </c>
      <c r="F620">
        <v>129</v>
      </c>
      <c r="G620" s="21">
        <f t="shared" si="340"/>
        <v>6.2103929024081221</v>
      </c>
      <c r="H620" s="6">
        <v>44932</v>
      </c>
      <c r="I620" s="29">
        <v>144.17500000000001</v>
      </c>
      <c r="J620" s="30">
        <f t="shared" si="346"/>
        <v>5.3217912192271344E-2</v>
      </c>
      <c r="K620" s="35">
        <f t="shared" si="347"/>
        <v>58.2800000000002</v>
      </c>
      <c r="L620" s="21">
        <f t="shared" si="335"/>
        <v>10</v>
      </c>
      <c r="M620" s="9">
        <f t="shared" si="348"/>
        <v>1</v>
      </c>
      <c r="N620">
        <f t="shared" si="349"/>
        <v>58.2800000000002</v>
      </c>
      <c r="O620">
        <f t="shared" si="350"/>
        <v>0</v>
      </c>
    </row>
    <row r="621" spans="1:18">
      <c r="A621" s="6">
        <v>44922</v>
      </c>
      <c r="B621" s="1" t="s">
        <v>165</v>
      </c>
      <c r="C621" s="9">
        <v>440</v>
      </c>
      <c r="D621">
        <v>21.96</v>
      </c>
      <c r="E621" s="29">
        <v>25</v>
      </c>
      <c r="F621">
        <v>18.8</v>
      </c>
      <c r="G621" s="21">
        <f t="shared" si="340"/>
        <v>1.962025316455696</v>
      </c>
      <c r="H621" s="6">
        <v>44932</v>
      </c>
      <c r="I621" s="16">
        <v>18.25</v>
      </c>
      <c r="J621" s="25">
        <f t="shared" si="346"/>
        <v>-0.16894353369763204</v>
      </c>
      <c r="K621" s="36">
        <f t="shared" si="347"/>
        <v>-1632.3999999999996</v>
      </c>
      <c r="L621" s="24">
        <f t="shared" si="335"/>
        <v>10</v>
      </c>
      <c r="M621" s="9">
        <f t="shared" si="348"/>
        <v>0</v>
      </c>
      <c r="N621">
        <f t="shared" si="349"/>
        <v>0</v>
      </c>
      <c r="O621">
        <f t="shared" si="350"/>
        <v>-1632.3999999999996</v>
      </c>
    </row>
    <row r="622" spans="1:18">
      <c r="A622" s="6">
        <v>44922</v>
      </c>
      <c r="B622" s="1" t="s">
        <v>21</v>
      </c>
      <c r="C622" s="9">
        <v>62</v>
      </c>
      <c r="D622">
        <v>137.63</v>
      </c>
      <c r="E622" s="29">
        <v>167</v>
      </c>
      <c r="F622">
        <v>130</v>
      </c>
      <c r="G622" s="21">
        <f t="shared" si="340"/>
        <v>4.8492791612057697</v>
      </c>
      <c r="H622" s="6">
        <v>44930</v>
      </c>
      <c r="I622" s="16">
        <v>128.74</v>
      </c>
      <c r="J622" s="25">
        <f t="shared" si="346"/>
        <v>-6.459347525975434E-2</v>
      </c>
      <c r="K622" s="36">
        <f t="shared" si="347"/>
        <v>-551.17999999999847</v>
      </c>
      <c r="L622" s="24">
        <f t="shared" si="335"/>
        <v>8</v>
      </c>
      <c r="M622" s="9">
        <f t="shared" si="348"/>
        <v>0</v>
      </c>
      <c r="N622">
        <f t="shared" si="349"/>
        <v>0</v>
      </c>
      <c r="O622">
        <f t="shared" si="350"/>
        <v>-551.17999999999847</v>
      </c>
    </row>
    <row r="623" spans="1:18">
      <c r="A623" s="6">
        <v>44922</v>
      </c>
      <c r="B623" s="1" t="s">
        <v>240</v>
      </c>
      <c r="C623" s="9">
        <v>35</v>
      </c>
      <c r="D623">
        <v>232.5</v>
      </c>
      <c r="E623" s="29">
        <v>260</v>
      </c>
      <c r="F623" s="9">
        <v>227</v>
      </c>
      <c r="G623" s="21">
        <f t="shared" si="340"/>
        <v>6</v>
      </c>
      <c r="H623" s="6">
        <v>44929</v>
      </c>
      <c r="I623" s="16">
        <v>226.73</v>
      </c>
      <c r="J623" s="25">
        <f t="shared" si="346"/>
        <v>-2.4817204301075257E-2</v>
      </c>
      <c r="K623" s="36">
        <f t="shared" si="347"/>
        <v>-201.95000000000073</v>
      </c>
      <c r="L623" s="24">
        <f t="shared" si="335"/>
        <v>7</v>
      </c>
      <c r="M623" s="9">
        <f t="shared" si="348"/>
        <v>0</v>
      </c>
      <c r="N623">
        <f t="shared" si="349"/>
        <v>0</v>
      </c>
      <c r="O623">
        <f t="shared" si="350"/>
        <v>-201.95000000000073</v>
      </c>
      <c r="R623" s="28"/>
    </row>
    <row r="624" spans="1:18">
      <c r="A624" s="6">
        <v>44917</v>
      </c>
      <c r="B624" s="1" t="s">
        <v>436</v>
      </c>
      <c r="C624" s="9">
        <v>230</v>
      </c>
      <c r="D624">
        <v>35.32</v>
      </c>
      <c r="E624" s="29">
        <v>38</v>
      </c>
      <c r="F624">
        <v>34.19</v>
      </c>
      <c r="G624" s="21">
        <f t="shared" si="340"/>
        <v>3.3716814159291979</v>
      </c>
      <c r="H624" s="6">
        <v>44938</v>
      </c>
      <c r="I624" s="16">
        <v>35.159999999999997</v>
      </c>
      <c r="J624" s="25">
        <f t="shared" si="346"/>
        <v>-4.5300113250283935E-3</v>
      </c>
      <c r="K624" s="36">
        <f t="shared" si="347"/>
        <v>-36.800000000001091</v>
      </c>
      <c r="L624" s="24">
        <f t="shared" si="335"/>
        <v>21</v>
      </c>
      <c r="M624" s="9">
        <f t="shared" si="348"/>
        <v>0</v>
      </c>
      <c r="N624">
        <f t="shared" si="349"/>
        <v>0</v>
      </c>
      <c r="O624">
        <f t="shared" si="350"/>
        <v>-36.800000000001091</v>
      </c>
    </row>
    <row r="625" spans="1:15">
      <c r="A625" s="6">
        <v>44915</v>
      </c>
      <c r="B625" s="1" t="s">
        <v>171</v>
      </c>
      <c r="C625" s="9">
        <v>1700</v>
      </c>
      <c r="D625">
        <v>5.07</v>
      </c>
      <c r="E625" s="29">
        <v>6.19</v>
      </c>
      <c r="F625">
        <v>4.92</v>
      </c>
      <c r="G625" s="21">
        <f t="shared" si="340"/>
        <v>8.466666666666649</v>
      </c>
      <c r="H625" s="6">
        <v>44930</v>
      </c>
      <c r="I625" s="29">
        <v>5.25</v>
      </c>
      <c r="J625" s="30">
        <f t="shared" si="346"/>
        <v>3.5502958579881616E-2</v>
      </c>
      <c r="K625" s="35">
        <f t="shared" si="347"/>
        <v>306</v>
      </c>
      <c r="L625" s="21">
        <f t="shared" si="335"/>
        <v>15</v>
      </c>
      <c r="M625" s="9">
        <f t="shared" si="348"/>
        <v>1</v>
      </c>
      <c r="N625">
        <f t="shared" si="349"/>
        <v>306</v>
      </c>
      <c r="O625">
        <f t="shared" si="350"/>
        <v>0</v>
      </c>
    </row>
    <row r="626" spans="1:15">
      <c r="A626" s="6">
        <v>44915</v>
      </c>
      <c r="B626" s="1" t="s">
        <v>172</v>
      </c>
      <c r="C626" s="9">
        <v>12</v>
      </c>
      <c r="D626">
        <v>67.510000000000005</v>
      </c>
      <c r="E626" s="29">
        <v>73</v>
      </c>
      <c r="F626">
        <v>64.7</v>
      </c>
      <c r="G626" s="21">
        <f t="shared" si="340"/>
        <v>2.9537366548042669</v>
      </c>
      <c r="H626" s="6">
        <v>44936</v>
      </c>
      <c r="I626" s="29">
        <v>67.849999999999994</v>
      </c>
      <c r="J626" s="30">
        <f t="shared" si="346"/>
        <v>5.036290919863573E-3</v>
      </c>
      <c r="K626" s="35">
        <f t="shared" si="347"/>
        <v>4.0799999999998136</v>
      </c>
      <c r="L626" s="21">
        <f t="shared" si="335"/>
        <v>21</v>
      </c>
      <c r="M626" s="9">
        <f t="shared" si="348"/>
        <v>1</v>
      </c>
      <c r="N626">
        <f t="shared" si="349"/>
        <v>4.0799999999998136</v>
      </c>
      <c r="O626">
        <f t="shared" si="350"/>
        <v>0</v>
      </c>
    </row>
    <row r="627" spans="1:15">
      <c r="A627" s="6">
        <v>44914</v>
      </c>
      <c r="B627" s="1" t="s">
        <v>56</v>
      </c>
      <c r="C627" s="9">
        <v>1070</v>
      </c>
      <c r="D627">
        <v>8.0500000000000007</v>
      </c>
      <c r="E627" s="29">
        <v>9.3000000000000007</v>
      </c>
      <c r="F627">
        <v>7.67</v>
      </c>
      <c r="G627" s="21">
        <f t="shared" si="340"/>
        <v>4.2894736842105194</v>
      </c>
      <c r="H627" s="6">
        <v>44929</v>
      </c>
      <c r="I627" s="29">
        <v>8.6999999999999993</v>
      </c>
      <c r="J627" s="30">
        <f t="shared" si="346"/>
        <v>8.0745341614906652E-2</v>
      </c>
      <c r="K627" s="35">
        <f t="shared" si="347"/>
        <v>695.5</v>
      </c>
      <c r="L627" s="21">
        <f t="shared" si="335"/>
        <v>15</v>
      </c>
      <c r="M627" s="9">
        <f t="shared" si="348"/>
        <v>1</v>
      </c>
      <c r="N627">
        <f t="shared" si="349"/>
        <v>695.5</v>
      </c>
      <c r="O627">
        <f t="shared" si="350"/>
        <v>0</v>
      </c>
    </row>
    <row r="628" spans="1:15">
      <c r="A628" s="6">
        <v>44914</v>
      </c>
      <c r="B628" s="1" t="s">
        <v>129</v>
      </c>
      <c r="C628" s="9">
        <v>17</v>
      </c>
      <c r="D628">
        <v>461.76</v>
      </c>
      <c r="E628" s="29">
        <v>539</v>
      </c>
      <c r="F628">
        <v>450</v>
      </c>
      <c r="G628" s="21">
        <f t="shared" si="340"/>
        <v>7.5680272108843596</v>
      </c>
      <c r="H628" s="6">
        <v>44929</v>
      </c>
      <c r="I628" s="16">
        <v>449.02</v>
      </c>
      <c r="J628" s="25">
        <f t="shared" si="346"/>
        <v>-2.7590090090090058E-2</v>
      </c>
      <c r="K628" s="36">
        <f t="shared" si="347"/>
        <v>-216.57999999999993</v>
      </c>
      <c r="L628" s="24">
        <f t="shared" si="335"/>
        <v>15</v>
      </c>
      <c r="M628" s="9">
        <f t="shared" si="348"/>
        <v>0</v>
      </c>
      <c r="N628">
        <f t="shared" si="349"/>
        <v>0</v>
      </c>
      <c r="O628">
        <f t="shared" si="350"/>
        <v>-216.57999999999993</v>
      </c>
    </row>
    <row r="629" spans="1:15">
      <c r="A629" s="6">
        <v>44911</v>
      </c>
      <c r="B629" s="1" t="s">
        <v>81</v>
      </c>
      <c r="C629" s="9">
        <v>14</v>
      </c>
      <c r="D629">
        <v>64.959999999999994</v>
      </c>
      <c r="E629" s="29">
        <v>75</v>
      </c>
      <c r="F629">
        <v>58.4</v>
      </c>
      <c r="G629" s="21">
        <f t="shared" si="340"/>
        <v>2.5304878048780508</v>
      </c>
      <c r="H629" s="6">
        <v>44946</v>
      </c>
      <c r="I629" s="29">
        <v>65.92</v>
      </c>
      <c r="J629" s="30">
        <f t="shared" si="346"/>
        <v>1.4778325123152802E-2</v>
      </c>
      <c r="K629" s="35">
        <f t="shared" si="347"/>
        <v>13.440000000000055</v>
      </c>
      <c r="L629" s="24">
        <f t="shared" si="335"/>
        <v>35</v>
      </c>
      <c r="M629" s="52">
        <f t="shared" si="348"/>
        <v>1</v>
      </c>
      <c r="N629" s="24">
        <f t="shared" si="349"/>
        <v>13.440000000000055</v>
      </c>
      <c r="O629" s="17">
        <f t="shared" si="350"/>
        <v>0</v>
      </c>
    </row>
    <row r="630" spans="1:15">
      <c r="A630" s="6">
        <v>44909</v>
      </c>
      <c r="B630" s="1" t="s">
        <v>174</v>
      </c>
      <c r="C630" s="9">
        <v>26</v>
      </c>
      <c r="D630">
        <v>44.41</v>
      </c>
      <c r="E630" s="29">
        <v>50.58</v>
      </c>
      <c r="F630">
        <v>41.3</v>
      </c>
      <c r="G630" s="21">
        <f t="shared" si="340"/>
        <v>2.9839228295819944</v>
      </c>
      <c r="H630" s="6">
        <v>44937</v>
      </c>
      <c r="I630" s="29">
        <v>44.51</v>
      </c>
      <c r="J630" s="30">
        <f t="shared" si="346"/>
        <v>2.2517451024544055E-3</v>
      </c>
      <c r="K630" s="35">
        <f t="shared" si="347"/>
        <v>2.6000000000001364</v>
      </c>
      <c r="L630" s="21">
        <f t="shared" si="335"/>
        <v>28</v>
      </c>
      <c r="M630" s="9">
        <f t="shared" si="348"/>
        <v>1</v>
      </c>
      <c r="N630">
        <f t="shared" si="349"/>
        <v>2.6000000000001364</v>
      </c>
      <c r="O630">
        <f t="shared" si="350"/>
        <v>0</v>
      </c>
    </row>
    <row r="631" spans="1:15">
      <c r="A631" s="6">
        <v>44907</v>
      </c>
      <c r="B631" s="1" t="s">
        <v>286</v>
      </c>
      <c r="C631" s="9">
        <v>305</v>
      </c>
      <c r="D631">
        <v>33.950000000000003</v>
      </c>
      <c r="E631" s="29">
        <v>40</v>
      </c>
      <c r="F631">
        <v>30</v>
      </c>
      <c r="G631" s="21">
        <f t="shared" si="340"/>
        <v>2.5316455696202516</v>
      </c>
      <c r="H631" s="6">
        <v>44930</v>
      </c>
      <c r="I631" s="16">
        <v>29.95</v>
      </c>
      <c r="J631" s="25">
        <f t="shared" si="346"/>
        <v>-0.11782032400589115</v>
      </c>
      <c r="K631" s="36">
        <f t="shared" si="347"/>
        <v>-1220</v>
      </c>
      <c r="L631" s="24">
        <f t="shared" si="335"/>
        <v>23</v>
      </c>
      <c r="M631" s="9">
        <f t="shared" si="348"/>
        <v>0</v>
      </c>
      <c r="N631">
        <f t="shared" si="349"/>
        <v>0</v>
      </c>
      <c r="O631">
        <f t="shared" si="350"/>
        <v>-1220</v>
      </c>
    </row>
    <row r="632" spans="1:15">
      <c r="A632" s="6">
        <v>44903</v>
      </c>
      <c r="B632" s="1" t="s">
        <v>68</v>
      </c>
      <c r="C632" s="9">
        <v>260</v>
      </c>
      <c r="D632">
        <v>33.75</v>
      </c>
      <c r="E632" s="29">
        <v>45.4</v>
      </c>
      <c r="F632">
        <v>30</v>
      </c>
      <c r="G632" s="21">
        <f t="shared" si="340"/>
        <v>4.1066666666666665</v>
      </c>
      <c r="H632" s="6">
        <v>44939</v>
      </c>
      <c r="I632" s="16">
        <v>31.4</v>
      </c>
      <c r="J632" s="25">
        <f t="shared" si="346"/>
        <v>-6.9629629629629708E-2</v>
      </c>
      <c r="K632" s="36">
        <f t="shared" si="347"/>
        <v>-611</v>
      </c>
      <c r="L632" s="24">
        <f t="shared" si="335"/>
        <v>36</v>
      </c>
      <c r="M632" s="9">
        <f t="shared" si="348"/>
        <v>0</v>
      </c>
      <c r="N632">
        <f t="shared" si="349"/>
        <v>0</v>
      </c>
      <c r="O632">
        <f t="shared" si="350"/>
        <v>-611</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EB285-09A3-43F5-9558-C73DA46E8D8C}">
  <dimension ref="A1:R432"/>
  <sheetViews>
    <sheetView workbookViewId="0">
      <selection activeCell="G9" sqref="G9"/>
    </sheetView>
  </sheetViews>
  <sheetFormatPr defaultRowHeight="15"/>
  <cols>
    <col min="1" max="1" width="10.7109375" bestFit="1" customWidth="1"/>
    <col min="2" max="2" width="9.7109375" bestFit="1" customWidth="1"/>
    <col min="7" max="7" width="9.28515625" style="20" customWidth="1"/>
    <col min="8" max="8" width="10.7109375" bestFit="1" customWidth="1"/>
    <col min="10" max="10" width="9.140625" style="7"/>
    <col min="11" max="11" width="10.85546875" style="21" bestFit="1" customWidth="1"/>
    <col min="12" max="12" width="9" style="21" customWidth="1"/>
    <col min="13" max="13" width="4.42578125" style="9" bestFit="1" customWidth="1"/>
    <col min="14" max="14" width="10.28515625" customWidth="1"/>
    <col min="15" max="15" width="13.42578125" bestFit="1" customWidth="1"/>
    <col min="16" max="16" width="6" customWidth="1"/>
    <col min="17" max="17" width="5.5703125" customWidth="1"/>
  </cols>
  <sheetData>
    <row r="1" spans="1:18">
      <c r="A1" s="6">
        <v>44755</v>
      </c>
      <c r="J1" s="7" t="s">
        <v>318</v>
      </c>
      <c r="K1" s="21" t="s">
        <v>320</v>
      </c>
      <c r="L1" s="21" t="s">
        <v>321</v>
      </c>
      <c r="M1" s="9" t="s">
        <v>363</v>
      </c>
      <c r="N1" t="s">
        <v>367</v>
      </c>
      <c r="O1" t="s">
        <v>319</v>
      </c>
    </row>
    <row r="2" spans="1:18">
      <c r="D2" t="s">
        <v>7</v>
      </c>
      <c r="E2" t="s">
        <v>78</v>
      </c>
      <c r="F2" t="s">
        <v>77</v>
      </c>
      <c r="G2" s="20" t="s">
        <v>79</v>
      </c>
      <c r="I2" t="s">
        <v>9</v>
      </c>
      <c r="J2" s="30">
        <f>AVERAGE(J3:J432)</f>
        <v>5.088736201058862E-4</v>
      </c>
      <c r="K2" s="38">
        <f>AVERAGE(K3:K432)</f>
        <v>-48.964049504950481</v>
      </c>
      <c r="L2" s="37">
        <f>AVERAGE(L3:L432)</f>
        <v>11.326732673267326</v>
      </c>
      <c r="M2" s="47">
        <f>SUM(M3:M432)/432</f>
        <v>0.42824074074074076</v>
      </c>
      <c r="N2" s="38">
        <f>SUM(K3:K432)</f>
        <v>-19781.475999999995</v>
      </c>
      <c r="O2" s="36">
        <f>AVERAGE(N3:N432)/AVERAGE(O3:O432)* -1</f>
        <v>0.66232534471440763</v>
      </c>
    </row>
    <row r="3" spans="1:18">
      <c r="J3" s="30"/>
      <c r="K3" s="38"/>
      <c r="L3" s="37"/>
      <c r="N3" s="38"/>
      <c r="R3" s="28">
        <v>-19781</v>
      </c>
    </row>
    <row r="4" spans="1:18">
      <c r="A4" s="6">
        <v>44925</v>
      </c>
      <c r="B4" s="1" t="s">
        <v>15</v>
      </c>
      <c r="C4" s="9">
        <v>10</v>
      </c>
      <c r="D4">
        <v>116.76</v>
      </c>
      <c r="E4" s="29">
        <v>134</v>
      </c>
      <c r="F4" s="50">
        <v>113</v>
      </c>
      <c r="G4" s="21">
        <f t="shared" ref="G4:G67" si="0" xml:space="preserve"> (E4 - F4)/(D4-F4)</f>
        <v>5.585106382978716</v>
      </c>
      <c r="J4" s="30"/>
      <c r="K4" s="38"/>
      <c r="L4" s="37"/>
      <c r="N4" s="38"/>
    </row>
    <row r="5" spans="1:18">
      <c r="A5" s="6">
        <v>44925</v>
      </c>
      <c r="B5" s="55" t="s">
        <v>140</v>
      </c>
      <c r="C5" s="9">
        <v>200</v>
      </c>
      <c r="D5">
        <v>0.25</v>
      </c>
      <c r="E5" s="29">
        <v>0.75</v>
      </c>
      <c r="F5" s="50">
        <v>0.12</v>
      </c>
      <c r="G5" s="21">
        <f t="shared" si="0"/>
        <v>4.8461538461538458</v>
      </c>
      <c r="J5" s="30"/>
      <c r="K5" s="38"/>
      <c r="L5" s="37"/>
      <c r="N5" s="38"/>
    </row>
    <row r="6" spans="1:18">
      <c r="A6" s="6">
        <v>44925</v>
      </c>
      <c r="B6" s="1" t="s">
        <v>231</v>
      </c>
      <c r="C6" s="9">
        <v>140</v>
      </c>
      <c r="D6">
        <v>69.63</v>
      </c>
      <c r="E6" s="29">
        <v>100</v>
      </c>
      <c r="F6" s="50">
        <v>68</v>
      </c>
      <c r="G6" s="21">
        <f t="shared" si="0"/>
        <v>19.631901840490851</v>
      </c>
      <c r="J6" s="30"/>
      <c r="K6" s="38"/>
      <c r="L6" s="37"/>
      <c r="N6" s="38"/>
    </row>
    <row r="7" spans="1:18">
      <c r="A7" s="6">
        <v>44925</v>
      </c>
      <c r="B7" s="55" t="s">
        <v>117</v>
      </c>
      <c r="C7" s="9">
        <v>300</v>
      </c>
      <c r="D7">
        <v>3.41</v>
      </c>
      <c r="E7" s="29">
        <v>10.23</v>
      </c>
      <c r="F7" s="50">
        <v>1.7</v>
      </c>
      <c r="G7" s="21">
        <f t="shared" si="0"/>
        <v>4.988304093567252</v>
      </c>
      <c r="J7" s="30"/>
      <c r="K7" s="38"/>
      <c r="L7" s="37"/>
      <c r="N7" s="38"/>
    </row>
    <row r="8" spans="1:18">
      <c r="A8" s="6">
        <v>44925</v>
      </c>
      <c r="B8" s="1" t="s">
        <v>427</v>
      </c>
      <c r="C8" s="9">
        <v>26</v>
      </c>
      <c r="D8">
        <v>317.08999999999997</v>
      </c>
      <c r="E8" s="29">
        <v>380</v>
      </c>
      <c r="F8" s="50">
        <v>300</v>
      </c>
      <c r="G8" s="21">
        <f t="shared" si="0"/>
        <v>4.6811000585137572</v>
      </c>
      <c r="J8" s="30"/>
      <c r="K8" s="38"/>
      <c r="L8" s="37"/>
      <c r="N8" s="38"/>
      <c r="R8" s="28">
        <v>-19781</v>
      </c>
    </row>
    <row r="9" spans="1:18">
      <c r="A9" s="6">
        <v>44924</v>
      </c>
      <c r="B9" s="1" t="s">
        <v>233</v>
      </c>
      <c r="C9" s="9">
        <v>5</v>
      </c>
      <c r="D9">
        <v>220.05</v>
      </c>
      <c r="E9" s="29">
        <v>284</v>
      </c>
      <c r="F9" s="50">
        <v>188</v>
      </c>
      <c r="G9" s="21">
        <f t="shared" si="0"/>
        <v>2.9953198127925105</v>
      </c>
      <c r="J9" s="30"/>
      <c r="K9" s="38"/>
      <c r="L9" s="37"/>
      <c r="N9" s="38"/>
    </row>
    <row r="10" spans="1:18">
      <c r="A10" s="6">
        <v>44924</v>
      </c>
      <c r="B10" s="55" t="s">
        <v>457</v>
      </c>
      <c r="C10" s="9">
        <v>100</v>
      </c>
      <c r="D10">
        <v>1.75</v>
      </c>
      <c r="E10" s="29">
        <v>5.25</v>
      </c>
      <c r="F10" s="50">
        <v>0.87</v>
      </c>
      <c r="G10" s="21">
        <f t="shared" si="0"/>
        <v>4.9772727272727275</v>
      </c>
      <c r="J10" s="30"/>
      <c r="K10" s="38"/>
      <c r="L10" s="37"/>
      <c r="N10" s="38"/>
    </row>
    <row r="11" spans="1:18">
      <c r="A11" s="6">
        <v>44924</v>
      </c>
      <c r="B11" s="1" t="s">
        <v>310</v>
      </c>
      <c r="C11" s="9">
        <v>2375</v>
      </c>
      <c r="D11">
        <v>3.73</v>
      </c>
      <c r="E11" s="29">
        <v>4.95</v>
      </c>
      <c r="F11" s="50">
        <v>3.22</v>
      </c>
      <c r="G11" s="21">
        <f t="shared" si="0"/>
        <v>3.3921568627450993</v>
      </c>
      <c r="H11" s="6">
        <v>44925</v>
      </c>
      <c r="I11" s="29">
        <v>4.07</v>
      </c>
      <c r="J11" s="30">
        <f>I11/D11 -1</f>
        <v>9.1152815013404886E-2</v>
      </c>
      <c r="K11" s="35">
        <f>(C11*I11) - (C11*D11)</f>
        <v>807.5</v>
      </c>
      <c r="L11" s="21">
        <f>H11-A11</f>
        <v>1</v>
      </c>
      <c r="M11" s="9">
        <f>IF(J11&gt;0,1,0)</f>
        <v>1</v>
      </c>
      <c r="N11">
        <f>IF(K11&gt;0, K11, 0)</f>
        <v>807.5</v>
      </c>
      <c r="O11">
        <f>IF(K11&lt;0, K11, 0)</f>
        <v>0</v>
      </c>
      <c r="R11" s="28">
        <v>-20656</v>
      </c>
    </row>
    <row r="12" spans="1:18">
      <c r="A12" s="6">
        <v>44923</v>
      </c>
      <c r="B12" s="1" t="s">
        <v>432</v>
      </c>
      <c r="C12" s="9">
        <v>15</v>
      </c>
      <c r="D12">
        <v>86.76</v>
      </c>
      <c r="E12" s="29">
        <v>109</v>
      </c>
      <c r="F12">
        <v>82</v>
      </c>
      <c r="G12" s="21">
        <f t="shared" si="0"/>
        <v>5.6722689075630193</v>
      </c>
      <c r="J12" s="30"/>
      <c r="K12" s="38"/>
      <c r="L12" s="37"/>
      <c r="N12" s="38"/>
    </row>
    <row r="13" spans="1:18">
      <c r="A13" s="6">
        <v>44923</v>
      </c>
      <c r="B13" s="55" t="s">
        <v>233</v>
      </c>
      <c r="C13" s="9">
        <v>100</v>
      </c>
      <c r="D13">
        <v>11.44</v>
      </c>
      <c r="E13" s="29">
        <v>34.32</v>
      </c>
      <c r="F13">
        <v>5.72</v>
      </c>
      <c r="G13" s="21">
        <f t="shared" si="0"/>
        <v>5.0000000000000009</v>
      </c>
      <c r="J13" s="30"/>
      <c r="K13" s="38"/>
      <c r="L13" s="37"/>
      <c r="N13" s="38"/>
    </row>
    <row r="14" spans="1:18">
      <c r="A14" s="6">
        <v>44923</v>
      </c>
      <c r="B14" s="1" t="s">
        <v>227</v>
      </c>
      <c r="C14" s="9">
        <v>26</v>
      </c>
      <c r="D14">
        <v>335.8</v>
      </c>
      <c r="E14" s="29">
        <v>400</v>
      </c>
      <c r="F14">
        <v>320</v>
      </c>
      <c r="G14" s="21">
        <f t="shared" si="0"/>
        <v>5.0632911392405031</v>
      </c>
      <c r="J14" s="30"/>
      <c r="K14" s="38"/>
      <c r="L14" s="37"/>
      <c r="N14" s="38"/>
    </row>
    <row r="15" spans="1:18">
      <c r="A15" s="6">
        <v>44923</v>
      </c>
      <c r="B15" s="1" t="s">
        <v>313</v>
      </c>
      <c r="C15" s="9">
        <v>35</v>
      </c>
      <c r="D15">
        <v>207.35</v>
      </c>
      <c r="E15" s="29">
        <v>217</v>
      </c>
      <c r="F15">
        <v>202</v>
      </c>
      <c r="G15" s="21">
        <f t="shared" si="0"/>
        <v>2.8037383177570123</v>
      </c>
      <c r="J15" s="30"/>
      <c r="K15" s="38"/>
      <c r="L15" s="37"/>
      <c r="N15" s="38"/>
      <c r="R15" s="28">
        <v>-20983</v>
      </c>
    </row>
    <row r="16" spans="1:18">
      <c r="A16" s="6">
        <v>44922</v>
      </c>
      <c r="B16" s="55" t="s">
        <v>454</v>
      </c>
      <c r="C16" s="9">
        <v>3500</v>
      </c>
      <c r="D16">
        <v>0.39</v>
      </c>
      <c r="E16" s="29">
        <v>1.17</v>
      </c>
      <c r="F16">
        <v>0.19</v>
      </c>
      <c r="G16" s="21">
        <f t="shared" si="0"/>
        <v>4.8999999999999995</v>
      </c>
      <c r="J16" s="30"/>
      <c r="K16" s="38"/>
      <c r="L16" s="37"/>
      <c r="N16" s="38"/>
      <c r="R16" s="28"/>
    </row>
    <row r="17" spans="1:18">
      <c r="A17" s="6">
        <v>44922</v>
      </c>
      <c r="B17" s="1" t="s">
        <v>228</v>
      </c>
      <c r="C17" s="9">
        <v>8</v>
      </c>
      <c r="D17">
        <v>136.88999999999999</v>
      </c>
      <c r="E17" s="29">
        <v>178</v>
      </c>
      <c r="F17">
        <v>129</v>
      </c>
      <c r="G17" s="21">
        <f t="shared" si="0"/>
        <v>6.2103929024081221</v>
      </c>
      <c r="J17" s="30"/>
      <c r="K17" s="38"/>
      <c r="L17" s="37"/>
      <c r="N17" s="38"/>
    </row>
    <row r="18" spans="1:18">
      <c r="A18" s="6">
        <v>44922</v>
      </c>
      <c r="B18" s="1" t="s">
        <v>310</v>
      </c>
      <c r="C18" s="9">
        <v>2375</v>
      </c>
      <c r="D18">
        <v>3.33</v>
      </c>
      <c r="E18" s="29">
        <v>4.95</v>
      </c>
      <c r="F18">
        <v>3.2</v>
      </c>
      <c r="G18" s="21">
        <f t="shared" si="0"/>
        <v>13.461538461538472</v>
      </c>
      <c r="H18" s="6">
        <v>44923</v>
      </c>
      <c r="I18" s="29">
        <v>3.68</v>
      </c>
      <c r="J18" s="30">
        <f>I18/D18 -1</f>
        <v>0.10510510510510507</v>
      </c>
      <c r="K18" s="35">
        <f>(C18*I18) - (C18*D18)</f>
        <v>831.25</v>
      </c>
      <c r="L18" s="21">
        <f>H18-A18</f>
        <v>1</v>
      </c>
      <c r="M18" s="9">
        <f>IF(J18&gt;0,1,0)</f>
        <v>1</v>
      </c>
      <c r="N18">
        <f>IF(K18&gt;0, K18, 0)</f>
        <v>831.25</v>
      </c>
      <c r="O18">
        <f>IF(K18&lt;0, K18, 0)</f>
        <v>0</v>
      </c>
    </row>
    <row r="19" spans="1:18">
      <c r="A19" s="6">
        <v>44922</v>
      </c>
      <c r="B19" s="1" t="s">
        <v>165</v>
      </c>
      <c r="C19" s="9">
        <v>440</v>
      </c>
      <c r="D19">
        <v>21.96</v>
      </c>
      <c r="E19" s="29">
        <v>25</v>
      </c>
      <c r="F19">
        <v>18.8</v>
      </c>
      <c r="G19" s="21">
        <f t="shared" si="0"/>
        <v>1.962025316455696</v>
      </c>
      <c r="J19" s="30"/>
      <c r="K19" s="38"/>
      <c r="L19" s="37"/>
      <c r="N19" s="38"/>
    </row>
    <row r="20" spans="1:18">
      <c r="A20" s="6">
        <v>44922</v>
      </c>
      <c r="B20" s="1" t="s">
        <v>21</v>
      </c>
      <c r="C20" s="9">
        <v>62</v>
      </c>
      <c r="D20">
        <v>137.63</v>
      </c>
      <c r="E20" s="29">
        <v>167</v>
      </c>
      <c r="F20">
        <v>130</v>
      </c>
      <c r="G20" s="21">
        <f t="shared" si="0"/>
        <v>4.8492791612057697</v>
      </c>
      <c r="J20" s="30"/>
      <c r="K20" s="38"/>
      <c r="L20" s="37"/>
      <c r="N20" s="38"/>
    </row>
    <row r="21" spans="1:18">
      <c r="A21" s="6">
        <v>44922</v>
      </c>
      <c r="B21" s="1" t="s">
        <v>240</v>
      </c>
      <c r="C21" s="9">
        <v>35</v>
      </c>
      <c r="D21">
        <v>232.5</v>
      </c>
      <c r="E21" s="29">
        <v>260</v>
      </c>
      <c r="F21" s="9">
        <v>227</v>
      </c>
      <c r="G21" s="21">
        <f t="shared" si="0"/>
        <v>6</v>
      </c>
      <c r="J21" s="30"/>
      <c r="K21" s="38"/>
      <c r="L21" s="37"/>
      <c r="N21" s="38"/>
      <c r="R21" s="28">
        <v>-21435</v>
      </c>
    </row>
    <row r="22" spans="1:18">
      <c r="A22" s="6">
        <v>44918</v>
      </c>
      <c r="B22" s="1" t="s">
        <v>140</v>
      </c>
      <c r="C22" s="9">
        <v>500</v>
      </c>
      <c r="D22">
        <v>12.56</v>
      </c>
      <c r="E22" s="29">
        <v>14</v>
      </c>
      <c r="F22">
        <v>11.95</v>
      </c>
      <c r="G22" s="21">
        <f t="shared" si="0"/>
        <v>3.3606557377049127</v>
      </c>
      <c r="H22" s="6">
        <v>44922</v>
      </c>
      <c r="I22" s="16">
        <v>11.96</v>
      </c>
      <c r="J22" s="25">
        <f>I22/D22 -1</f>
        <v>-4.7770700636942665E-2</v>
      </c>
      <c r="K22" s="36">
        <f>(C22*I22) - (C22*D22)</f>
        <v>-300</v>
      </c>
      <c r="L22" s="24">
        <f>H22-A22</f>
        <v>4</v>
      </c>
      <c r="M22" s="9">
        <f>IF(J22&gt;0,1,0)</f>
        <v>0</v>
      </c>
      <c r="N22">
        <f>IF(K22&gt;0, K22, 0)</f>
        <v>0</v>
      </c>
      <c r="O22">
        <f>IF(K22&lt;0, K22, 0)</f>
        <v>-300</v>
      </c>
      <c r="R22" s="28">
        <v>-21625</v>
      </c>
    </row>
    <row r="23" spans="1:18">
      <c r="A23" s="6">
        <v>44917</v>
      </c>
      <c r="B23" s="1" t="s">
        <v>436</v>
      </c>
      <c r="C23" s="9">
        <v>230</v>
      </c>
      <c r="D23">
        <v>35.32</v>
      </c>
      <c r="E23" s="29">
        <v>38</v>
      </c>
      <c r="F23">
        <v>34.19</v>
      </c>
      <c r="G23" s="21">
        <f t="shared" si="0"/>
        <v>3.3716814159291979</v>
      </c>
      <c r="J23" s="30"/>
      <c r="K23" s="38"/>
      <c r="L23" s="37"/>
      <c r="N23" s="38"/>
    </row>
    <row r="24" spans="1:18">
      <c r="A24" s="6">
        <v>44917</v>
      </c>
      <c r="B24" s="1" t="s">
        <v>130</v>
      </c>
      <c r="C24" s="9">
        <v>80</v>
      </c>
      <c r="D24">
        <v>107.96</v>
      </c>
      <c r="E24" s="29">
        <v>126</v>
      </c>
      <c r="F24">
        <v>101.96</v>
      </c>
      <c r="G24" s="21">
        <f t="shared" si="0"/>
        <v>4.0066666666666677</v>
      </c>
      <c r="H24" s="6">
        <v>44922</v>
      </c>
      <c r="I24" s="29">
        <v>109.85</v>
      </c>
      <c r="J24" s="30">
        <f t="shared" ref="J24:J30" si="1">I24/D24 -1</f>
        <v>1.7506483882919532E-2</v>
      </c>
      <c r="K24" s="35">
        <f t="shared" ref="K24:K30" si="2">(C24*I24) - (C24*D24)</f>
        <v>151.20000000000073</v>
      </c>
      <c r="L24" s="21">
        <f t="shared" ref="L24:L30" si="3">H24-A24</f>
        <v>5</v>
      </c>
      <c r="M24" s="9">
        <f t="shared" ref="M24:M30" si="4">IF(J24&gt;0,1,0)</f>
        <v>1</v>
      </c>
      <c r="N24">
        <f t="shared" ref="N24:N30" si="5">IF(K24&gt;0, K24, 0)</f>
        <v>151.20000000000073</v>
      </c>
      <c r="O24">
        <f t="shared" ref="O24:O30" si="6">IF(K24&lt;0, K24, 0)</f>
        <v>0</v>
      </c>
    </row>
    <row r="25" spans="1:18">
      <c r="A25" s="6">
        <v>44917</v>
      </c>
      <c r="B25" s="1" t="s">
        <v>70</v>
      </c>
      <c r="C25" s="9">
        <v>71</v>
      </c>
      <c r="D25">
        <v>119.32</v>
      </c>
      <c r="E25" s="29">
        <v>140</v>
      </c>
      <c r="F25" s="9">
        <v>116</v>
      </c>
      <c r="G25" s="21">
        <f t="shared" si="0"/>
        <v>7.2289156626506177</v>
      </c>
      <c r="H25" s="6">
        <v>44922</v>
      </c>
      <c r="I25" s="29">
        <v>126.18</v>
      </c>
      <c r="J25" s="30">
        <f t="shared" si="1"/>
        <v>5.7492457257794394E-2</v>
      </c>
      <c r="K25" s="35">
        <f t="shared" si="2"/>
        <v>487.06000000000131</v>
      </c>
      <c r="L25" s="21">
        <f t="shared" si="3"/>
        <v>5</v>
      </c>
      <c r="M25" s="9">
        <f t="shared" si="4"/>
        <v>1</v>
      </c>
      <c r="N25">
        <f t="shared" si="5"/>
        <v>487.06000000000131</v>
      </c>
      <c r="O25">
        <f t="shared" si="6"/>
        <v>0</v>
      </c>
      <c r="R25" s="51">
        <v>-21882</v>
      </c>
    </row>
    <row r="26" spans="1:18">
      <c r="A26" s="6">
        <v>44916</v>
      </c>
      <c r="B26" s="1" t="s">
        <v>432</v>
      </c>
      <c r="C26" s="9">
        <v>98</v>
      </c>
      <c r="D26">
        <v>88.18</v>
      </c>
      <c r="E26" s="29">
        <v>109</v>
      </c>
      <c r="F26">
        <v>83.6</v>
      </c>
      <c r="G26" s="21">
        <f t="shared" si="0"/>
        <v>5.545851528384266</v>
      </c>
      <c r="H26" s="6">
        <v>44917</v>
      </c>
      <c r="I26" s="16">
        <v>83.56</v>
      </c>
      <c r="J26" s="25">
        <f t="shared" si="1"/>
        <v>-5.2392832841914316E-2</v>
      </c>
      <c r="K26" s="36">
        <f t="shared" si="2"/>
        <v>-452.76000000000113</v>
      </c>
      <c r="L26" s="24">
        <f t="shared" si="3"/>
        <v>1</v>
      </c>
      <c r="M26" s="9">
        <f t="shared" si="4"/>
        <v>0</v>
      </c>
      <c r="N26">
        <f t="shared" si="5"/>
        <v>0</v>
      </c>
      <c r="O26">
        <f t="shared" si="6"/>
        <v>-452.76000000000113</v>
      </c>
    </row>
    <row r="27" spans="1:18">
      <c r="A27" s="6">
        <v>44916</v>
      </c>
      <c r="B27" s="1" t="s">
        <v>94</v>
      </c>
      <c r="C27" s="9">
        <v>62</v>
      </c>
      <c r="D27">
        <v>135.58000000000001</v>
      </c>
      <c r="E27" s="29">
        <v>155</v>
      </c>
      <c r="F27">
        <v>130</v>
      </c>
      <c r="G27" s="21">
        <f t="shared" si="0"/>
        <v>4.4802867383512446</v>
      </c>
      <c r="H27" s="6">
        <v>44922</v>
      </c>
      <c r="I27" s="16">
        <v>129.05000000000001</v>
      </c>
      <c r="J27" s="25">
        <f t="shared" si="1"/>
        <v>-4.8163445935978766E-2</v>
      </c>
      <c r="K27" s="36">
        <f t="shared" si="2"/>
        <v>-404.86000000000058</v>
      </c>
      <c r="L27" s="24">
        <f t="shared" si="3"/>
        <v>6</v>
      </c>
      <c r="M27" s="9">
        <f t="shared" si="4"/>
        <v>0</v>
      </c>
      <c r="N27">
        <f t="shared" si="5"/>
        <v>0</v>
      </c>
      <c r="O27">
        <f t="shared" si="6"/>
        <v>-404.86000000000058</v>
      </c>
    </row>
    <row r="28" spans="1:18">
      <c r="A28" s="6">
        <v>44916</v>
      </c>
      <c r="B28" t="s">
        <v>287</v>
      </c>
      <c r="C28">
        <v>440</v>
      </c>
      <c r="D28">
        <v>18.43</v>
      </c>
      <c r="E28">
        <v>18.850000000000001</v>
      </c>
      <c r="F28">
        <v>17.8</v>
      </c>
      <c r="G28" s="21">
        <f t="shared" si="0"/>
        <v>1.6666666666666705</v>
      </c>
      <c r="H28" s="6">
        <v>44916</v>
      </c>
      <c r="I28" s="29">
        <v>18.850000000000001</v>
      </c>
      <c r="J28" s="30">
        <f t="shared" si="1"/>
        <v>2.2788931090613307E-2</v>
      </c>
      <c r="K28" s="35">
        <f t="shared" si="2"/>
        <v>184.80000000000018</v>
      </c>
      <c r="L28" s="21">
        <f t="shared" si="3"/>
        <v>0</v>
      </c>
      <c r="M28" s="9">
        <f t="shared" si="4"/>
        <v>1</v>
      </c>
      <c r="N28">
        <f t="shared" si="5"/>
        <v>184.80000000000018</v>
      </c>
      <c r="O28">
        <f t="shared" si="6"/>
        <v>0</v>
      </c>
      <c r="R28" s="28">
        <v>-20493</v>
      </c>
    </row>
    <row r="29" spans="1:18">
      <c r="A29" s="6">
        <v>44915</v>
      </c>
      <c r="B29" s="1" t="s">
        <v>227</v>
      </c>
      <c r="C29" s="9">
        <v>26</v>
      </c>
      <c r="D29">
        <v>326</v>
      </c>
      <c r="E29" s="29">
        <v>400</v>
      </c>
      <c r="F29">
        <v>320</v>
      </c>
      <c r="G29" s="21">
        <f t="shared" si="0"/>
        <v>13.333333333333334</v>
      </c>
      <c r="H29" s="6">
        <v>44922</v>
      </c>
      <c r="I29" s="29">
        <v>335.87</v>
      </c>
      <c r="J29" s="30">
        <f t="shared" si="1"/>
        <v>3.0276073619631916E-2</v>
      </c>
      <c r="K29" s="35">
        <f t="shared" si="2"/>
        <v>256.6200000000008</v>
      </c>
      <c r="L29" s="21">
        <f t="shared" si="3"/>
        <v>7</v>
      </c>
      <c r="M29" s="9">
        <f t="shared" si="4"/>
        <v>1</v>
      </c>
      <c r="N29">
        <f t="shared" si="5"/>
        <v>256.6200000000008</v>
      </c>
      <c r="O29">
        <f t="shared" si="6"/>
        <v>0</v>
      </c>
    </row>
    <row r="30" spans="1:18">
      <c r="A30" s="6">
        <v>44915</v>
      </c>
      <c r="B30" s="1" t="s">
        <v>20</v>
      </c>
      <c r="C30" s="9">
        <v>26</v>
      </c>
      <c r="D30">
        <v>306.10000000000002</v>
      </c>
      <c r="E30" s="29">
        <v>376</v>
      </c>
      <c r="F30">
        <v>293</v>
      </c>
      <c r="G30" s="21">
        <f t="shared" si="0"/>
        <v>6.3358778625954084</v>
      </c>
      <c r="H30" s="6">
        <v>44924</v>
      </c>
      <c r="I30" s="29">
        <v>317.82</v>
      </c>
      <c r="J30" s="30">
        <f t="shared" si="1"/>
        <v>3.8288141130349507E-2</v>
      </c>
      <c r="K30" s="35">
        <f t="shared" si="2"/>
        <v>304.71999999999935</v>
      </c>
      <c r="L30" s="24">
        <f t="shared" si="3"/>
        <v>9</v>
      </c>
      <c r="M30" s="52">
        <f t="shared" si="4"/>
        <v>1</v>
      </c>
      <c r="N30" s="24">
        <f t="shared" si="5"/>
        <v>304.71999999999935</v>
      </c>
      <c r="O30" s="17">
        <f t="shared" si="6"/>
        <v>0</v>
      </c>
    </row>
    <row r="31" spans="1:18">
      <c r="A31" s="6">
        <v>44915</v>
      </c>
      <c r="B31" s="1" t="s">
        <v>171</v>
      </c>
      <c r="C31" s="9">
        <v>1700</v>
      </c>
      <c r="D31">
        <v>5.07</v>
      </c>
      <c r="E31" s="29">
        <v>6.19</v>
      </c>
      <c r="F31">
        <v>4.92</v>
      </c>
      <c r="G31" s="21">
        <f t="shared" si="0"/>
        <v>8.466666666666649</v>
      </c>
      <c r="J31" s="30"/>
      <c r="K31" s="38"/>
      <c r="L31" s="37"/>
      <c r="N31" s="38"/>
    </row>
    <row r="32" spans="1:18">
      <c r="A32" s="6">
        <v>44915</v>
      </c>
      <c r="B32" s="1" t="s">
        <v>172</v>
      </c>
      <c r="C32" s="9">
        <v>12</v>
      </c>
      <c r="D32">
        <v>67.510000000000005</v>
      </c>
      <c r="E32" s="29">
        <v>73</v>
      </c>
      <c r="F32">
        <v>64.7</v>
      </c>
      <c r="G32" s="21">
        <f t="shared" si="0"/>
        <v>2.9537366548042669</v>
      </c>
      <c r="J32" s="30"/>
      <c r="K32" s="38"/>
      <c r="L32" s="37"/>
      <c r="N32" s="38"/>
    </row>
    <row r="33" spans="1:18">
      <c r="A33" s="6">
        <v>44915</v>
      </c>
      <c r="B33" s="1" t="s">
        <v>233</v>
      </c>
      <c r="C33" s="9">
        <v>5</v>
      </c>
      <c r="D33">
        <v>235.43</v>
      </c>
      <c r="E33" s="29">
        <v>284</v>
      </c>
      <c r="F33">
        <v>224</v>
      </c>
      <c r="G33" s="21">
        <f t="shared" si="0"/>
        <v>5.249343832020994</v>
      </c>
      <c r="H33" s="6">
        <v>44917</v>
      </c>
      <c r="I33" s="16">
        <v>224.01</v>
      </c>
      <c r="J33" s="25">
        <f>I33/D33 -1</f>
        <v>-4.8506987214883446E-2</v>
      </c>
      <c r="K33" s="36">
        <f>(C33*I33) - (C33*D33)</f>
        <v>-57.100000000000136</v>
      </c>
      <c r="L33" s="24">
        <f>H33-A33</f>
        <v>2</v>
      </c>
      <c r="M33" s="9">
        <f>IF(J33&gt;0,1,0)</f>
        <v>0</v>
      </c>
      <c r="N33">
        <f>IF(K33&gt;0, K33, 0)</f>
        <v>0</v>
      </c>
      <c r="O33">
        <f>IF(K33&lt;0, K33, 0)</f>
        <v>-57.100000000000136</v>
      </c>
    </row>
    <row r="34" spans="1:18">
      <c r="A34" s="6">
        <v>44915</v>
      </c>
      <c r="B34" s="1" t="s">
        <v>231</v>
      </c>
      <c r="C34" s="9">
        <v>17</v>
      </c>
      <c r="D34">
        <v>69.239999999999995</v>
      </c>
      <c r="E34" s="29">
        <v>100</v>
      </c>
      <c r="F34">
        <v>63.26</v>
      </c>
      <c r="G34" s="21">
        <f t="shared" si="0"/>
        <v>6.1438127090301036</v>
      </c>
      <c r="H34" s="6">
        <v>44924</v>
      </c>
      <c r="I34" s="29">
        <v>70.59</v>
      </c>
      <c r="J34" s="30">
        <f>I34/D34 -1</f>
        <v>1.9497400346620619E-2</v>
      </c>
      <c r="K34" s="35">
        <f>(C34*I34) - (C34*D34)</f>
        <v>22.950000000000045</v>
      </c>
      <c r="L34" s="21">
        <f>H34-A34</f>
        <v>9</v>
      </c>
      <c r="M34" s="9">
        <f>IF(J34&gt;0,1,0)</f>
        <v>1</v>
      </c>
      <c r="N34">
        <f>IF(K34&gt;0, K34, 0)</f>
        <v>22.950000000000045</v>
      </c>
      <c r="O34">
        <f>IF(K34&lt;0, K34, 0)</f>
        <v>0</v>
      </c>
      <c r="R34" s="51">
        <v>-20677</v>
      </c>
    </row>
    <row r="35" spans="1:18">
      <c r="A35" s="6">
        <v>44914</v>
      </c>
      <c r="B35" s="1" t="s">
        <v>369</v>
      </c>
      <c r="C35" s="9">
        <v>25</v>
      </c>
      <c r="D35">
        <v>44.55</v>
      </c>
      <c r="E35" s="29">
        <v>50</v>
      </c>
      <c r="F35">
        <v>42</v>
      </c>
      <c r="G35" s="21">
        <f t="shared" si="0"/>
        <v>3.1372549019607878</v>
      </c>
      <c r="H35" s="6">
        <v>44923</v>
      </c>
      <c r="I35" s="29">
        <v>44.65</v>
      </c>
      <c r="J35" s="30">
        <f>I35/D35 -1</f>
        <v>2.2446689113355678E-3</v>
      </c>
      <c r="K35" s="35">
        <f>(C35*I35) - (C35*D35)</f>
        <v>2.5</v>
      </c>
      <c r="L35" s="21">
        <f>H35-A35</f>
        <v>9</v>
      </c>
      <c r="M35" s="9">
        <f>IF(J35&gt;0,1,0)</f>
        <v>1</v>
      </c>
      <c r="N35">
        <f>IF(K35&gt;0, K35, 0)</f>
        <v>2.5</v>
      </c>
      <c r="O35">
        <f>IF(K35&lt;0, K35, 0)</f>
        <v>0</v>
      </c>
    </row>
    <row r="36" spans="1:18">
      <c r="A36" s="6">
        <v>44914</v>
      </c>
      <c r="B36" s="1" t="s">
        <v>48</v>
      </c>
      <c r="C36" s="9">
        <v>89</v>
      </c>
      <c r="D36">
        <v>95.8</v>
      </c>
      <c r="E36" s="29">
        <v>110</v>
      </c>
      <c r="F36">
        <v>90</v>
      </c>
      <c r="G36" s="21">
        <f t="shared" si="0"/>
        <v>3.4482758620689671</v>
      </c>
      <c r="H36" s="6">
        <v>44917</v>
      </c>
      <c r="I36" s="16">
        <v>89</v>
      </c>
      <c r="J36" s="25">
        <f>I36/D36 -1</f>
        <v>-7.0981210855949883E-2</v>
      </c>
      <c r="K36" s="36">
        <f>(C36*I36) - (C36*D36)</f>
        <v>-605.19999999999891</v>
      </c>
      <c r="L36" s="24">
        <f>H36-A36</f>
        <v>3</v>
      </c>
      <c r="M36" s="9">
        <f>IF(J36&gt;0,1,0)</f>
        <v>0</v>
      </c>
      <c r="N36">
        <f>IF(K36&gt;0, K36, 0)</f>
        <v>0</v>
      </c>
      <c r="O36">
        <f>IF(K36&lt;0, K36, 0)</f>
        <v>-605.19999999999891</v>
      </c>
    </row>
    <row r="37" spans="1:18">
      <c r="A37" s="6">
        <v>44914</v>
      </c>
      <c r="B37" s="1" t="s">
        <v>56</v>
      </c>
      <c r="C37" s="9">
        <v>1070</v>
      </c>
      <c r="D37">
        <v>8.0500000000000007</v>
      </c>
      <c r="E37" s="29">
        <v>9.3000000000000007</v>
      </c>
      <c r="F37">
        <v>7.67</v>
      </c>
      <c r="G37" s="21">
        <f t="shared" si="0"/>
        <v>4.2894736842105194</v>
      </c>
      <c r="J37" s="30"/>
      <c r="K37" s="38"/>
      <c r="L37" s="37"/>
      <c r="N37" s="38"/>
    </row>
    <row r="38" spans="1:18">
      <c r="A38" s="6">
        <v>44914</v>
      </c>
      <c r="B38" s="1" t="s">
        <v>129</v>
      </c>
      <c r="C38" s="9">
        <v>17</v>
      </c>
      <c r="D38">
        <v>461.76</v>
      </c>
      <c r="E38" s="29">
        <v>539</v>
      </c>
      <c r="F38">
        <v>450</v>
      </c>
      <c r="G38" s="21">
        <f t="shared" si="0"/>
        <v>7.5680272108843596</v>
      </c>
      <c r="J38" s="30"/>
      <c r="K38" s="38"/>
      <c r="L38" s="37"/>
      <c r="N38" s="38"/>
    </row>
    <row r="39" spans="1:18">
      <c r="A39" s="6">
        <v>44914</v>
      </c>
      <c r="B39" s="1" t="s">
        <v>41</v>
      </c>
      <c r="C39" s="9">
        <v>89</v>
      </c>
      <c r="D39">
        <v>96.29</v>
      </c>
      <c r="E39" s="29">
        <v>105</v>
      </c>
      <c r="F39">
        <v>92.45</v>
      </c>
      <c r="G39" s="21">
        <f t="shared" si="0"/>
        <v>3.268229166666663</v>
      </c>
      <c r="H39" s="6">
        <v>44918</v>
      </c>
      <c r="I39" s="29">
        <v>98.98</v>
      </c>
      <c r="J39" s="30">
        <f>I39/D39 -1</f>
        <v>2.7936441998130723E-2</v>
      </c>
      <c r="K39" s="35">
        <f>(C39*I39) - (C39*D39)</f>
        <v>239.40999999999985</v>
      </c>
      <c r="L39" s="21">
        <f>H39-A39</f>
        <v>4</v>
      </c>
      <c r="M39" s="9">
        <f>IF(J39&gt;0,1,0)</f>
        <v>1</v>
      </c>
      <c r="N39">
        <f>IF(K39&gt;0, K39, 0)</f>
        <v>239.40999999999985</v>
      </c>
      <c r="O39">
        <f>IF(K39&lt;0, K39, 0)</f>
        <v>0</v>
      </c>
      <c r="R39" s="16">
        <v>-19646</v>
      </c>
    </row>
    <row r="40" spans="1:18">
      <c r="A40" s="6">
        <v>44911</v>
      </c>
      <c r="B40" s="1" t="s">
        <v>81</v>
      </c>
      <c r="C40" s="9">
        <v>14</v>
      </c>
      <c r="D40">
        <v>64.959999999999994</v>
      </c>
      <c r="E40" s="29">
        <v>75</v>
      </c>
      <c r="F40">
        <v>58.4</v>
      </c>
      <c r="G40" s="21">
        <f t="shared" si="0"/>
        <v>2.5304878048780508</v>
      </c>
      <c r="J40" s="30"/>
      <c r="K40" s="38"/>
      <c r="L40" s="37"/>
      <c r="N40" s="38"/>
    </row>
    <row r="41" spans="1:18">
      <c r="A41" s="6">
        <v>44911</v>
      </c>
      <c r="B41" s="1" t="s">
        <v>316</v>
      </c>
      <c r="C41" s="9">
        <v>32</v>
      </c>
      <c r="D41">
        <v>293.27</v>
      </c>
      <c r="E41" s="29">
        <v>320</v>
      </c>
      <c r="F41">
        <v>279.8</v>
      </c>
      <c r="G41" s="21">
        <f t="shared" si="0"/>
        <v>2.9844097995545713</v>
      </c>
      <c r="H41" s="6">
        <v>44923</v>
      </c>
      <c r="I41" s="16">
        <v>279.85000000000002</v>
      </c>
      <c r="J41" s="25">
        <f t="shared" ref="J41:J46" si="7">I41/D41 -1</f>
        <v>-4.5759879974085149E-2</v>
      </c>
      <c r="K41" s="36">
        <f t="shared" ref="K41:K46" si="8">(C41*I41) - (C41*D41)</f>
        <v>-429.43999999999869</v>
      </c>
      <c r="L41" s="24">
        <f t="shared" ref="L41:L46" si="9">H41-A41</f>
        <v>12</v>
      </c>
      <c r="M41" s="9">
        <f t="shared" ref="M41:M46" si="10">IF(J41&gt;0,1,0)</f>
        <v>0</v>
      </c>
      <c r="N41">
        <f t="shared" ref="N41:N46" si="11">IF(K41&gt;0, K41, 0)</f>
        <v>0</v>
      </c>
      <c r="O41">
        <f t="shared" ref="O41:O46" si="12">IF(K41&lt;0, K41, 0)</f>
        <v>-429.43999999999869</v>
      </c>
      <c r="R41" s="16">
        <v>-19271</v>
      </c>
    </row>
    <row r="42" spans="1:18">
      <c r="A42" s="6">
        <v>44910</v>
      </c>
      <c r="B42" s="1" t="s">
        <v>185</v>
      </c>
      <c r="C42" s="9">
        <v>116</v>
      </c>
      <c r="D42">
        <v>10.28</v>
      </c>
      <c r="E42" s="29">
        <v>20</v>
      </c>
      <c r="F42">
        <v>7.76</v>
      </c>
      <c r="G42" s="21">
        <f t="shared" si="0"/>
        <v>4.8571428571428577</v>
      </c>
      <c r="H42" s="6">
        <v>44925</v>
      </c>
      <c r="I42" s="29">
        <v>10.86</v>
      </c>
      <c r="J42" s="30">
        <f t="shared" si="7"/>
        <v>5.6420233463035041E-2</v>
      </c>
      <c r="K42" s="35">
        <f t="shared" si="8"/>
        <v>67.279999999999973</v>
      </c>
      <c r="L42" s="21">
        <f t="shared" si="9"/>
        <v>15</v>
      </c>
      <c r="M42" s="9">
        <f t="shared" si="10"/>
        <v>1</v>
      </c>
      <c r="N42">
        <f t="shared" si="11"/>
        <v>67.279999999999973</v>
      </c>
      <c r="O42">
        <f t="shared" si="12"/>
        <v>0</v>
      </c>
    </row>
    <row r="43" spans="1:18">
      <c r="A43" s="6">
        <v>44910</v>
      </c>
      <c r="B43" s="1" t="s">
        <v>21</v>
      </c>
      <c r="C43" s="9">
        <v>62</v>
      </c>
      <c r="D43">
        <v>136.62</v>
      </c>
      <c r="E43" s="29">
        <v>167</v>
      </c>
      <c r="F43">
        <v>130</v>
      </c>
      <c r="G43" s="21">
        <f t="shared" si="0"/>
        <v>5.5891238670694827</v>
      </c>
      <c r="H43" s="6">
        <v>44917</v>
      </c>
      <c r="I43" s="16">
        <v>132.19999999999999</v>
      </c>
      <c r="J43" s="25">
        <f t="shared" si="7"/>
        <v>-3.2352510613380292E-2</v>
      </c>
      <c r="K43" s="36">
        <f t="shared" si="8"/>
        <v>-274.04000000000087</v>
      </c>
      <c r="L43" s="24">
        <f t="shared" si="9"/>
        <v>7</v>
      </c>
      <c r="M43" s="9">
        <f t="shared" si="10"/>
        <v>0</v>
      </c>
      <c r="N43">
        <f t="shared" si="11"/>
        <v>0</v>
      </c>
      <c r="O43">
        <f t="shared" si="12"/>
        <v>-274.04000000000087</v>
      </c>
    </row>
    <row r="44" spans="1:18">
      <c r="A44" s="6">
        <v>44910</v>
      </c>
      <c r="B44" s="1" t="s">
        <v>296</v>
      </c>
      <c r="C44" s="9">
        <v>170</v>
      </c>
      <c r="D44">
        <v>49.2</v>
      </c>
      <c r="E44" s="29">
        <v>55</v>
      </c>
      <c r="F44">
        <v>46.2</v>
      </c>
      <c r="G44" s="21">
        <f t="shared" si="0"/>
        <v>2.9333333333333322</v>
      </c>
      <c r="H44" s="6">
        <v>44914</v>
      </c>
      <c r="I44" s="29">
        <v>50.91</v>
      </c>
      <c r="J44" s="30">
        <f t="shared" si="7"/>
        <v>3.475609756097553E-2</v>
      </c>
      <c r="K44" s="35">
        <f t="shared" si="8"/>
        <v>290.69999999999891</v>
      </c>
      <c r="L44" s="21">
        <f t="shared" si="9"/>
        <v>4</v>
      </c>
      <c r="M44" s="9">
        <f t="shared" si="10"/>
        <v>1</v>
      </c>
      <c r="N44">
        <f t="shared" si="11"/>
        <v>290.69999999999891</v>
      </c>
      <c r="O44">
        <f t="shared" si="12"/>
        <v>0</v>
      </c>
    </row>
    <row r="45" spans="1:18">
      <c r="A45" s="6">
        <v>44910</v>
      </c>
      <c r="B45" s="1" t="s">
        <v>43</v>
      </c>
      <c r="C45" s="9">
        <v>350</v>
      </c>
      <c r="D45">
        <v>25.21</v>
      </c>
      <c r="E45" s="29">
        <v>28.28</v>
      </c>
      <c r="F45">
        <v>23.99</v>
      </c>
      <c r="G45" s="21">
        <f t="shared" si="0"/>
        <v>3.5163934426229462</v>
      </c>
      <c r="H45" s="6">
        <v>44915</v>
      </c>
      <c r="I45" s="16">
        <v>23.97</v>
      </c>
      <c r="J45" s="25">
        <f t="shared" si="7"/>
        <v>-4.9186830622768851E-2</v>
      </c>
      <c r="K45" s="36">
        <f t="shared" si="8"/>
        <v>-434</v>
      </c>
      <c r="L45" s="24">
        <f t="shared" si="9"/>
        <v>5</v>
      </c>
      <c r="M45" s="9">
        <f t="shared" si="10"/>
        <v>0</v>
      </c>
      <c r="N45">
        <f t="shared" si="11"/>
        <v>0</v>
      </c>
      <c r="O45">
        <f t="shared" si="12"/>
        <v>-434</v>
      </c>
      <c r="R45" s="16">
        <v>-18663</v>
      </c>
    </row>
    <row r="46" spans="1:18">
      <c r="A46" s="6">
        <v>44909</v>
      </c>
      <c r="B46" s="1" t="s">
        <v>84</v>
      </c>
      <c r="C46" s="9">
        <v>14</v>
      </c>
      <c r="D46">
        <v>91.41</v>
      </c>
      <c r="E46" s="29">
        <v>110</v>
      </c>
      <c r="F46">
        <v>85.6</v>
      </c>
      <c r="G46" s="21">
        <f t="shared" si="0"/>
        <v>4.1996557659208253</v>
      </c>
      <c r="H46" s="6">
        <v>44918</v>
      </c>
      <c r="I46" s="29">
        <v>92.64</v>
      </c>
      <c r="J46" s="30">
        <f t="shared" si="7"/>
        <v>1.3455858221201211E-2</v>
      </c>
      <c r="K46" s="35">
        <f t="shared" si="8"/>
        <v>17.220000000000027</v>
      </c>
      <c r="L46" s="21">
        <f t="shared" si="9"/>
        <v>9</v>
      </c>
      <c r="M46" s="9">
        <f t="shared" si="10"/>
        <v>1</v>
      </c>
      <c r="N46">
        <f t="shared" si="11"/>
        <v>17.220000000000027</v>
      </c>
      <c r="O46">
        <f t="shared" si="12"/>
        <v>0</v>
      </c>
    </row>
    <row r="47" spans="1:18">
      <c r="A47" s="6">
        <v>44909</v>
      </c>
      <c r="B47" s="1" t="s">
        <v>174</v>
      </c>
      <c r="C47" s="9">
        <v>26</v>
      </c>
      <c r="D47">
        <v>44.41</v>
      </c>
      <c r="E47" s="29">
        <v>50.58</v>
      </c>
      <c r="F47">
        <v>41.3</v>
      </c>
      <c r="G47" s="21">
        <f t="shared" si="0"/>
        <v>2.9839228295819944</v>
      </c>
      <c r="J47" s="30"/>
      <c r="K47" s="38"/>
      <c r="L47" s="37"/>
      <c r="N47" s="38"/>
    </row>
    <row r="48" spans="1:18">
      <c r="A48" s="6">
        <v>44909</v>
      </c>
      <c r="B48" s="1" t="s">
        <v>20</v>
      </c>
      <c r="C48" s="9">
        <v>26</v>
      </c>
      <c r="D48">
        <v>312.99</v>
      </c>
      <c r="E48" s="29">
        <v>376</v>
      </c>
      <c r="F48">
        <v>296</v>
      </c>
      <c r="G48" s="21">
        <f t="shared" si="0"/>
        <v>4.7086521483225399</v>
      </c>
      <c r="H48" s="6">
        <v>44911</v>
      </c>
      <c r="I48" s="16">
        <v>296.33999999999997</v>
      </c>
      <c r="J48" s="25">
        <f t="shared" ref="J48:J57" si="13">I48/D48 -1</f>
        <v>-5.3196587750407476E-2</v>
      </c>
      <c r="K48" s="36">
        <f t="shared" ref="K48:K57" si="14">(C48*I48) - (C48*D48)</f>
        <v>-432.90000000000055</v>
      </c>
      <c r="L48" s="24">
        <f t="shared" ref="L48:L57" si="15">H48-A48</f>
        <v>2</v>
      </c>
      <c r="M48" s="9">
        <f t="shared" ref="M48:M57" si="16">IF(J48&gt;0,1,0)</f>
        <v>0</v>
      </c>
      <c r="N48">
        <f t="shared" ref="N48:N57" si="17">IF(K48&gt;0, K48, 0)</f>
        <v>0</v>
      </c>
      <c r="O48">
        <f t="shared" ref="O48:O57" si="18">IF(K48&lt;0, K48, 0)</f>
        <v>-432.90000000000055</v>
      </c>
    </row>
    <row r="49" spans="1:18">
      <c r="A49" s="6">
        <v>44909</v>
      </c>
      <c r="B49" t="s">
        <v>287</v>
      </c>
      <c r="C49">
        <v>368</v>
      </c>
      <c r="D49">
        <v>21.98</v>
      </c>
      <c r="E49" s="29">
        <v>25</v>
      </c>
      <c r="F49">
        <v>20</v>
      </c>
      <c r="G49" s="21">
        <f t="shared" si="0"/>
        <v>2.5252525252525246</v>
      </c>
      <c r="H49" s="6">
        <v>44909</v>
      </c>
      <c r="I49" s="29">
        <v>22.41</v>
      </c>
      <c r="J49" s="30">
        <f t="shared" si="13"/>
        <v>1.9563239308462155E-2</v>
      </c>
      <c r="K49" s="35">
        <f t="shared" si="14"/>
        <v>158.23999999999887</v>
      </c>
      <c r="L49" s="21">
        <f t="shared" si="15"/>
        <v>0</v>
      </c>
      <c r="M49" s="9">
        <f t="shared" si="16"/>
        <v>1</v>
      </c>
      <c r="N49">
        <f t="shared" si="17"/>
        <v>158.23999999999887</v>
      </c>
      <c r="O49">
        <f t="shared" si="18"/>
        <v>0</v>
      </c>
      <c r="R49" s="28">
        <v>-17461</v>
      </c>
    </row>
    <row r="50" spans="1:18">
      <c r="A50" s="6">
        <v>44908</v>
      </c>
      <c r="B50" s="1" t="s">
        <v>373</v>
      </c>
      <c r="C50" s="9">
        <v>26</v>
      </c>
      <c r="D50">
        <v>40.590000000000003</v>
      </c>
      <c r="E50" s="29">
        <v>47.5</v>
      </c>
      <c r="F50">
        <v>37.5</v>
      </c>
      <c r="G50" s="21">
        <f t="shared" si="0"/>
        <v>3.2362459546925533</v>
      </c>
      <c r="H50" s="6">
        <v>44911</v>
      </c>
      <c r="I50" s="16">
        <v>37.700000000000003</v>
      </c>
      <c r="J50" s="25">
        <f t="shared" si="13"/>
        <v>-7.1199802907120024E-2</v>
      </c>
      <c r="K50" s="36">
        <f t="shared" si="14"/>
        <v>-75.1400000000001</v>
      </c>
      <c r="L50" s="24">
        <f t="shared" si="15"/>
        <v>3</v>
      </c>
      <c r="M50" s="9">
        <f t="shared" si="16"/>
        <v>0</v>
      </c>
      <c r="N50">
        <f t="shared" si="17"/>
        <v>0</v>
      </c>
      <c r="O50">
        <f t="shared" si="18"/>
        <v>-75.1400000000001</v>
      </c>
      <c r="R50" s="28"/>
    </row>
    <row r="51" spans="1:18">
      <c r="A51" s="6">
        <v>44908</v>
      </c>
      <c r="B51" s="1" t="s">
        <v>163</v>
      </c>
      <c r="C51" s="9">
        <v>23</v>
      </c>
      <c r="D51">
        <v>47.93</v>
      </c>
      <c r="E51" s="29">
        <v>65</v>
      </c>
      <c r="F51">
        <v>44.41</v>
      </c>
      <c r="G51" s="21">
        <f t="shared" si="0"/>
        <v>5.8494318181818139</v>
      </c>
      <c r="H51" s="6">
        <v>44911</v>
      </c>
      <c r="I51" s="16">
        <v>44.36</v>
      </c>
      <c r="J51" s="25">
        <f t="shared" si="13"/>
        <v>-7.4483621948675194E-2</v>
      </c>
      <c r="K51" s="36">
        <f t="shared" si="14"/>
        <v>-82.110000000000127</v>
      </c>
      <c r="L51" s="24">
        <f t="shared" si="15"/>
        <v>3</v>
      </c>
      <c r="M51" s="9">
        <f t="shared" si="16"/>
        <v>0</v>
      </c>
      <c r="N51">
        <f t="shared" si="17"/>
        <v>0</v>
      </c>
      <c r="O51">
        <f t="shared" si="18"/>
        <v>-82.110000000000127</v>
      </c>
    </row>
    <row r="52" spans="1:18">
      <c r="A52" s="6">
        <v>44908</v>
      </c>
      <c r="B52" s="1" t="s">
        <v>233</v>
      </c>
      <c r="C52" s="9">
        <v>4</v>
      </c>
      <c r="D52">
        <v>263.16000000000003</v>
      </c>
      <c r="E52" s="29">
        <v>325</v>
      </c>
      <c r="F52">
        <v>250</v>
      </c>
      <c r="G52" s="21">
        <f t="shared" si="0"/>
        <v>5.6990881458966456</v>
      </c>
      <c r="H52" s="6">
        <v>44909</v>
      </c>
      <c r="I52" s="16">
        <v>250.04</v>
      </c>
      <c r="J52" s="25">
        <f t="shared" si="13"/>
        <v>-4.9855601155190832E-2</v>
      </c>
      <c r="K52" s="36">
        <f t="shared" si="14"/>
        <v>-52.480000000000132</v>
      </c>
      <c r="L52" s="24">
        <f t="shared" si="15"/>
        <v>1</v>
      </c>
      <c r="M52" s="9">
        <f t="shared" si="16"/>
        <v>0</v>
      </c>
      <c r="N52">
        <f t="shared" si="17"/>
        <v>0</v>
      </c>
      <c r="O52">
        <f t="shared" si="18"/>
        <v>-52.480000000000132</v>
      </c>
    </row>
    <row r="53" spans="1:18">
      <c r="A53" s="6">
        <v>44908</v>
      </c>
      <c r="B53" s="1" t="s">
        <v>427</v>
      </c>
      <c r="C53" s="9">
        <v>26</v>
      </c>
      <c r="D53">
        <v>334.06</v>
      </c>
      <c r="E53" s="29">
        <v>380</v>
      </c>
      <c r="F53">
        <v>310</v>
      </c>
      <c r="G53" s="21">
        <f t="shared" si="0"/>
        <v>2.9093931837073979</v>
      </c>
      <c r="H53" s="6">
        <v>44915</v>
      </c>
      <c r="I53" s="16">
        <v>310.54000000000002</v>
      </c>
      <c r="J53" s="25">
        <f t="shared" si="13"/>
        <v>-7.0406513799916137E-2</v>
      </c>
      <c r="K53" s="36">
        <f t="shared" si="14"/>
        <v>-611.51999999999862</v>
      </c>
      <c r="L53" s="24">
        <f t="shared" si="15"/>
        <v>7</v>
      </c>
      <c r="M53" s="52">
        <f t="shared" si="16"/>
        <v>0</v>
      </c>
      <c r="N53" s="24">
        <f t="shared" si="17"/>
        <v>0</v>
      </c>
      <c r="O53" s="17">
        <f t="shared" si="18"/>
        <v>-611.51999999999862</v>
      </c>
    </row>
    <row r="54" spans="1:18">
      <c r="A54" s="6">
        <v>44908</v>
      </c>
      <c r="B54" s="1" t="s">
        <v>287</v>
      </c>
      <c r="C54" s="9">
        <v>395</v>
      </c>
      <c r="D54">
        <v>22.41</v>
      </c>
      <c r="E54" s="29">
        <v>25</v>
      </c>
      <c r="F54">
        <v>20</v>
      </c>
      <c r="G54" s="21">
        <f t="shared" si="0"/>
        <v>2.0746887966804977</v>
      </c>
      <c r="H54" s="6">
        <v>44909</v>
      </c>
      <c r="I54" s="29">
        <v>22.68</v>
      </c>
      <c r="J54" s="30">
        <f t="shared" si="13"/>
        <v>1.2048192771084265E-2</v>
      </c>
      <c r="K54" s="35">
        <f t="shared" si="14"/>
        <v>106.64999999999964</v>
      </c>
      <c r="L54" s="21">
        <f t="shared" si="15"/>
        <v>1</v>
      </c>
      <c r="M54" s="9">
        <f t="shared" si="16"/>
        <v>1</v>
      </c>
      <c r="N54">
        <f t="shared" si="17"/>
        <v>106.64999999999964</v>
      </c>
      <c r="O54">
        <f t="shared" si="18"/>
        <v>0</v>
      </c>
      <c r="R54" s="16">
        <v>-17674</v>
      </c>
    </row>
    <row r="55" spans="1:18">
      <c r="A55" s="6">
        <v>44907</v>
      </c>
      <c r="B55" s="1" t="s">
        <v>222</v>
      </c>
      <c r="C55" s="9">
        <v>116</v>
      </c>
      <c r="D55">
        <v>70.87</v>
      </c>
      <c r="E55" s="29">
        <v>75.239999999999995</v>
      </c>
      <c r="F55">
        <v>68.56</v>
      </c>
      <c r="G55" s="21">
        <f t="shared" si="0"/>
        <v>2.8917748917748858</v>
      </c>
      <c r="H55" s="6">
        <v>44910</v>
      </c>
      <c r="I55" s="16">
        <v>68.569999999999993</v>
      </c>
      <c r="J55" s="25">
        <f t="shared" si="13"/>
        <v>-3.2453788627063829E-2</v>
      </c>
      <c r="K55" s="36">
        <f t="shared" si="14"/>
        <v>-266.80000000000109</v>
      </c>
      <c r="L55" s="24">
        <f t="shared" si="15"/>
        <v>3</v>
      </c>
      <c r="M55" s="9">
        <f t="shared" si="16"/>
        <v>0</v>
      </c>
      <c r="N55">
        <f t="shared" si="17"/>
        <v>0</v>
      </c>
      <c r="O55">
        <f t="shared" si="18"/>
        <v>-266.80000000000109</v>
      </c>
    </row>
    <row r="56" spans="1:18">
      <c r="A56" s="6">
        <v>44907</v>
      </c>
      <c r="B56" s="1" t="s">
        <v>284</v>
      </c>
      <c r="C56" s="9">
        <v>80</v>
      </c>
      <c r="D56">
        <v>104.62</v>
      </c>
      <c r="E56" s="29">
        <v>131</v>
      </c>
      <c r="F56">
        <v>101.85</v>
      </c>
      <c r="G56" s="21">
        <f t="shared" si="0"/>
        <v>10.523465703971082</v>
      </c>
      <c r="H56" s="6">
        <v>44910</v>
      </c>
      <c r="I56" s="16">
        <v>101.77</v>
      </c>
      <c r="J56" s="25">
        <f t="shared" si="13"/>
        <v>-2.7241445230357542E-2</v>
      </c>
      <c r="K56" s="36">
        <f t="shared" si="14"/>
        <v>-228.00000000000091</v>
      </c>
      <c r="L56" s="24">
        <f t="shared" si="15"/>
        <v>3</v>
      </c>
      <c r="M56" s="9">
        <f t="shared" si="16"/>
        <v>0</v>
      </c>
      <c r="N56">
        <f t="shared" si="17"/>
        <v>0</v>
      </c>
      <c r="O56">
        <f t="shared" si="18"/>
        <v>-228.00000000000091</v>
      </c>
    </row>
    <row r="57" spans="1:18">
      <c r="A57" s="6">
        <v>44907</v>
      </c>
      <c r="B57" s="1" t="s">
        <v>88</v>
      </c>
      <c r="C57" s="9">
        <v>1400</v>
      </c>
      <c r="D57">
        <v>6.03</v>
      </c>
      <c r="E57" s="29">
        <v>7</v>
      </c>
      <c r="F57">
        <v>5.79</v>
      </c>
      <c r="G57" s="21">
        <f t="shared" si="0"/>
        <v>5.0416666666666616</v>
      </c>
      <c r="H57" s="6">
        <v>44915</v>
      </c>
      <c r="I57" s="29">
        <v>6.04</v>
      </c>
      <c r="J57" s="30">
        <f t="shared" si="13"/>
        <v>1.6583747927030323E-3</v>
      </c>
      <c r="K57" s="35">
        <f t="shared" si="14"/>
        <v>14</v>
      </c>
      <c r="L57" s="24">
        <f t="shared" si="15"/>
        <v>8</v>
      </c>
      <c r="M57" s="52">
        <f t="shared" si="16"/>
        <v>1</v>
      </c>
      <c r="N57" s="24">
        <f t="shared" si="17"/>
        <v>14</v>
      </c>
      <c r="O57" s="17">
        <f t="shared" si="18"/>
        <v>0</v>
      </c>
    </row>
    <row r="58" spans="1:18">
      <c r="A58" s="6">
        <v>44907</v>
      </c>
      <c r="B58" s="1" t="s">
        <v>286</v>
      </c>
      <c r="C58" s="9">
        <v>305</v>
      </c>
      <c r="D58">
        <v>33.950000000000003</v>
      </c>
      <c r="E58" s="29">
        <v>40</v>
      </c>
      <c r="F58">
        <v>30</v>
      </c>
      <c r="G58" s="21">
        <f t="shared" si="0"/>
        <v>2.5316455696202516</v>
      </c>
      <c r="J58" s="30"/>
      <c r="K58" s="38"/>
      <c r="L58" s="37"/>
      <c r="N58" s="38"/>
    </row>
    <row r="59" spans="1:18">
      <c r="A59" s="6">
        <v>44907</v>
      </c>
      <c r="B59" s="1" t="s">
        <v>376</v>
      </c>
      <c r="C59" s="9">
        <v>179</v>
      </c>
      <c r="D59">
        <v>47.72</v>
      </c>
      <c r="E59" s="29">
        <v>52.25</v>
      </c>
      <c r="F59">
        <v>46</v>
      </c>
      <c r="G59" s="21">
        <f t="shared" si="0"/>
        <v>3.6337209302325606</v>
      </c>
      <c r="H59" s="6">
        <v>44914</v>
      </c>
      <c r="I59" s="16">
        <v>45.93</v>
      </c>
      <c r="J59" s="25">
        <f t="shared" ref="J59:J66" si="19">I59/D59 -1</f>
        <v>-3.7510477787091379E-2</v>
      </c>
      <c r="K59" s="36">
        <f t="shared" ref="K59:K66" si="20">(C59*I59) - (C59*D59)</f>
        <v>-320.40999999999985</v>
      </c>
      <c r="L59" s="24">
        <f t="shared" ref="L59:L66" si="21">H59-A59</f>
        <v>7</v>
      </c>
      <c r="M59" s="9">
        <f t="shared" ref="M59:M66" si="22">IF(J59&gt;0,1,0)</f>
        <v>0</v>
      </c>
      <c r="N59">
        <f t="shared" ref="N59:N66" si="23">IF(K59&gt;0, K59, 0)</f>
        <v>0</v>
      </c>
      <c r="O59">
        <f t="shared" ref="O59:O66" si="24">IF(K59&lt;0, K59, 0)</f>
        <v>-320.40999999999985</v>
      </c>
      <c r="R59" s="28">
        <v>-17031</v>
      </c>
    </row>
    <row r="60" spans="1:18">
      <c r="A60" s="6">
        <v>44904</v>
      </c>
      <c r="B60" s="1" t="s">
        <v>87</v>
      </c>
      <c r="C60" s="9">
        <v>53</v>
      </c>
      <c r="D60">
        <v>178.55</v>
      </c>
      <c r="E60" s="29">
        <v>287</v>
      </c>
      <c r="F60">
        <v>167</v>
      </c>
      <c r="G60" s="21">
        <f t="shared" si="0"/>
        <v>10.389610389610379</v>
      </c>
      <c r="H60" s="6">
        <v>44908</v>
      </c>
      <c r="I60" s="16">
        <v>166.93</v>
      </c>
      <c r="J60" s="25">
        <f t="shared" si="19"/>
        <v>-6.5079809577149317E-2</v>
      </c>
      <c r="K60" s="36">
        <f t="shared" si="20"/>
        <v>-615.86000000000058</v>
      </c>
      <c r="L60" s="24">
        <f t="shared" si="21"/>
        <v>4</v>
      </c>
      <c r="M60" s="9">
        <f t="shared" si="22"/>
        <v>0</v>
      </c>
      <c r="N60">
        <f t="shared" si="23"/>
        <v>0</v>
      </c>
      <c r="O60">
        <f t="shared" si="24"/>
        <v>-615.86000000000058</v>
      </c>
    </row>
    <row r="61" spans="1:18">
      <c r="A61" s="6">
        <v>44904</v>
      </c>
      <c r="B61" s="1" t="s">
        <v>129</v>
      </c>
      <c r="C61" s="9">
        <v>17</v>
      </c>
      <c r="D61">
        <v>482.74</v>
      </c>
      <c r="E61" s="29">
        <v>539</v>
      </c>
      <c r="F61">
        <v>474</v>
      </c>
      <c r="G61" s="21">
        <f t="shared" si="0"/>
        <v>7.4370709382150952</v>
      </c>
      <c r="H61" s="6">
        <v>44910</v>
      </c>
      <c r="I61" s="16">
        <v>469.64</v>
      </c>
      <c r="J61" s="25">
        <f t="shared" si="19"/>
        <v>-2.7136760989352471E-2</v>
      </c>
      <c r="K61" s="36">
        <f t="shared" si="20"/>
        <v>-222.69999999999982</v>
      </c>
      <c r="L61" s="24">
        <f t="shared" si="21"/>
        <v>6</v>
      </c>
      <c r="M61" s="9">
        <f t="shared" si="22"/>
        <v>0</v>
      </c>
      <c r="N61">
        <f t="shared" si="23"/>
        <v>0</v>
      </c>
      <c r="O61">
        <f t="shared" si="24"/>
        <v>-222.69999999999982</v>
      </c>
    </row>
    <row r="62" spans="1:18">
      <c r="A62" s="6">
        <v>44904</v>
      </c>
      <c r="B62" s="1" t="s">
        <v>296</v>
      </c>
      <c r="C62" s="9">
        <v>197</v>
      </c>
      <c r="D62">
        <v>46</v>
      </c>
      <c r="E62" s="29">
        <v>47.25</v>
      </c>
      <c r="F62">
        <v>44.76</v>
      </c>
      <c r="G62" s="21">
        <f t="shared" si="0"/>
        <v>2.0080645161290307</v>
      </c>
      <c r="H62" s="6">
        <v>44907</v>
      </c>
      <c r="I62" s="29">
        <v>46.25</v>
      </c>
      <c r="J62" s="30">
        <f t="shared" si="19"/>
        <v>5.4347826086955653E-3</v>
      </c>
      <c r="K62" s="35">
        <f t="shared" si="20"/>
        <v>49.25</v>
      </c>
      <c r="L62" s="21">
        <f t="shared" si="21"/>
        <v>3</v>
      </c>
      <c r="M62" s="9">
        <f t="shared" si="22"/>
        <v>1</v>
      </c>
      <c r="N62">
        <f t="shared" si="23"/>
        <v>49.25</v>
      </c>
      <c r="O62">
        <f t="shared" si="24"/>
        <v>0</v>
      </c>
      <c r="R62" s="16">
        <v>-17166</v>
      </c>
    </row>
    <row r="63" spans="1:18">
      <c r="A63" s="6">
        <v>44903</v>
      </c>
      <c r="B63" s="1" t="s">
        <v>428</v>
      </c>
      <c r="C63" s="9">
        <v>32</v>
      </c>
      <c r="D63">
        <v>36.92</v>
      </c>
      <c r="E63" s="29">
        <v>46</v>
      </c>
      <c r="F63">
        <v>32</v>
      </c>
      <c r="G63" s="21">
        <f t="shared" si="0"/>
        <v>2.8455284552845517</v>
      </c>
      <c r="H63" s="6">
        <v>44911</v>
      </c>
      <c r="I63" s="16">
        <v>36.35</v>
      </c>
      <c r="J63" s="25">
        <f t="shared" si="19"/>
        <v>-1.5438786565547091E-2</v>
      </c>
      <c r="K63" s="36">
        <f t="shared" si="20"/>
        <v>-18.240000000000009</v>
      </c>
      <c r="L63" s="24">
        <f t="shared" si="21"/>
        <v>8</v>
      </c>
      <c r="M63" s="9">
        <f t="shared" si="22"/>
        <v>0</v>
      </c>
      <c r="N63">
        <f t="shared" si="23"/>
        <v>0</v>
      </c>
      <c r="O63">
        <f t="shared" si="24"/>
        <v>-18.240000000000009</v>
      </c>
    </row>
    <row r="64" spans="1:18">
      <c r="A64" s="6">
        <v>44903</v>
      </c>
      <c r="B64" s="1" t="s">
        <v>75</v>
      </c>
      <c r="C64" s="9">
        <v>125</v>
      </c>
      <c r="D64">
        <v>9.5399999999999991</v>
      </c>
      <c r="E64" s="29">
        <v>10.5</v>
      </c>
      <c r="F64">
        <v>8.6</v>
      </c>
      <c r="G64" s="21">
        <f t="shared" si="0"/>
        <v>2.0212765957446823</v>
      </c>
      <c r="H64" s="6">
        <v>44904</v>
      </c>
      <c r="I64" s="16">
        <v>8.6</v>
      </c>
      <c r="J64" s="25">
        <f t="shared" si="19"/>
        <v>-9.8532494758909794E-2</v>
      </c>
      <c r="K64" s="36">
        <f t="shared" si="20"/>
        <v>-117.5</v>
      </c>
      <c r="L64" s="24">
        <f t="shared" si="21"/>
        <v>1</v>
      </c>
      <c r="M64" s="9">
        <f t="shared" si="22"/>
        <v>0</v>
      </c>
      <c r="N64">
        <f t="shared" si="23"/>
        <v>0</v>
      </c>
      <c r="O64">
        <f t="shared" si="24"/>
        <v>-117.5</v>
      </c>
    </row>
    <row r="65" spans="1:18">
      <c r="A65" s="6">
        <v>44903</v>
      </c>
      <c r="B65" s="1" t="s">
        <v>231</v>
      </c>
      <c r="C65" s="9">
        <v>107</v>
      </c>
      <c r="D65">
        <v>75.05</v>
      </c>
      <c r="E65" s="29">
        <v>100</v>
      </c>
      <c r="F65">
        <v>71</v>
      </c>
      <c r="G65" s="21">
        <f t="shared" si="0"/>
        <v>7.160493827160499</v>
      </c>
      <c r="H65" s="6">
        <v>44910</v>
      </c>
      <c r="I65" s="16">
        <v>71</v>
      </c>
      <c r="J65" s="25">
        <f t="shared" si="19"/>
        <v>-5.3964023984010678E-2</v>
      </c>
      <c r="K65" s="36">
        <f t="shared" si="20"/>
        <v>-433.34999999999945</v>
      </c>
      <c r="L65" s="24">
        <f t="shared" si="21"/>
        <v>7</v>
      </c>
      <c r="M65" s="52">
        <f t="shared" si="22"/>
        <v>0</v>
      </c>
      <c r="N65" s="24">
        <f t="shared" si="23"/>
        <v>0</v>
      </c>
      <c r="O65" s="17">
        <f t="shared" si="24"/>
        <v>-433.34999999999945</v>
      </c>
    </row>
    <row r="66" spans="1:18">
      <c r="A66" s="6">
        <v>44903</v>
      </c>
      <c r="B66" s="1" t="s">
        <v>316</v>
      </c>
      <c r="C66" s="9">
        <v>26</v>
      </c>
      <c r="D66">
        <v>309.19</v>
      </c>
      <c r="E66" s="29">
        <v>340</v>
      </c>
      <c r="F66">
        <v>300</v>
      </c>
      <c r="G66" s="21">
        <f t="shared" si="0"/>
        <v>4.3525571273122967</v>
      </c>
      <c r="H66" s="6">
        <v>44907</v>
      </c>
      <c r="I66" s="29">
        <v>313.93</v>
      </c>
      <c r="J66" s="30">
        <f t="shared" si="19"/>
        <v>1.5330379378375891E-2</v>
      </c>
      <c r="K66" s="35">
        <f t="shared" si="20"/>
        <v>123.24000000000069</v>
      </c>
      <c r="L66" s="21">
        <f t="shared" si="21"/>
        <v>4</v>
      </c>
      <c r="M66" s="9">
        <f t="shared" si="22"/>
        <v>1</v>
      </c>
      <c r="N66">
        <f t="shared" si="23"/>
        <v>123.24000000000069</v>
      </c>
      <c r="O66">
        <f t="shared" si="24"/>
        <v>0</v>
      </c>
    </row>
    <row r="67" spans="1:18">
      <c r="A67" s="6">
        <v>44903</v>
      </c>
      <c r="B67" s="1" t="s">
        <v>68</v>
      </c>
      <c r="C67" s="9">
        <v>260</v>
      </c>
      <c r="D67">
        <v>33.75</v>
      </c>
      <c r="E67" s="29">
        <v>45.4</v>
      </c>
      <c r="F67">
        <v>30</v>
      </c>
      <c r="G67" s="21">
        <f t="shared" si="0"/>
        <v>4.1066666666666665</v>
      </c>
      <c r="J67" s="30"/>
      <c r="K67" s="38"/>
      <c r="L67" s="37"/>
      <c r="N67" s="38"/>
    </row>
    <row r="68" spans="1:18">
      <c r="A68" s="6">
        <v>44903</v>
      </c>
      <c r="B68" s="1" t="s">
        <v>287</v>
      </c>
      <c r="C68" s="9">
        <v>440</v>
      </c>
      <c r="D68">
        <v>21.24</v>
      </c>
      <c r="E68" s="29">
        <v>23.69</v>
      </c>
      <c r="F68">
        <v>20.39</v>
      </c>
      <c r="G68" s="21">
        <f t="shared" ref="G68:G131" si="25" xml:space="preserve"> (E68 - F68)/(D68-F68)</f>
        <v>3.8823529411764812</v>
      </c>
      <c r="H68" s="6">
        <v>44904</v>
      </c>
      <c r="I68" s="29">
        <v>21.3</v>
      </c>
      <c r="J68" s="30">
        <f t="shared" ref="J68:J131" si="26">I68/D68 -1</f>
        <v>2.8248587570622874E-3</v>
      </c>
      <c r="K68" s="35">
        <f t="shared" ref="K68:K131" si="27">(C68*I68) - (C68*D68)</f>
        <v>26.400000000001455</v>
      </c>
      <c r="L68" s="21">
        <f t="shared" ref="L68:L131" si="28">H68-A68</f>
        <v>1</v>
      </c>
      <c r="M68" s="9">
        <f t="shared" ref="M68:M131" si="29">IF(J68&gt;0,1,0)</f>
        <v>1</v>
      </c>
      <c r="N68">
        <f t="shared" ref="N68:N131" si="30">IF(K68&gt;0, K68, 0)</f>
        <v>26.400000000001455</v>
      </c>
      <c r="O68">
        <f t="shared" ref="O68:O131" si="31">IF(K68&lt;0, K68, 0)</f>
        <v>0</v>
      </c>
      <c r="R68" s="16">
        <v>-16417</v>
      </c>
    </row>
    <row r="69" spans="1:18">
      <c r="A69" s="6">
        <v>44902</v>
      </c>
      <c r="B69" s="1" t="s">
        <v>353</v>
      </c>
      <c r="C69" s="9">
        <v>89</v>
      </c>
      <c r="D69">
        <v>12</v>
      </c>
      <c r="E69" s="29">
        <v>13</v>
      </c>
      <c r="F69">
        <v>11.6</v>
      </c>
      <c r="G69" s="21">
        <f t="shared" si="25"/>
        <v>3.4999999999999978</v>
      </c>
      <c r="H69" s="6">
        <v>44904</v>
      </c>
      <c r="I69" s="16">
        <v>11.6</v>
      </c>
      <c r="J69" s="25">
        <f t="shared" si="26"/>
        <v>-3.3333333333333326E-2</v>
      </c>
      <c r="K69" s="36">
        <f t="shared" si="27"/>
        <v>-35.600000000000136</v>
      </c>
      <c r="L69" s="24">
        <f t="shared" si="28"/>
        <v>2</v>
      </c>
      <c r="M69" s="9">
        <f t="shared" si="29"/>
        <v>0</v>
      </c>
      <c r="N69">
        <f t="shared" si="30"/>
        <v>0</v>
      </c>
      <c r="O69">
        <f t="shared" si="31"/>
        <v>-35.600000000000136</v>
      </c>
    </row>
    <row r="70" spans="1:18">
      <c r="A70" s="6">
        <v>44902</v>
      </c>
      <c r="B70" s="1" t="s">
        <v>112</v>
      </c>
      <c r="C70" s="9">
        <v>14</v>
      </c>
      <c r="D70">
        <v>86.98</v>
      </c>
      <c r="E70" s="29">
        <v>92.9</v>
      </c>
      <c r="F70">
        <v>85.04</v>
      </c>
      <c r="G70" s="21">
        <f t="shared" si="25"/>
        <v>4.0515463917525816</v>
      </c>
      <c r="H70" s="6">
        <v>44908</v>
      </c>
      <c r="I70" s="16">
        <v>85.03</v>
      </c>
      <c r="J70" s="25">
        <f t="shared" si="26"/>
        <v>-2.2418946884341207E-2</v>
      </c>
      <c r="K70" s="36">
        <f t="shared" si="27"/>
        <v>-27.299999999999955</v>
      </c>
      <c r="L70" s="24">
        <f t="shared" si="28"/>
        <v>6</v>
      </c>
      <c r="M70" s="9">
        <f t="shared" si="29"/>
        <v>0</v>
      </c>
      <c r="N70">
        <f t="shared" si="30"/>
        <v>0</v>
      </c>
      <c r="O70">
        <f t="shared" si="31"/>
        <v>-27.299999999999955</v>
      </c>
    </row>
    <row r="71" spans="1:18">
      <c r="A71" s="6">
        <v>44902</v>
      </c>
      <c r="B71" s="1" t="s">
        <v>23</v>
      </c>
      <c r="C71" s="9">
        <v>14</v>
      </c>
      <c r="D71">
        <v>92.46</v>
      </c>
      <c r="E71" s="29">
        <v>97.5</v>
      </c>
      <c r="F71">
        <v>89</v>
      </c>
      <c r="G71" s="21">
        <f t="shared" si="25"/>
        <v>2.456647398843935</v>
      </c>
      <c r="H71" s="6">
        <v>44922</v>
      </c>
      <c r="I71" s="29">
        <v>95.84</v>
      </c>
      <c r="J71" s="30">
        <f t="shared" si="26"/>
        <v>3.6556348691326068E-2</v>
      </c>
      <c r="K71" s="35">
        <f t="shared" si="27"/>
        <v>47.320000000000164</v>
      </c>
      <c r="L71" s="21">
        <f t="shared" si="28"/>
        <v>20</v>
      </c>
      <c r="M71" s="9">
        <f t="shared" si="29"/>
        <v>1</v>
      </c>
      <c r="N71">
        <f t="shared" si="30"/>
        <v>47.320000000000164</v>
      </c>
      <c r="O71">
        <f t="shared" si="31"/>
        <v>0</v>
      </c>
    </row>
    <row r="72" spans="1:18">
      <c r="A72" s="6">
        <v>44902</v>
      </c>
      <c r="B72" s="1" t="s">
        <v>129</v>
      </c>
      <c r="C72" s="9">
        <v>17</v>
      </c>
      <c r="D72">
        <v>481.63</v>
      </c>
      <c r="E72" s="29">
        <v>540</v>
      </c>
      <c r="F72">
        <v>474.2</v>
      </c>
      <c r="G72" s="21">
        <f t="shared" si="25"/>
        <v>8.855989232839832</v>
      </c>
      <c r="H72" s="6">
        <v>44903</v>
      </c>
      <c r="I72" s="16">
        <v>474.85</v>
      </c>
      <c r="J72" s="25">
        <f t="shared" si="26"/>
        <v>-1.4077196187945007E-2</v>
      </c>
      <c r="K72" s="36">
        <f t="shared" si="27"/>
        <v>-115.25999999999931</v>
      </c>
      <c r="L72" s="24">
        <f t="shared" si="28"/>
        <v>1</v>
      </c>
      <c r="M72" s="9">
        <f t="shared" si="29"/>
        <v>0</v>
      </c>
      <c r="N72">
        <f t="shared" si="30"/>
        <v>0</v>
      </c>
      <c r="O72">
        <f t="shared" si="31"/>
        <v>-115.25999999999931</v>
      </c>
    </row>
    <row r="73" spans="1:18">
      <c r="A73" s="6">
        <v>44902</v>
      </c>
      <c r="B73" s="1" t="s">
        <v>314</v>
      </c>
      <c r="C73" s="9">
        <v>98</v>
      </c>
      <c r="D73">
        <v>89.37</v>
      </c>
      <c r="E73" s="29">
        <v>120</v>
      </c>
      <c r="F73">
        <v>85.85</v>
      </c>
      <c r="G73" s="21">
        <f t="shared" si="25"/>
        <v>9.7017045454545183</v>
      </c>
      <c r="H73" s="6">
        <v>44914</v>
      </c>
      <c r="I73" s="16">
        <v>85.85</v>
      </c>
      <c r="J73" s="25">
        <f t="shared" si="26"/>
        <v>-3.9386818843012317E-2</v>
      </c>
      <c r="K73" s="36">
        <f t="shared" si="27"/>
        <v>-344.96000000000095</v>
      </c>
      <c r="L73" s="24">
        <f t="shared" si="28"/>
        <v>12</v>
      </c>
      <c r="M73" s="52">
        <f t="shared" si="29"/>
        <v>0</v>
      </c>
      <c r="N73" s="24">
        <f t="shared" si="30"/>
        <v>0</v>
      </c>
      <c r="O73" s="17">
        <f t="shared" si="31"/>
        <v>-344.96000000000095</v>
      </c>
    </row>
    <row r="74" spans="1:18">
      <c r="A74" s="6">
        <v>44902</v>
      </c>
      <c r="B74" s="1" t="s">
        <v>88</v>
      </c>
      <c r="C74" s="9">
        <v>1520</v>
      </c>
      <c r="D74">
        <v>6.02</v>
      </c>
      <c r="E74" s="29">
        <v>7.22</v>
      </c>
      <c r="F74">
        <v>5.84</v>
      </c>
      <c r="G74" s="21">
        <f t="shared" si="25"/>
        <v>7.6666666666666785</v>
      </c>
      <c r="H74" s="6">
        <v>44903</v>
      </c>
      <c r="I74" s="16">
        <v>5.84</v>
      </c>
      <c r="J74" s="25">
        <f t="shared" si="26"/>
        <v>-2.9900332225913595E-2</v>
      </c>
      <c r="K74" s="36">
        <f t="shared" si="27"/>
        <v>-273.60000000000036</v>
      </c>
      <c r="L74" s="24">
        <f t="shared" si="28"/>
        <v>1</v>
      </c>
      <c r="M74" s="9">
        <f t="shared" si="29"/>
        <v>0</v>
      </c>
      <c r="N74">
        <f t="shared" si="30"/>
        <v>0</v>
      </c>
      <c r="O74">
        <f t="shared" si="31"/>
        <v>-273.60000000000036</v>
      </c>
    </row>
    <row r="75" spans="1:18">
      <c r="A75" s="6">
        <v>44902</v>
      </c>
      <c r="B75" s="1" t="s">
        <v>20</v>
      </c>
      <c r="C75" s="9">
        <v>26</v>
      </c>
      <c r="D75">
        <v>358.23</v>
      </c>
      <c r="E75" s="29">
        <v>383</v>
      </c>
      <c r="F75">
        <v>345.05</v>
      </c>
      <c r="G75" s="21">
        <f t="shared" si="25"/>
        <v>2.8793626707131996</v>
      </c>
      <c r="H75" s="6">
        <v>44904</v>
      </c>
      <c r="I75" s="16">
        <v>345.74</v>
      </c>
      <c r="J75" s="25">
        <f t="shared" si="26"/>
        <v>-3.4865868296904301E-2</v>
      </c>
      <c r="K75" s="36">
        <f t="shared" si="27"/>
        <v>-324.73999999999978</v>
      </c>
      <c r="L75" s="24">
        <f t="shared" si="28"/>
        <v>2</v>
      </c>
      <c r="M75" s="9">
        <f t="shared" si="29"/>
        <v>0</v>
      </c>
      <c r="N75">
        <f t="shared" si="30"/>
        <v>0</v>
      </c>
      <c r="O75">
        <f t="shared" si="31"/>
        <v>-324.73999999999978</v>
      </c>
      <c r="R75" s="16">
        <v>-16028</v>
      </c>
    </row>
    <row r="76" spans="1:18">
      <c r="A76" s="6">
        <v>44901</v>
      </c>
      <c r="B76" s="1" t="s">
        <v>70</v>
      </c>
      <c r="C76" s="9">
        <v>80</v>
      </c>
      <c r="D76">
        <v>121.27</v>
      </c>
      <c r="E76" s="29">
        <v>140</v>
      </c>
      <c r="F76">
        <v>116</v>
      </c>
      <c r="G76" s="21">
        <f t="shared" si="25"/>
        <v>4.5540796963946901</v>
      </c>
      <c r="H76" s="6">
        <v>44904</v>
      </c>
      <c r="I76" s="16">
        <v>116</v>
      </c>
      <c r="J76" s="25">
        <f t="shared" si="26"/>
        <v>-4.3456749402160488E-2</v>
      </c>
      <c r="K76" s="36">
        <f t="shared" si="27"/>
        <v>-421.60000000000036</v>
      </c>
      <c r="L76" s="24">
        <f t="shared" si="28"/>
        <v>3</v>
      </c>
      <c r="M76" s="9">
        <f t="shared" si="29"/>
        <v>0</v>
      </c>
      <c r="N76">
        <f t="shared" si="30"/>
        <v>0</v>
      </c>
      <c r="O76">
        <f t="shared" si="31"/>
        <v>-421.60000000000036</v>
      </c>
    </row>
    <row r="77" spans="1:18">
      <c r="A77" s="6">
        <v>44901</v>
      </c>
      <c r="B77" s="1" t="s">
        <v>41</v>
      </c>
      <c r="C77" s="9">
        <v>89</v>
      </c>
      <c r="D77">
        <v>94.21</v>
      </c>
      <c r="E77" s="29">
        <v>105</v>
      </c>
      <c r="F77">
        <v>90</v>
      </c>
      <c r="G77" s="21">
        <f t="shared" si="25"/>
        <v>3.5629453681710266</v>
      </c>
      <c r="H77" s="6">
        <v>44907</v>
      </c>
      <c r="I77" s="29">
        <v>95.01</v>
      </c>
      <c r="J77" s="30">
        <f t="shared" si="26"/>
        <v>8.4916675512154427E-3</v>
      </c>
      <c r="K77" s="35">
        <f t="shared" si="27"/>
        <v>71.200000000002547</v>
      </c>
      <c r="L77" s="24">
        <f t="shared" si="28"/>
        <v>6</v>
      </c>
      <c r="M77" s="52">
        <f t="shared" si="29"/>
        <v>1</v>
      </c>
      <c r="N77" s="24">
        <f t="shared" si="30"/>
        <v>71.200000000002547</v>
      </c>
      <c r="O77" s="17">
        <f t="shared" si="31"/>
        <v>0</v>
      </c>
    </row>
    <row r="78" spans="1:18">
      <c r="A78" s="6">
        <v>44901</v>
      </c>
      <c r="B78" s="1" t="s">
        <v>296</v>
      </c>
      <c r="C78" s="9">
        <v>206</v>
      </c>
      <c r="D78">
        <v>46.44</v>
      </c>
      <c r="E78" s="29">
        <v>47.92</v>
      </c>
      <c r="F78">
        <v>45</v>
      </c>
      <c r="G78" s="21">
        <f t="shared" si="25"/>
        <v>2.0277777777777821</v>
      </c>
      <c r="H78" s="6">
        <v>44902</v>
      </c>
      <c r="I78" s="29">
        <v>47</v>
      </c>
      <c r="J78" s="30">
        <f t="shared" si="26"/>
        <v>1.2058570198105079E-2</v>
      </c>
      <c r="K78" s="35">
        <f t="shared" si="27"/>
        <v>115.36000000000058</v>
      </c>
      <c r="L78" s="21">
        <f t="shared" si="28"/>
        <v>1</v>
      </c>
      <c r="M78" s="9">
        <f t="shared" si="29"/>
        <v>1</v>
      </c>
      <c r="N78">
        <f t="shared" si="30"/>
        <v>115.36000000000058</v>
      </c>
      <c r="O78">
        <f t="shared" si="31"/>
        <v>0</v>
      </c>
      <c r="R78" s="16"/>
    </row>
    <row r="79" spans="1:18">
      <c r="A79" s="6">
        <v>44901</v>
      </c>
      <c r="B79" s="1" t="s">
        <v>374</v>
      </c>
      <c r="C79" s="9">
        <v>89</v>
      </c>
      <c r="D79">
        <v>97.63</v>
      </c>
      <c r="E79" s="29">
        <v>110</v>
      </c>
      <c r="F79">
        <v>90</v>
      </c>
      <c r="G79" s="21">
        <f t="shared" si="25"/>
        <v>2.6212319790301457</v>
      </c>
      <c r="H79" s="6">
        <v>44907</v>
      </c>
      <c r="I79" s="29">
        <v>98.12</v>
      </c>
      <c r="J79" s="30">
        <f t="shared" si="26"/>
        <v>5.0189490935164116E-3</v>
      </c>
      <c r="K79" s="35">
        <f t="shared" si="27"/>
        <v>43.610000000000582</v>
      </c>
      <c r="L79" s="24">
        <f t="shared" si="28"/>
        <v>6</v>
      </c>
      <c r="M79" s="52">
        <f t="shared" si="29"/>
        <v>1</v>
      </c>
      <c r="N79" s="24">
        <f t="shared" si="30"/>
        <v>43.610000000000582</v>
      </c>
      <c r="O79">
        <f t="shared" si="31"/>
        <v>0</v>
      </c>
    </row>
    <row r="80" spans="1:18">
      <c r="A80" s="6">
        <v>44901</v>
      </c>
      <c r="B80" s="1" t="s">
        <v>68</v>
      </c>
      <c r="C80" s="9">
        <v>287</v>
      </c>
      <c r="D80">
        <v>34.020000000000003</v>
      </c>
      <c r="E80" s="29">
        <v>37.5</v>
      </c>
      <c r="F80">
        <v>34</v>
      </c>
      <c r="G80" s="21">
        <f t="shared" si="25"/>
        <v>174.99999999997266</v>
      </c>
      <c r="H80" s="6">
        <v>44902</v>
      </c>
      <c r="I80" s="16">
        <v>33.81</v>
      </c>
      <c r="J80" s="25">
        <f t="shared" si="26"/>
        <v>-6.1728395061728669E-3</v>
      </c>
      <c r="K80" s="36">
        <f t="shared" si="27"/>
        <v>-60.270000000000437</v>
      </c>
      <c r="L80" s="24">
        <f t="shared" si="28"/>
        <v>1</v>
      </c>
      <c r="M80" s="9">
        <f t="shared" si="29"/>
        <v>0</v>
      </c>
      <c r="N80">
        <f t="shared" si="30"/>
        <v>0</v>
      </c>
      <c r="O80">
        <f t="shared" si="31"/>
        <v>-60.270000000000437</v>
      </c>
      <c r="R80" s="16">
        <v>-15300</v>
      </c>
    </row>
    <row r="81" spans="1:18">
      <c r="A81" s="6">
        <v>44900</v>
      </c>
      <c r="B81" s="1" t="s">
        <v>56</v>
      </c>
      <c r="C81" s="9">
        <v>1007</v>
      </c>
      <c r="D81">
        <v>8.9499999999999993</v>
      </c>
      <c r="E81" s="29">
        <v>9.3000000000000007</v>
      </c>
      <c r="F81">
        <v>8.6300000000000008</v>
      </c>
      <c r="G81" s="21">
        <f t="shared" si="25"/>
        <v>2.0937500000000093</v>
      </c>
      <c r="H81" s="6">
        <v>44901</v>
      </c>
      <c r="I81" s="16">
        <v>8.6199999999999992</v>
      </c>
      <c r="J81" s="25">
        <f t="shared" si="26"/>
        <v>-3.6871508379888285E-2</v>
      </c>
      <c r="K81" s="36">
        <f t="shared" si="27"/>
        <v>-332.31000000000131</v>
      </c>
      <c r="L81" s="24">
        <f t="shared" si="28"/>
        <v>1</v>
      </c>
      <c r="M81" s="9">
        <f t="shared" si="29"/>
        <v>0</v>
      </c>
      <c r="N81">
        <f t="shared" si="30"/>
        <v>0</v>
      </c>
      <c r="O81">
        <f t="shared" si="31"/>
        <v>-332.31000000000131</v>
      </c>
    </row>
    <row r="82" spans="1:18">
      <c r="A82" s="6">
        <v>44900</v>
      </c>
      <c r="B82" s="1" t="s">
        <v>286</v>
      </c>
      <c r="C82" s="9">
        <v>296</v>
      </c>
      <c r="D82">
        <v>32.65</v>
      </c>
      <c r="E82" s="29">
        <v>35</v>
      </c>
      <c r="F82">
        <v>31</v>
      </c>
      <c r="G82" s="21">
        <f t="shared" si="25"/>
        <v>2.4242424242424265</v>
      </c>
      <c r="H82" s="6">
        <v>44901</v>
      </c>
      <c r="I82" s="16">
        <v>31.02</v>
      </c>
      <c r="J82" s="25">
        <f t="shared" si="26"/>
        <v>-4.9923430321592632E-2</v>
      </c>
      <c r="K82" s="36">
        <f t="shared" si="27"/>
        <v>-482.47999999999956</v>
      </c>
      <c r="L82" s="24">
        <f t="shared" si="28"/>
        <v>1</v>
      </c>
      <c r="M82" s="9">
        <f t="shared" si="29"/>
        <v>0</v>
      </c>
      <c r="N82">
        <f t="shared" si="30"/>
        <v>0</v>
      </c>
      <c r="O82">
        <f t="shared" si="31"/>
        <v>-482.47999999999956</v>
      </c>
      <c r="R82" s="16">
        <v>-14205</v>
      </c>
    </row>
    <row r="83" spans="1:18">
      <c r="A83" s="6">
        <v>44897</v>
      </c>
      <c r="B83" s="1" t="s">
        <v>249</v>
      </c>
      <c r="C83" s="9">
        <v>35</v>
      </c>
      <c r="D83">
        <v>239.64</v>
      </c>
      <c r="E83" s="29">
        <v>265</v>
      </c>
      <c r="F83">
        <v>233</v>
      </c>
      <c r="G83" s="21">
        <f t="shared" si="25"/>
        <v>4.8192771084337451</v>
      </c>
      <c r="H83" s="6">
        <v>44900</v>
      </c>
      <c r="I83" s="16">
        <v>233</v>
      </c>
      <c r="J83" s="25">
        <f t="shared" si="26"/>
        <v>-2.7708229010181884E-2</v>
      </c>
      <c r="K83" s="36">
        <f t="shared" si="27"/>
        <v>-232.39999999999964</v>
      </c>
      <c r="L83" s="24">
        <f t="shared" si="28"/>
        <v>3</v>
      </c>
      <c r="M83" s="9">
        <f t="shared" si="29"/>
        <v>0</v>
      </c>
      <c r="N83">
        <f t="shared" si="30"/>
        <v>0</v>
      </c>
      <c r="O83">
        <f t="shared" si="31"/>
        <v>-232.39999999999964</v>
      </c>
    </row>
    <row r="84" spans="1:18">
      <c r="A84" s="6">
        <v>44897</v>
      </c>
      <c r="B84" s="1" t="s">
        <v>222</v>
      </c>
      <c r="C84" s="9">
        <v>107</v>
      </c>
      <c r="D84">
        <v>70.91</v>
      </c>
      <c r="E84" s="29">
        <v>80</v>
      </c>
      <c r="F84">
        <v>67</v>
      </c>
      <c r="G84" s="21">
        <f t="shared" si="25"/>
        <v>3.3248081841432255</v>
      </c>
      <c r="H84" s="6">
        <v>44900</v>
      </c>
      <c r="I84" s="16">
        <v>69.17</v>
      </c>
      <c r="J84" s="25">
        <f t="shared" si="26"/>
        <v>-2.4538146946833983E-2</v>
      </c>
      <c r="K84" s="36">
        <f t="shared" si="27"/>
        <v>-186.17999999999938</v>
      </c>
      <c r="L84" s="24">
        <f t="shared" si="28"/>
        <v>3</v>
      </c>
      <c r="M84" s="9">
        <f t="shared" si="29"/>
        <v>0</v>
      </c>
      <c r="N84">
        <f t="shared" si="30"/>
        <v>0</v>
      </c>
      <c r="O84">
        <f t="shared" si="31"/>
        <v>-186.17999999999938</v>
      </c>
    </row>
    <row r="85" spans="1:18">
      <c r="A85" s="6">
        <v>44897</v>
      </c>
      <c r="B85" s="1" t="s">
        <v>311</v>
      </c>
      <c r="C85" s="9">
        <v>692</v>
      </c>
      <c r="D85">
        <v>13.14</v>
      </c>
      <c r="E85" s="29">
        <v>15.2</v>
      </c>
      <c r="F85">
        <v>12.5</v>
      </c>
      <c r="G85" s="21">
        <f t="shared" si="25"/>
        <v>4.2187499999999956</v>
      </c>
      <c r="H85" s="6">
        <v>44901</v>
      </c>
      <c r="I85" s="16">
        <v>12.5</v>
      </c>
      <c r="J85" s="25">
        <f t="shared" si="26"/>
        <v>-4.8706240487062402E-2</v>
      </c>
      <c r="K85" s="36">
        <f t="shared" si="27"/>
        <v>-442.88000000000102</v>
      </c>
      <c r="L85" s="24">
        <f t="shared" si="28"/>
        <v>4</v>
      </c>
      <c r="M85" s="9">
        <f t="shared" si="29"/>
        <v>0</v>
      </c>
      <c r="N85">
        <f t="shared" si="30"/>
        <v>0</v>
      </c>
      <c r="O85">
        <f t="shared" si="31"/>
        <v>-442.88000000000102</v>
      </c>
      <c r="R85" s="28">
        <v>-14160</v>
      </c>
    </row>
    <row r="86" spans="1:18">
      <c r="A86" s="6">
        <v>44895</v>
      </c>
      <c r="B86" s="1" t="s">
        <v>84</v>
      </c>
      <c r="C86" s="9">
        <v>14</v>
      </c>
      <c r="D86">
        <v>89.42</v>
      </c>
      <c r="E86" s="29">
        <v>100</v>
      </c>
      <c r="F86">
        <v>83</v>
      </c>
      <c r="G86" s="21">
        <f t="shared" si="25"/>
        <v>2.6479750778816191</v>
      </c>
      <c r="H86" s="6">
        <v>44907</v>
      </c>
      <c r="I86" s="16">
        <v>86.21</v>
      </c>
      <c r="J86" s="25">
        <f t="shared" si="26"/>
        <v>-3.5898009393871666E-2</v>
      </c>
      <c r="K86" s="36">
        <f t="shared" si="27"/>
        <v>-44.940000000000282</v>
      </c>
      <c r="L86" s="24">
        <f t="shared" si="28"/>
        <v>12</v>
      </c>
      <c r="M86" s="52">
        <f t="shared" si="29"/>
        <v>0</v>
      </c>
      <c r="N86" s="24">
        <f t="shared" si="30"/>
        <v>0</v>
      </c>
      <c r="O86">
        <f t="shared" si="31"/>
        <v>-44.940000000000282</v>
      </c>
    </row>
    <row r="87" spans="1:18">
      <c r="A87" s="6">
        <v>44895</v>
      </c>
      <c r="B87" s="1" t="s">
        <v>233</v>
      </c>
      <c r="C87" s="9">
        <v>5</v>
      </c>
      <c r="D87">
        <v>272.35000000000002</v>
      </c>
      <c r="E87" s="29">
        <v>325</v>
      </c>
      <c r="F87">
        <v>251</v>
      </c>
      <c r="G87" s="21">
        <f t="shared" si="25"/>
        <v>3.466042154566741</v>
      </c>
      <c r="H87" s="6">
        <v>44907</v>
      </c>
      <c r="I87" s="16">
        <v>251</v>
      </c>
      <c r="J87" s="25">
        <f t="shared" si="26"/>
        <v>-7.839177528915009E-2</v>
      </c>
      <c r="K87" s="36">
        <f t="shared" si="27"/>
        <v>-106.75</v>
      </c>
      <c r="L87" s="24">
        <f t="shared" si="28"/>
        <v>12</v>
      </c>
      <c r="M87" s="9">
        <f t="shared" si="29"/>
        <v>0</v>
      </c>
      <c r="N87">
        <f t="shared" si="30"/>
        <v>0</v>
      </c>
      <c r="O87">
        <f t="shared" si="31"/>
        <v>-106.75</v>
      </c>
    </row>
    <row r="88" spans="1:18">
      <c r="A88" s="6">
        <v>44895</v>
      </c>
      <c r="B88" s="1" t="s">
        <v>316</v>
      </c>
      <c r="C88" s="9">
        <v>3</v>
      </c>
      <c r="D88">
        <v>284.39999999999998</v>
      </c>
      <c r="E88" s="29">
        <v>310</v>
      </c>
      <c r="F88">
        <v>277</v>
      </c>
      <c r="G88" s="21">
        <f t="shared" si="25"/>
        <v>4.459459459459473</v>
      </c>
      <c r="H88" s="6">
        <v>44900</v>
      </c>
      <c r="I88" s="29">
        <v>314</v>
      </c>
      <c r="J88" s="30">
        <f t="shared" si="26"/>
        <v>0.1040787623066104</v>
      </c>
      <c r="K88" s="35">
        <f t="shared" si="27"/>
        <v>88.800000000000068</v>
      </c>
      <c r="L88" s="21">
        <f t="shared" si="28"/>
        <v>5</v>
      </c>
      <c r="M88" s="9">
        <f t="shared" si="29"/>
        <v>1</v>
      </c>
      <c r="N88">
        <f t="shared" si="30"/>
        <v>88.800000000000068</v>
      </c>
      <c r="O88">
        <f t="shared" si="31"/>
        <v>0</v>
      </c>
    </row>
    <row r="89" spans="1:18">
      <c r="A89" s="6">
        <v>44895</v>
      </c>
      <c r="B89" s="1" t="s">
        <v>227</v>
      </c>
      <c r="C89" s="9">
        <v>26</v>
      </c>
      <c r="D89">
        <v>330.39</v>
      </c>
      <c r="E89" s="29">
        <v>400</v>
      </c>
      <c r="F89">
        <v>320</v>
      </c>
      <c r="G89" s="21">
        <f t="shared" si="25"/>
        <v>7.6997112608277289</v>
      </c>
      <c r="H89" s="6">
        <v>44910</v>
      </c>
      <c r="I89" s="16">
        <v>326.99</v>
      </c>
      <c r="J89" s="25">
        <f t="shared" si="26"/>
        <v>-1.0290868367686556E-2</v>
      </c>
      <c r="K89" s="36">
        <f t="shared" si="27"/>
        <v>-88.399999999999636</v>
      </c>
      <c r="L89" s="24">
        <f t="shared" si="28"/>
        <v>15</v>
      </c>
      <c r="M89" s="52">
        <f t="shared" si="29"/>
        <v>0</v>
      </c>
      <c r="N89" s="24">
        <f t="shared" si="30"/>
        <v>0</v>
      </c>
      <c r="O89" s="17">
        <f t="shared" si="31"/>
        <v>-88.399999999999636</v>
      </c>
      <c r="P89" s="17"/>
    </row>
    <row r="90" spans="1:18">
      <c r="A90" s="6">
        <v>44895</v>
      </c>
      <c r="B90" s="1" t="s">
        <v>231</v>
      </c>
      <c r="C90" s="9">
        <v>107</v>
      </c>
      <c r="D90">
        <v>78.53</v>
      </c>
      <c r="E90" s="29">
        <v>100</v>
      </c>
      <c r="F90">
        <v>71.17</v>
      </c>
      <c r="G90" s="21">
        <f t="shared" si="25"/>
        <v>3.9171195652173916</v>
      </c>
      <c r="H90" s="6">
        <v>44902</v>
      </c>
      <c r="I90" s="16">
        <v>71.17</v>
      </c>
      <c r="J90" s="25">
        <f t="shared" si="26"/>
        <v>-9.3722144403412755E-2</v>
      </c>
      <c r="K90" s="36">
        <f t="shared" si="27"/>
        <v>-787.52000000000044</v>
      </c>
      <c r="L90" s="21">
        <f t="shared" si="28"/>
        <v>7</v>
      </c>
      <c r="M90" s="9">
        <f t="shared" si="29"/>
        <v>0</v>
      </c>
      <c r="N90">
        <f t="shared" si="30"/>
        <v>0</v>
      </c>
      <c r="O90">
        <f t="shared" si="31"/>
        <v>-787.52000000000044</v>
      </c>
      <c r="R90" s="28">
        <v>-14896</v>
      </c>
    </row>
    <row r="91" spans="1:18">
      <c r="A91" s="6">
        <v>44894</v>
      </c>
      <c r="B91" s="1" t="s">
        <v>314</v>
      </c>
      <c r="C91" s="9">
        <v>107</v>
      </c>
      <c r="D91">
        <v>93.47</v>
      </c>
      <c r="E91" s="29">
        <v>120</v>
      </c>
      <c r="F91">
        <v>85.03</v>
      </c>
      <c r="G91" s="21">
        <f t="shared" si="25"/>
        <v>4.1433649289099534</v>
      </c>
      <c r="H91" s="6">
        <v>44901</v>
      </c>
      <c r="I91" s="16">
        <v>89.45</v>
      </c>
      <c r="J91" s="25">
        <f t="shared" si="26"/>
        <v>-4.3008451909703593E-2</v>
      </c>
      <c r="K91" s="36">
        <f t="shared" si="27"/>
        <v>-430.13999999999942</v>
      </c>
      <c r="L91" s="21">
        <f t="shared" si="28"/>
        <v>7</v>
      </c>
      <c r="M91" s="9">
        <f t="shared" si="29"/>
        <v>0</v>
      </c>
      <c r="N91">
        <f t="shared" si="30"/>
        <v>0</v>
      </c>
      <c r="O91">
        <f t="shared" si="31"/>
        <v>-430.13999999999942</v>
      </c>
    </row>
    <row r="92" spans="1:18">
      <c r="A92" s="6">
        <v>44894</v>
      </c>
      <c r="B92" s="1" t="s">
        <v>342</v>
      </c>
      <c r="C92" s="9">
        <v>305</v>
      </c>
      <c r="D92">
        <v>33.729999999999997</v>
      </c>
      <c r="E92" s="29">
        <v>35</v>
      </c>
      <c r="F92">
        <v>32.479999999999997</v>
      </c>
      <c r="G92" s="21">
        <f t="shared" si="25"/>
        <v>2.0160000000000027</v>
      </c>
      <c r="H92" s="6">
        <v>44902</v>
      </c>
      <c r="I92" s="16">
        <v>32.5</v>
      </c>
      <c r="J92" s="25">
        <f t="shared" si="26"/>
        <v>-3.6466053957900924E-2</v>
      </c>
      <c r="K92" s="36">
        <f t="shared" si="27"/>
        <v>-375.14999999999964</v>
      </c>
      <c r="L92" s="21">
        <f t="shared" si="28"/>
        <v>8</v>
      </c>
      <c r="M92" s="9">
        <f t="shared" si="29"/>
        <v>0</v>
      </c>
      <c r="N92">
        <f t="shared" si="30"/>
        <v>0</v>
      </c>
      <c r="O92">
        <f t="shared" si="31"/>
        <v>-375.14999999999964</v>
      </c>
      <c r="R92" s="28">
        <v>-15051</v>
      </c>
    </row>
    <row r="93" spans="1:18">
      <c r="A93" s="6">
        <v>44893</v>
      </c>
      <c r="B93" s="1" t="s">
        <v>87</v>
      </c>
      <c r="C93" s="9">
        <v>7</v>
      </c>
      <c r="D93">
        <v>182.94</v>
      </c>
      <c r="E93" s="29">
        <v>288</v>
      </c>
      <c r="F93">
        <v>167</v>
      </c>
      <c r="G93" s="21">
        <f t="shared" si="25"/>
        <v>7.5909661229611052</v>
      </c>
      <c r="H93" s="6">
        <v>44900</v>
      </c>
      <c r="I93" s="29">
        <v>182.96</v>
      </c>
      <c r="J93" s="30">
        <f t="shared" si="26"/>
        <v>1.0932546190023373E-4</v>
      </c>
      <c r="K93" s="35">
        <f t="shared" si="27"/>
        <v>0.14000000000010004</v>
      </c>
      <c r="L93" s="21">
        <f t="shared" si="28"/>
        <v>7</v>
      </c>
      <c r="M93" s="9">
        <f t="shared" si="29"/>
        <v>1</v>
      </c>
      <c r="N93">
        <f t="shared" si="30"/>
        <v>0.14000000000010004</v>
      </c>
      <c r="O93">
        <f t="shared" si="31"/>
        <v>0</v>
      </c>
    </row>
    <row r="94" spans="1:18">
      <c r="A94" s="6">
        <v>44893</v>
      </c>
      <c r="B94" s="1" t="s">
        <v>17</v>
      </c>
      <c r="C94" s="9">
        <v>14</v>
      </c>
      <c r="D94">
        <v>68.16</v>
      </c>
      <c r="E94" s="29">
        <v>76</v>
      </c>
      <c r="F94">
        <v>67</v>
      </c>
      <c r="G94" s="21">
        <f t="shared" si="25"/>
        <v>7.7586206896551948</v>
      </c>
      <c r="H94" s="6">
        <v>44900</v>
      </c>
      <c r="I94" s="16">
        <v>67.400000000000006</v>
      </c>
      <c r="J94" s="25">
        <f t="shared" si="26"/>
        <v>-1.1150234741783893E-2</v>
      </c>
      <c r="K94" s="36">
        <f t="shared" si="27"/>
        <v>-10.639999999999873</v>
      </c>
      <c r="L94" s="21">
        <f t="shared" si="28"/>
        <v>7</v>
      </c>
      <c r="M94" s="9">
        <f t="shared" si="29"/>
        <v>0</v>
      </c>
      <c r="N94">
        <f t="shared" si="30"/>
        <v>0</v>
      </c>
      <c r="O94">
        <f t="shared" si="31"/>
        <v>-10.639999999999873</v>
      </c>
    </row>
    <row r="95" spans="1:18">
      <c r="A95" s="6">
        <v>44893</v>
      </c>
      <c r="B95" s="1" t="s">
        <v>163</v>
      </c>
      <c r="C95" s="9">
        <v>179</v>
      </c>
      <c r="D95">
        <v>45.98</v>
      </c>
      <c r="E95" s="29">
        <v>65</v>
      </c>
      <c r="F95">
        <v>40.72</v>
      </c>
      <c r="G95" s="21">
        <f t="shared" si="25"/>
        <v>4.6159695817490514</v>
      </c>
      <c r="H95" s="6">
        <v>44900</v>
      </c>
      <c r="I95" s="29">
        <v>50.78</v>
      </c>
      <c r="J95" s="30">
        <f t="shared" si="26"/>
        <v>0.10439321444106153</v>
      </c>
      <c r="K95" s="35">
        <f t="shared" si="27"/>
        <v>859.20000000000073</v>
      </c>
      <c r="L95" s="21">
        <f t="shared" si="28"/>
        <v>7</v>
      </c>
      <c r="M95" s="9">
        <f t="shared" si="29"/>
        <v>1</v>
      </c>
      <c r="N95">
        <f t="shared" si="30"/>
        <v>859.20000000000073</v>
      </c>
      <c r="O95">
        <f t="shared" si="31"/>
        <v>0</v>
      </c>
      <c r="R95" s="16">
        <v>-15198</v>
      </c>
    </row>
    <row r="96" spans="1:18">
      <c r="A96" s="6">
        <v>44888</v>
      </c>
      <c r="B96" t="s">
        <v>231</v>
      </c>
      <c r="C96" s="9">
        <v>104</v>
      </c>
      <c r="D96">
        <v>80.27</v>
      </c>
      <c r="E96">
        <v>100</v>
      </c>
      <c r="F96">
        <v>79.349999999999994</v>
      </c>
      <c r="G96" s="21">
        <f t="shared" si="25"/>
        <v>22.445652173913007</v>
      </c>
      <c r="H96" s="6">
        <v>44895</v>
      </c>
      <c r="I96" s="16">
        <v>78.53</v>
      </c>
      <c r="J96" s="25">
        <f t="shared" si="26"/>
        <v>-2.1676840662763097E-2</v>
      </c>
      <c r="K96" s="36">
        <f t="shared" si="27"/>
        <v>-180.96000000000004</v>
      </c>
      <c r="L96" s="24">
        <f t="shared" si="28"/>
        <v>7</v>
      </c>
      <c r="M96" s="9">
        <f t="shared" si="29"/>
        <v>0</v>
      </c>
      <c r="N96">
        <f t="shared" si="30"/>
        <v>0</v>
      </c>
      <c r="O96">
        <f t="shared" si="31"/>
        <v>-180.96000000000004</v>
      </c>
    </row>
    <row r="97" spans="1:18">
      <c r="A97" s="6">
        <v>44887</v>
      </c>
      <c r="B97" t="s">
        <v>227</v>
      </c>
      <c r="C97" s="9">
        <v>26</v>
      </c>
      <c r="D97">
        <v>329.22</v>
      </c>
      <c r="E97">
        <v>400</v>
      </c>
      <c r="F97">
        <v>275</v>
      </c>
      <c r="G97" s="21">
        <f t="shared" si="25"/>
        <v>2.3054223533751372</v>
      </c>
      <c r="H97" s="6">
        <v>44893</v>
      </c>
      <c r="I97" s="29">
        <v>330.26</v>
      </c>
      <c r="J97" s="30">
        <f t="shared" si="26"/>
        <v>3.1589818358543909E-3</v>
      </c>
      <c r="K97" s="35">
        <f t="shared" si="27"/>
        <v>27.039999999999054</v>
      </c>
      <c r="L97" s="21">
        <f t="shared" si="28"/>
        <v>6</v>
      </c>
      <c r="M97" s="9">
        <f t="shared" si="29"/>
        <v>1</v>
      </c>
      <c r="N97">
        <f t="shared" si="30"/>
        <v>27.039999999999054</v>
      </c>
      <c r="O97">
        <f t="shared" si="31"/>
        <v>0</v>
      </c>
    </row>
    <row r="98" spans="1:18">
      <c r="A98" s="6">
        <v>44887</v>
      </c>
      <c r="B98" t="s">
        <v>19</v>
      </c>
      <c r="C98" s="9">
        <v>89</v>
      </c>
      <c r="D98">
        <v>17.05</v>
      </c>
      <c r="E98">
        <v>18</v>
      </c>
      <c r="F98">
        <v>16</v>
      </c>
      <c r="G98" s="21">
        <f t="shared" si="25"/>
        <v>1.9047619047619035</v>
      </c>
      <c r="H98" s="6">
        <v>44900</v>
      </c>
      <c r="I98" s="16">
        <v>15.33</v>
      </c>
      <c r="J98" s="25">
        <f t="shared" si="26"/>
        <v>-0.10087976539589449</v>
      </c>
      <c r="K98" s="36">
        <f t="shared" si="27"/>
        <v>-153.07999999999993</v>
      </c>
      <c r="L98" s="24">
        <f t="shared" si="28"/>
        <v>13</v>
      </c>
      <c r="M98" s="9">
        <f t="shared" si="29"/>
        <v>0</v>
      </c>
      <c r="N98">
        <f t="shared" si="30"/>
        <v>0</v>
      </c>
      <c r="O98">
        <f t="shared" si="31"/>
        <v>-153.07999999999993</v>
      </c>
      <c r="R98" s="16">
        <v>-15102</v>
      </c>
    </row>
    <row r="99" spans="1:18">
      <c r="A99" s="6">
        <v>44886</v>
      </c>
      <c r="B99" t="s">
        <v>233</v>
      </c>
      <c r="C99" s="9">
        <v>5</v>
      </c>
      <c r="D99">
        <v>277.45</v>
      </c>
      <c r="E99" s="29">
        <v>325</v>
      </c>
      <c r="F99">
        <v>260.25</v>
      </c>
      <c r="G99" s="21">
        <f t="shared" si="25"/>
        <v>3.7645348837209327</v>
      </c>
      <c r="H99" s="6">
        <v>44893</v>
      </c>
      <c r="I99" s="16">
        <v>265.76</v>
      </c>
      <c r="J99" s="25">
        <f t="shared" si="26"/>
        <v>-4.21337177869886E-2</v>
      </c>
      <c r="K99" s="36">
        <f t="shared" si="27"/>
        <v>-58.450000000000045</v>
      </c>
      <c r="L99" s="24">
        <f t="shared" si="28"/>
        <v>7</v>
      </c>
      <c r="M99" s="9">
        <f t="shared" si="29"/>
        <v>0</v>
      </c>
      <c r="N99">
        <f t="shared" si="30"/>
        <v>0</v>
      </c>
      <c r="O99">
        <f t="shared" si="31"/>
        <v>-58.450000000000045</v>
      </c>
    </row>
    <row r="100" spans="1:18">
      <c r="A100" s="6">
        <v>44886</v>
      </c>
      <c r="B100" t="s">
        <v>21</v>
      </c>
      <c r="C100" s="9">
        <v>50</v>
      </c>
      <c r="D100">
        <v>149.52000000000001</v>
      </c>
      <c r="E100" s="29">
        <v>167</v>
      </c>
      <c r="F100">
        <v>138</v>
      </c>
      <c r="G100" s="21">
        <f t="shared" si="25"/>
        <v>2.5173611111111089</v>
      </c>
      <c r="H100" s="6">
        <v>44900</v>
      </c>
      <c r="I100" s="16">
        <v>141.29</v>
      </c>
      <c r="J100" s="25">
        <f t="shared" si="26"/>
        <v>-5.5042803638309379E-2</v>
      </c>
      <c r="K100" s="36">
        <f t="shared" si="27"/>
        <v>-411.50000000000091</v>
      </c>
      <c r="L100" s="24">
        <f t="shared" si="28"/>
        <v>14</v>
      </c>
      <c r="M100" s="9">
        <f t="shared" si="29"/>
        <v>0</v>
      </c>
      <c r="N100">
        <f t="shared" si="30"/>
        <v>0</v>
      </c>
      <c r="O100">
        <f t="shared" si="31"/>
        <v>-411.50000000000091</v>
      </c>
      <c r="R100" s="16">
        <v>-14555</v>
      </c>
    </row>
    <row r="101" spans="1:18">
      <c r="A101" s="6">
        <v>44883</v>
      </c>
      <c r="B101" s="1" t="s">
        <v>123</v>
      </c>
      <c r="C101" s="9">
        <v>23</v>
      </c>
      <c r="D101">
        <v>53.49</v>
      </c>
      <c r="E101" s="29">
        <v>56.62</v>
      </c>
      <c r="F101">
        <v>51.62</v>
      </c>
      <c r="G101" s="21">
        <f t="shared" si="25"/>
        <v>2.6737967914438436</v>
      </c>
      <c r="H101" s="6">
        <v>44893</v>
      </c>
      <c r="I101" s="29">
        <v>55.06</v>
      </c>
      <c r="J101" s="30">
        <f t="shared" si="26"/>
        <v>2.9351280613198805E-2</v>
      </c>
      <c r="K101" s="35">
        <f t="shared" si="27"/>
        <v>36.110000000000127</v>
      </c>
      <c r="L101" s="21">
        <f t="shared" si="28"/>
        <v>10</v>
      </c>
      <c r="M101" s="9">
        <f t="shared" si="29"/>
        <v>1</v>
      </c>
      <c r="N101">
        <f t="shared" si="30"/>
        <v>36.110000000000127</v>
      </c>
      <c r="O101">
        <f t="shared" si="31"/>
        <v>0</v>
      </c>
    </row>
    <row r="102" spans="1:18">
      <c r="A102" s="6">
        <v>44883</v>
      </c>
      <c r="B102" s="1" t="s">
        <v>168</v>
      </c>
      <c r="C102" s="9">
        <v>14</v>
      </c>
      <c r="D102">
        <v>89.94</v>
      </c>
      <c r="E102" s="29">
        <v>108</v>
      </c>
      <c r="F102">
        <v>82.55</v>
      </c>
      <c r="G102" s="21">
        <f t="shared" si="25"/>
        <v>3.4438430311231394</v>
      </c>
      <c r="H102" s="6">
        <v>44887</v>
      </c>
      <c r="I102" s="16">
        <v>86.85</v>
      </c>
      <c r="J102" s="25">
        <f t="shared" si="26"/>
        <v>-3.4356237491661168E-2</v>
      </c>
      <c r="K102" s="36">
        <f t="shared" si="27"/>
        <v>-43.259999999999991</v>
      </c>
      <c r="L102" s="24">
        <f t="shared" si="28"/>
        <v>4</v>
      </c>
      <c r="M102" s="9">
        <f t="shared" si="29"/>
        <v>0</v>
      </c>
      <c r="N102">
        <f t="shared" si="30"/>
        <v>0</v>
      </c>
      <c r="O102">
        <f t="shared" si="31"/>
        <v>-43.259999999999991</v>
      </c>
    </row>
    <row r="103" spans="1:18">
      <c r="A103" s="6">
        <v>44883</v>
      </c>
      <c r="B103" s="1" t="s">
        <v>58</v>
      </c>
      <c r="C103" s="9">
        <v>170</v>
      </c>
      <c r="D103">
        <v>7.28</v>
      </c>
      <c r="E103" s="29">
        <v>8</v>
      </c>
      <c r="F103">
        <v>7</v>
      </c>
      <c r="G103" s="21">
        <f t="shared" si="25"/>
        <v>3.5714285714285681</v>
      </c>
      <c r="H103" s="6">
        <v>44893</v>
      </c>
      <c r="I103" s="16">
        <v>7</v>
      </c>
      <c r="J103" s="25">
        <f t="shared" si="26"/>
        <v>-3.8461538461538547E-2</v>
      </c>
      <c r="K103" s="36">
        <f t="shared" si="27"/>
        <v>-47.600000000000136</v>
      </c>
      <c r="L103" s="24">
        <f t="shared" si="28"/>
        <v>10</v>
      </c>
      <c r="M103" s="9">
        <f t="shared" si="29"/>
        <v>0</v>
      </c>
      <c r="N103">
        <f t="shared" si="30"/>
        <v>0</v>
      </c>
      <c r="O103">
        <f t="shared" si="31"/>
        <v>-47.600000000000136</v>
      </c>
    </row>
    <row r="104" spans="1:18">
      <c r="A104" s="6">
        <v>44883</v>
      </c>
      <c r="B104" s="1" t="s">
        <v>15</v>
      </c>
      <c r="C104" s="9">
        <v>8</v>
      </c>
      <c r="D104">
        <v>128.18</v>
      </c>
      <c r="E104" s="29">
        <v>140</v>
      </c>
      <c r="F104">
        <v>127</v>
      </c>
      <c r="G104" s="21">
        <f t="shared" si="25"/>
        <v>11.01694915254231</v>
      </c>
      <c r="H104" s="6">
        <v>44893</v>
      </c>
      <c r="I104" s="16">
        <v>121.64</v>
      </c>
      <c r="J104" s="25">
        <f t="shared" si="26"/>
        <v>-5.1022000312061166E-2</v>
      </c>
      <c r="K104" s="36">
        <f t="shared" si="27"/>
        <v>-52.32000000000005</v>
      </c>
      <c r="L104" s="24">
        <f t="shared" si="28"/>
        <v>10</v>
      </c>
      <c r="M104" s="9">
        <f t="shared" si="29"/>
        <v>0</v>
      </c>
      <c r="N104">
        <f t="shared" si="30"/>
        <v>0</v>
      </c>
      <c r="O104">
        <f t="shared" si="31"/>
        <v>-52.32000000000005</v>
      </c>
    </row>
    <row r="105" spans="1:18">
      <c r="A105" s="6">
        <v>44883</v>
      </c>
      <c r="B105" s="1" t="s">
        <v>163</v>
      </c>
      <c r="C105" s="9">
        <v>26</v>
      </c>
      <c r="D105">
        <v>43.14</v>
      </c>
      <c r="E105" s="29">
        <v>65</v>
      </c>
      <c r="F105">
        <v>40.72</v>
      </c>
      <c r="G105" s="21">
        <f t="shared" si="25"/>
        <v>10.033057851239663</v>
      </c>
      <c r="H105" s="6">
        <v>44887</v>
      </c>
      <c r="I105" s="16">
        <v>40.78</v>
      </c>
      <c r="J105" s="25">
        <f t="shared" si="26"/>
        <v>-5.4705609643022735E-2</v>
      </c>
      <c r="K105" s="36">
        <f t="shared" si="27"/>
        <v>-61.360000000000127</v>
      </c>
      <c r="L105" s="24">
        <f t="shared" si="28"/>
        <v>4</v>
      </c>
      <c r="M105" s="9">
        <f t="shared" si="29"/>
        <v>0</v>
      </c>
      <c r="N105">
        <f t="shared" si="30"/>
        <v>0</v>
      </c>
      <c r="O105">
        <f t="shared" si="31"/>
        <v>-61.360000000000127</v>
      </c>
      <c r="R105" s="29">
        <v>-13415</v>
      </c>
    </row>
    <row r="106" spans="1:18">
      <c r="A106" s="6">
        <v>44882</v>
      </c>
      <c r="B106" s="1" t="s">
        <v>254</v>
      </c>
      <c r="C106" s="9">
        <v>545</v>
      </c>
      <c r="D106">
        <v>16.91</v>
      </c>
      <c r="E106" s="29">
        <v>18.8</v>
      </c>
      <c r="F106">
        <v>16</v>
      </c>
      <c r="G106" s="21">
        <f t="shared" si="25"/>
        <v>3.0769230769230771</v>
      </c>
      <c r="H106" s="6">
        <v>44901</v>
      </c>
      <c r="I106" s="29">
        <v>17</v>
      </c>
      <c r="J106" s="30">
        <f t="shared" si="26"/>
        <v>5.3222945002957545E-3</v>
      </c>
      <c r="K106" s="35">
        <f t="shared" si="27"/>
        <v>49.049999999999272</v>
      </c>
      <c r="L106" s="24">
        <f t="shared" si="28"/>
        <v>19</v>
      </c>
      <c r="M106" s="52">
        <f t="shared" si="29"/>
        <v>1</v>
      </c>
      <c r="N106" s="24">
        <f t="shared" si="30"/>
        <v>49.049999999999272</v>
      </c>
      <c r="O106" s="17">
        <f t="shared" si="31"/>
        <v>0</v>
      </c>
    </row>
    <row r="107" spans="1:18">
      <c r="A107" s="6">
        <v>44882</v>
      </c>
      <c r="B107" s="1" t="s">
        <v>251</v>
      </c>
      <c r="C107" s="9">
        <v>23</v>
      </c>
      <c r="D107">
        <v>366.23</v>
      </c>
      <c r="E107" s="29">
        <v>400</v>
      </c>
      <c r="F107">
        <v>350</v>
      </c>
      <c r="G107" s="21">
        <f t="shared" si="25"/>
        <v>3.0807147258163861</v>
      </c>
      <c r="H107" s="6">
        <v>44895</v>
      </c>
      <c r="I107" s="29">
        <v>380.84</v>
      </c>
      <c r="J107" s="30">
        <f t="shared" si="26"/>
        <v>3.9892963438276308E-2</v>
      </c>
      <c r="K107" s="35">
        <f t="shared" si="27"/>
        <v>336.02999999999884</v>
      </c>
      <c r="L107" s="21">
        <f t="shared" si="28"/>
        <v>13</v>
      </c>
      <c r="M107" s="9">
        <f t="shared" si="29"/>
        <v>1</v>
      </c>
      <c r="N107">
        <f t="shared" si="30"/>
        <v>336.02999999999884</v>
      </c>
      <c r="O107">
        <f t="shared" si="31"/>
        <v>0</v>
      </c>
    </row>
    <row r="108" spans="1:18">
      <c r="A108" s="6">
        <v>44882</v>
      </c>
      <c r="B108" s="1" t="s">
        <v>344</v>
      </c>
      <c r="C108" s="9">
        <v>41</v>
      </c>
      <c r="D108">
        <v>222.34</v>
      </c>
      <c r="E108" s="29">
        <v>240</v>
      </c>
      <c r="F108">
        <v>217</v>
      </c>
      <c r="G108" s="21">
        <f t="shared" si="25"/>
        <v>4.3071161048689115</v>
      </c>
      <c r="H108" s="6">
        <v>44894</v>
      </c>
      <c r="I108" s="29">
        <v>225.91</v>
      </c>
      <c r="J108" s="30">
        <f t="shared" si="26"/>
        <v>1.6056490060267992E-2</v>
      </c>
      <c r="K108" s="35">
        <f t="shared" si="27"/>
        <v>146.36999999999898</v>
      </c>
      <c r="L108" s="21">
        <f t="shared" si="28"/>
        <v>12</v>
      </c>
      <c r="M108" s="9">
        <f t="shared" si="29"/>
        <v>1</v>
      </c>
      <c r="N108">
        <f t="shared" si="30"/>
        <v>146.36999999999898</v>
      </c>
      <c r="O108">
        <f t="shared" si="31"/>
        <v>0</v>
      </c>
    </row>
    <row r="109" spans="1:18">
      <c r="A109" s="6">
        <v>44882</v>
      </c>
      <c r="B109" s="1" t="s">
        <v>345</v>
      </c>
      <c r="C109" s="9">
        <v>17</v>
      </c>
      <c r="D109">
        <v>479.54</v>
      </c>
      <c r="E109" s="29">
        <v>550</v>
      </c>
      <c r="F109">
        <v>475</v>
      </c>
      <c r="G109" s="21">
        <f t="shared" si="25"/>
        <v>16.51982378854618</v>
      </c>
      <c r="H109" s="6">
        <v>44897</v>
      </c>
      <c r="I109" s="29">
        <v>522.87</v>
      </c>
      <c r="J109" s="30">
        <f t="shared" si="26"/>
        <v>9.0357425866455232E-2</v>
      </c>
      <c r="K109" s="35">
        <f t="shared" si="27"/>
        <v>736.61000000000058</v>
      </c>
      <c r="L109" s="21">
        <f t="shared" si="28"/>
        <v>15</v>
      </c>
      <c r="M109" s="9">
        <f t="shared" si="29"/>
        <v>1</v>
      </c>
      <c r="N109">
        <f t="shared" si="30"/>
        <v>736.61000000000058</v>
      </c>
      <c r="O109">
        <f t="shared" si="31"/>
        <v>0</v>
      </c>
      <c r="R109" s="29">
        <v>-13449</v>
      </c>
    </row>
    <row r="110" spans="1:18">
      <c r="A110" s="6">
        <v>44881</v>
      </c>
      <c r="B110" s="1" t="s">
        <v>84</v>
      </c>
      <c r="C110" s="9">
        <v>89</v>
      </c>
      <c r="D110">
        <v>105.45</v>
      </c>
      <c r="E110" s="29">
        <v>120</v>
      </c>
      <c r="F110">
        <v>100</v>
      </c>
      <c r="G110" s="21">
        <f t="shared" si="25"/>
        <v>3.6697247706421998</v>
      </c>
      <c r="H110" s="6">
        <v>44887</v>
      </c>
      <c r="I110" s="16">
        <v>97.87</v>
      </c>
      <c r="J110" s="25">
        <f t="shared" si="26"/>
        <v>-7.1882408724514013E-2</v>
      </c>
      <c r="K110" s="36">
        <f t="shared" si="27"/>
        <v>-674.6200000000008</v>
      </c>
      <c r="L110" s="24">
        <f t="shared" si="28"/>
        <v>6</v>
      </c>
      <c r="M110" s="9">
        <f t="shared" si="29"/>
        <v>0</v>
      </c>
      <c r="N110">
        <f t="shared" si="30"/>
        <v>0</v>
      </c>
      <c r="O110">
        <f t="shared" si="31"/>
        <v>-674.6200000000008</v>
      </c>
    </row>
    <row r="111" spans="1:18">
      <c r="A111" s="6">
        <v>44881</v>
      </c>
      <c r="B111" s="1" t="s">
        <v>89</v>
      </c>
      <c r="C111" s="9">
        <v>44</v>
      </c>
      <c r="D111">
        <v>224.21</v>
      </c>
      <c r="E111" s="29">
        <v>256</v>
      </c>
      <c r="F111">
        <v>220</v>
      </c>
      <c r="G111" s="21">
        <f t="shared" si="25"/>
        <v>8.5510688836104354</v>
      </c>
      <c r="H111" s="6">
        <v>44901</v>
      </c>
      <c r="I111" s="29">
        <v>235.97</v>
      </c>
      <c r="J111" s="30">
        <f t="shared" si="26"/>
        <v>5.2450827349360019E-2</v>
      </c>
      <c r="K111" s="35">
        <f t="shared" si="27"/>
        <v>517.44000000000051</v>
      </c>
      <c r="L111" s="24">
        <f t="shared" si="28"/>
        <v>20</v>
      </c>
      <c r="M111" s="52">
        <f t="shared" si="29"/>
        <v>1</v>
      </c>
      <c r="N111" s="24">
        <f t="shared" si="30"/>
        <v>517.44000000000051</v>
      </c>
      <c r="O111" s="17">
        <f t="shared" si="31"/>
        <v>0</v>
      </c>
    </row>
    <row r="112" spans="1:18">
      <c r="A112" s="6">
        <v>44881</v>
      </c>
      <c r="B112" s="1" t="s">
        <v>296</v>
      </c>
      <c r="C112" s="9">
        <v>176</v>
      </c>
      <c r="D112">
        <v>45.42</v>
      </c>
      <c r="E112" s="29">
        <v>50</v>
      </c>
      <c r="F112">
        <v>41.79</v>
      </c>
      <c r="G112" s="21">
        <f t="shared" si="25"/>
        <v>2.261707988980715</v>
      </c>
      <c r="H112" s="6">
        <v>44882</v>
      </c>
      <c r="I112" s="29">
        <v>45.79</v>
      </c>
      <c r="J112" s="30">
        <f t="shared" si="26"/>
        <v>8.1461911052398417E-3</v>
      </c>
      <c r="K112" s="35">
        <f t="shared" si="27"/>
        <v>65.119999999999891</v>
      </c>
      <c r="L112" s="21">
        <f t="shared" si="28"/>
        <v>1</v>
      </c>
      <c r="M112" s="9">
        <f t="shared" si="29"/>
        <v>1</v>
      </c>
      <c r="N112">
        <f t="shared" si="30"/>
        <v>65.119999999999891</v>
      </c>
      <c r="O112">
        <f t="shared" si="31"/>
        <v>0</v>
      </c>
      <c r="R112" s="29">
        <v>-14307</v>
      </c>
    </row>
    <row r="113" spans="1:18">
      <c r="A113" s="6">
        <v>44880</v>
      </c>
      <c r="B113" s="1" t="s">
        <v>148</v>
      </c>
      <c r="C113" s="9">
        <v>107</v>
      </c>
      <c r="D113">
        <v>9.2200000000000006</v>
      </c>
      <c r="E113" s="29">
        <v>11</v>
      </c>
      <c r="F113">
        <v>8.5399999999999991</v>
      </c>
      <c r="G113" s="21">
        <f t="shared" si="25"/>
        <v>3.6176470588235228</v>
      </c>
      <c r="H113" s="6">
        <v>44904</v>
      </c>
      <c r="I113" s="29">
        <v>10.38</v>
      </c>
      <c r="J113" s="30">
        <f t="shared" si="26"/>
        <v>0.12581344902386116</v>
      </c>
      <c r="K113" s="35">
        <f t="shared" si="27"/>
        <v>124.12</v>
      </c>
      <c r="L113" s="24">
        <f t="shared" si="28"/>
        <v>24</v>
      </c>
      <c r="M113" s="52">
        <f t="shared" si="29"/>
        <v>1</v>
      </c>
      <c r="N113" s="24">
        <f t="shared" si="30"/>
        <v>124.12</v>
      </c>
      <c r="O113" s="17">
        <f t="shared" si="31"/>
        <v>0</v>
      </c>
    </row>
    <row r="114" spans="1:18">
      <c r="A114" s="6">
        <v>44880</v>
      </c>
      <c r="B114" s="1" t="s">
        <v>163</v>
      </c>
      <c r="C114" s="9">
        <v>21</v>
      </c>
      <c r="D114">
        <v>48.26</v>
      </c>
      <c r="E114" s="29">
        <v>65</v>
      </c>
      <c r="F114">
        <v>45</v>
      </c>
      <c r="G114" s="21">
        <f t="shared" si="25"/>
        <v>6.1349693251533779</v>
      </c>
      <c r="H114" s="6">
        <v>44881</v>
      </c>
      <c r="I114" s="16">
        <v>45.02</v>
      </c>
      <c r="J114" s="25">
        <f t="shared" si="26"/>
        <v>-6.7136344799005321E-2</v>
      </c>
      <c r="K114" s="36">
        <f t="shared" si="27"/>
        <v>-68.03999999999985</v>
      </c>
      <c r="L114" s="24">
        <f t="shared" si="28"/>
        <v>1</v>
      </c>
      <c r="M114" s="9">
        <f t="shared" si="29"/>
        <v>0</v>
      </c>
      <c r="N114">
        <f t="shared" si="30"/>
        <v>0</v>
      </c>
      <c r="O114">
        <f t="shared" si="31"/>
        <v>-68.03999999999985</v>
      </c>
    </row>
    <row r="115" spans="1:18">
      <c r="A115" s="6">
        <v>44880</v>
      </c>
      <c r="B115" s="1" t="s">
        <v>185</v>
      </c>
      <c r="C115" s="9">
        <v>863</v>
      </c>
      <c r="D115">
        <v>9.59</v>
      </c>
      <c r="E115" s="29">
        <v>20</v>
      </c>
      <c r="F115">
        <v>7.76</v>
      </c>
      <c r="G115" s="21">
        <f t="shared" si="25"/>
        <v>6.6885245901639339</v>
      </c>
      <c r="H115" s="6">
        <v>44902</v>
      </c>
      <c r="I115" s="29">
        <v>10.050000000000001</v>
      </c>
      <c r="J115" s="30">
        <f t="shared" si="26"/>
        <v>4.7966631908237911E-2</v>
      </c>
      <c r="K115" s="35">
        <f t="shared" si="27"/>
        <v>396.98000000000138</v>
      </c>
      <c r="L115" s="21">
        <f t="shared" si="28"/>
        <v>22</v>
      </c>
      <c r="M115" s="9">
        <f t="shared" si="29"/>
        <v>1</v>
      </c>
      <c r="N115">
        <f t="shared" si="30"/>
        <v>396.98000000000138</v>
      </c>
      <c r="O115">
        <f t="shared" si="31"/>
        <v>0</v>
      </c>
      <c r="R115" s="28">
        <v>-17382</v>
      </c>
    </row>
    <row r="116" spans="1:18">
      <c r="A116" s="6">
        <v>44879</v>
      </c>
      <c r="B116" s="1" t="s">
        <v>107</v>
      </c>
      <c r="C116" s="9">
        <v>59</v>
      </c>
      <c r="D116">
        <v>21.7</v>
      </c>
      <c r="E116" s="29">
        <v>25.72</v>
      </c>
      <c r="F116">
        <v>20.88</v>
      </c>
      <c r="G116" s="21">
        <f t="shared" si="25"/>
        <v>5.902439024390242</v>
      </c>
      <c r="H116" s="6">
        <v>44901</v>
      </c>
      <c r="I116" s="29">
        <v>21.85</v>
      </c>
      <c r="J116" s="30">
        <f t="shared" si="26"/>
        <v>6.9124423963133896E-3</v>
      </c>
      <c r="K116" s="35">
        <f t="shared" si="27"/>
        <v>8.8500000000001364</v>
      </c>
      <c r="L116" s="21">
        <f t="shared" si="28"/>
        <v>22</v>
      </c>
      <c r="M116" s="9">
        <f t="shared" si="29"/>
        <v>1</v>
      </c>
      <c r="N116">
        <f t="shared" si="30"/>
        <v>8.8500000000001364</v>
      </c>
      <c r="O116">
        <f t="shared" si="31"/>
        <v>0</v>
      </c>
    </row>
    <row r="117" spans="1:18">
      <c r="A117" s="6">
        <v>44879</v>
      </c>
      <c r="B117" s="1" t="s">
        <v>61</v>
      </c>
      <c r="C117" s="9">
        <v>3</v>
      </c>
      <c r="D117">
        <v>324.20999999999998</v>
      </c>
      <c r="E117" s="29">
        <v>360</v>
      </c>
      <c r="F117">
        <v>307.7</v>
      </c>
      <c r="G117" s="21">
        <f t="shared" si="25"/>
        <v>3.1677771047849812</v>
      </c>
      <c r="H117" s="6">
        <v>44910</v>
      </c>
      <c r="I117" s="29">
        <v>336.78</v>
      </c>
      <c r="J117" s="30">
        <f t="shared" si="26"/>
        <v>3.8771166836309767E-2</v>
      </c>
      <c r="K117" s="35">
        <f t="shared" si="27"/>
        <v>37.710000000000036</v>
      </c>
      <c r="L117" s="24">
        <f t="shared" si="28"/>
        <v>31</v>
      </c>
      <c r="M117" s="52">
        <f t="shared" si="29"/>
        <v>1</v>
      </c>
      <c r="N117" s="24">
        <f t="shared" si="30"/>
        <v>37.710000000000036</v>
      </c>
      <c r="O117" s="17">
        <f t="shared" si="31"/>
        <v>0</v>
      </c>
      <c r="R117" s="16">
        <v>-17445</v>
      </c>
    </row>
    <row r="118" spans="1:18">
      <c r="A118" s="6">
        <v>44875</v>
      </c>
      <c r="B118" s="1" t="s">
        <v>310</v>
      </c>
      <c r="C118" s="9">
        <v>2375</v>
      </c>
      <c r="D118">
        <v>3.82</v>
      </c>
      <c r="E118" s="29">
        <v>5</v>
      </c>
      <c r="F118">
        <v>3.39</v>
      </c>
      <c r="G118" s="21">
        <f t="shared" si="25"/>
        <v>3.7441860465116301</v>
      </c>
      <c r="H118" s="6">
        <v>44886</v>
      </c>
      <c r="I118" s="16">
        <v>3.34</v>
      </c>
      <c r="J118" s="25">
        <f t="shared" si="26"/>
        <v>-0.12565445026178013</v>
      </c>
      <c r="K118" s="36">
        <f t="shared" si="27"/>
        <v>-1140</v>
      </c>
      <c r="L118" s="24">
        <f t="shared" si="28"/>
        <v>11</v>
      </c>
      <c r="M118" s="9">
        <f t="shared" si="29"/>
        <v>0</v>
      </c>
      <c r="N118">
        <f t="shared" si="30"/>
        <v>0</v>
      </c>
      <c r="O118">
        <f t="shared" si="31"/>
        <v>-1140</v>
      </c>
      <c r="R118" s="16">
        <v>-16457</v>
      </c>
    </row>
    <row r="119" spans="1:18">
      <c r="A119" s="6">
        <v>44875</v>
      </c>
      <c r="B119" s="1" t="s">
        <v>17</v>
      </c>
      <c r="C119" s="9">
        <v>20</v>
      </c>
      <c r="D119">
        <v>68.209999999999994</v>
      </c>
      <c r="E119" s="29">
        <v>80</v>
      </c>
      <c r="F119">
        <v>67</v>
      </c>
      <c r="G119" s="21">
        <f t="shared" si="25"/>
        <v>10.743801652892618</v>
      </c>
      <c r="H119" s="6">
        <v>44881</v>
      </c>
      <c r="I119" s="29">
        <v>72.150000000000006</v>
      </c>
      <c r="J119" s="30">
        <f t="shared" si="26"/>
        <v>5.7762791379563305E-2</v>
      </c>
      <c r="K119" s="35">
        <f t="shared" si="27"/>
        <v>78.800000000000182</v>
      </c>
      <c r="L119" s="21">
        <f t="shared" si="28"/>
        <v>6</v>
      </c>
      <c r="M119" s="9">
        <f t="shared" si="29"/>
        <v>1</v>
      </c>
      <c r="N119">
        <f t="shared" si="30"/>
        <v>78.800000000000182</v>
      </c>
      <c r="O119">
        <f t="shared" si="31"/>
        <v>0</v>
      </c>
      <c r="R119" s="28">
        <v>-16349</v>
      </c>
    </row>
    <row r="120" spans="1:18">
      <c r="A120" s="6">
        <v>44874</v>
      </c>
      <c r="B120" s="1" t="s">
        <v>87</v>
      </c>
      <c r="C120" s="9">
        <v>7</v>
      </c>
      <c r="D120">
        <v>192.24</v>
      </c>
      <c r="E120" s="29">
        <v>227</v>
      </c>
      <c r="F120">
        <v>177</v>
      </c>
      <c r="G120" s="21">
        <f t="shared" si="25"/>
        <v>3.2808398950131212</v>
      </c>
      <c r="H120" s="6">
        <v>44882</v>
      </c>
      <c r="I120" s="16">
        <v>183.99</v>
      </c>
      <c r="J120" s="25">
        <f t="shared" si="26"/>
        <v>-4.2915106117353274E-2</v>
      </c>
      <c r="K120" s="36">
        <f t="shared" si="27"/>
        <v>-57.75</v>
      </c>
      <c r="L120" s="24">
        <f t="shared" si="28"/>
        <v>8</v>
      </c>
      <c r="M120" s="9">
        <f t="shared" si="29"/>
        <v>0</v>
      </c>
      <c r="N120">
        <f t="shared" si="30"/>
        <v>0</v>
      </c>
      <c r="O120">
        <f t="shared" si="31"/>
        <v>-57.75</v>
      </c>
    </row>
    <row r="121" spans="1:18">
      <c r="A121" s="6">
        <v>44874</v>
      </c>
      <c r="B121" s="1" t="s">
        <v>185</v>
      </c>
      <c r="C121" s="9">
        <v>890</v>
      </c>
      <c r="D121">
        <v>10.38</v>
      </c>
      <c r="E121" s="29">
        <v>20</v>
      </c>
      <c r="F121">
        <v>7.76</v>
      </c>
      <c r="G121" s="21">
        <f t="shared" si="25"/>
        <v>4.6717557251908381</v>
      </c>
      <c r="H121" s="6">
        <v>44879</v>
      </c>
      <c r="I121" s="16">
        <v>9.27</v>
      </c>
      <c r="J121" s="25">
        <f t="shared" si="26"/>
        <v>-0.10693641618497118</v>
      </c>
      <c r="K121" s="36">
        <f t="shared" si="27"/>
        <v>-987.90000000000146</v>
      </c>
      <c r="L121" s="24">
        <f t="shared" si="28"/>
        <v>5</v>
      </c>
      <c r="M121" s="9">
        <f t="shared" si="29"/>
        <v>0</v>
      </c>
      <c r="N121">
        <f t="shared" si="30"/>
        <v>0</v>
      </c>
      <c r="O121">
        <f t="shared" si="31"/>
        <v>-987.90000000000146</v>
      </c>
    </row>
    <row r="122" spans="1:18">
      <c r="A122" s="6">
        <v>44874</v>
      </c>
      <c r="B122" s="1" t="s">
        <v>129</v>
      </c>
      <c r="C122" s="9">
        <v>17</v>
      </c>
      <c r="D122">
        <v>493.99</v>
      </c>
      <c r="E122" s="29">
        <v>539</v>
      </c>
      <c r="F122">
        <v>479</v>
      </c>
      <c r="G122" s="21">
        <f t="shared" si="25"/>
        <v>4.0026684456304178</v>
      </c>
      <c r="H122" s="6">
        <v>44882</v>
      </c>
      <c r="I122" s="29">
        <v>518.12</v>
      </c>
      <c r="J122" s="30">
        <f t="shared" si="26"/>
        <v>4.8847142654709685E-2</v>
      </c>
      <c r="K122" s="35">
        <f t="shared" si="27"/>
        <v>410.21000000000095</v>
      </c>
      <c r="L122" s="21">
        <f t="shared" si="28"/>
        <v>8</v>
      </c>
      <c r="M122" s="9">
        <f t="shared" si="29"/>
        <v>1</v>
      </c>
      <c r="N122">
        <f t="shared" si="30"/>
        <v>410.21000000000095</v>
      </c>
      <c r="O122">
        <f t="shared" si="31"/>
        <v>0</v>
      </c>
    </row>
    <row r="123" spans="1:18">
      <c r="A123" s="6">
        <v>44874</v>
      </c>
      <c r="B123" s="1" t="s">
        <v>87</v>
      </c>
      <c r="C123" s="9">
        <v>50</v>
      </c>
      <c r="D123">
        <v>180</v>
      </c>
      <c r="E123" s="29">
        <v>227</v>
      </c>
      <c r="F123">
        <v>177</v>
      </c>
      <c r="G123" s="21">
        <f t="shared" si="25"/>
        <v>16.666666666666668</v>
      </c>
      <c r="H123" s="6">
        <v>44882</v>
      </c>
      <c r="I123" s="29">
        <v>183.65</v>
      </c>
      <c r="J123" s="30">
        <f t="shared" si="26"/>
        <v>2.0277777777777839E-2</v>
      </c>
      <c r="K123" s="35">
        <f t="shared" si="27"/>
        <v>182.5</v>
      </c>
      <c r="L123" s="21">
        <f t="shared" si="28"/>
        <v>8</v>
      </c>
      <c r="M123" s="9">
        <f t="shared" si="29"/>
        <v>1</v>
      </c>
      <c r="N123">
        <f t="shared" si="30"/>
        <v>182.5</v>
      </c>
      <c r="O123">
        <f t="shared" si="31"/>
        <v>0</v>
      </c>
      <c r="R123" s="16">
        <v>-17162</v>
      </c>
    </row>
    <row r="124" spans="1:18">
      <c r="A124" s="6">
        <v>44873</v>
      </c>
      <c r="B124" s="1" t="s">
        <v>227</v>
      </c>
      <c r="C124" s="9">
        <v>10</v>
      </c>
      <c r="D124">
        <v>304.88</v>
      </c>
      <c r="E124" s="29">
        <v>400</v>
      </c>
      <c r="F124">
        <v>275</v>
      </c>
      <c r="G124" s="21">
        <f t="shared" si="25"/>
        <v>4.1834002677376176</v>
      </c>
      <c r="H124" s="6">
        <v>44881</v>
      </c>
      <c r="I124" s="29">
        <v>338.56</v>
      </c>
      <c r="J124" s="30">
        <f t="shared" si="26"/>
        <v>0.11046969299396481</v>
      </c>
      <c r="K124" s="35">
        <f t="shared" si="27"/>
        <v>336.79999999999973</v>
      </c>
      <c r="L124" s="21">
        <f t="shared" si="28"/>
        <v>8</v>
      </c>
      <c r="M124" s="9">
        <f t="shared" si="29"/>
        <v>1</v>
      </c>
      <c r="N124">
        <f t="shared" si="30"/>
        <v>336.79999999999973</v>
      </c>
      <c r="O124">
        <f t="shared" si="31"/>
        <v>0</v>
      </c>
    </row>
    <row r="125" spans="1:18">
      <c r="A125" s="6">
        <v>44873</v>
      </c>
      <c r="B125" s="1" t="s">
        <v>148</v>
      </c>
      <c r="C125" s="9">
        <v>116</v>
      </c>
      <c r="D125">
        <v>9.74</v>
      </c>
      <c r="E125" s="29">
        <v>11</v>
      </c>
      <c r="F125">
        <v>9.51</v>
      </c>
      <c r="G125" s="21">
        <f t="shared" si="25"/>
        <v>6.4782608695652062</v>
      </c>
      <c r="H125" s="6">
        <v>44875</v>
      </c>
      <c r="I125" s="16">
        <v>8.81</v>
      </c>
      <c r="J125" s="25">
        <f t="shared" si="26"/>
        <v>-9.5482546201231977E-2</v>
      </c>
      <c r="K125" s="36">
        <f t="shared" si="27"/>
        <v>-107.87999999999988</v>
      </c>
      <c r="L125" s="24">
        <f t="shared" si="28"/>
        <v>2</v>
      </c>
      <c r="M125" s="9">
        <f t="shared" si="29"/>
        <v>0</v>
      </c>
      <c r="N125">
        <f t="shared" si="30"/>
        <v>0</v>
      </c>
      <c r="O125">
        <f t="shared" si="31"/>
        <v>-107.87999999999988</v>
      </c>
      <c r="R125" s="28">
        <v>-16992</v>
      </c>
    </row>
    <row r="126" spans="1:18">
      <c r="A126" s="6">
        <v>44872</v>
      </c>
      <c r="B126" t="s">
        <v>185</v>
      </c>
      <c r="C126">
        <v>136</v>
      </c>
      <c r="D126">
        <v>8.43</v>
      </c>
      <c r="E126">
        <v>20</v>
      </c>
      <c r="F126">
        <v>7.76</v>
      </c>
      <c r="G126" s="21">
        <f t="shared" si="25"/>
        <v>18.268656716417912</v>
      </c>
      <c r="H126" s="6">
        <v>44873</v>
      </c>
      <c r="I126" s="29">
        <v>10.14</v>
      </c>
      <c r="J126" s="30">
        <f t="shared" si="26"/>
        <v>0.2028469750889681</v>
      </c>
      <c r="K126" s="35">
        <f t="shared" si="27"/>
        <v>232.55999999999995</v>
      </c>
      <c r="L126" s="21">
        <f t="shared" si="28"/>
        <v>1</v>
      </c>
      <c r="M126" s="9">
        <f t="shared" si="29"/>
        <v>1</v>
      </c>
      <c r="N126">
        <f t="shared" si="30"/>
        <v>232.55999999999995</v>
      </c>
      <c r="O126">
        <f t="shared" si="31"/>
        <v>0</v>
      </c>
    </row>
    <row r="127" spans="1:18">
      <c r="A127" s="6">
        <v>44872</v>
      </c>
      <c r="B127" t="s">
        <v>185</v>
      </c>
      <c r="C127">
        <v>25</v>
      </c>
      <c r="D127">
        <v>8.43</v>
      </c>
      <c r="E127">
        <v>20</v>
      </c>
      <c r="F127">
        <v>7.76</v>
      </c>
      <c r="G127" s="21">
        <f t="shared" si="25"/>
        <v>18.268656716417912</v>
      </c>
      <c r="H127" s="6">
        <v>44872</v>
      </c>
      <c r="I127" s="29">
        <v>10.02</v>
      </c>
      <c r="J127" s="30">
        <f t="shared" si="26"/>
        <v>0.18861209964412806</v>
      </c>
      <c r="K127" s="35">
        <f t="shared" si="27"/>
        <v>39.75</v>
      </c>
      <c r="L127" s="21">
        <f t="shared" si="28"/>
        <v>0</v>
      </c>
      <c r="M127" s="9">
        <f t="shared" si="29"/>
        <v>1</v>
      </c>
      <c r="N127">
        <f t="shared" si="30"/>
        <v>39.75</v>
      </c>
      <c r="O127">
        <f t="shared" si="31"/>
        <v>0</v>
      </c>
      <c r="R127" s="28">
        <v>-17224.96</v>
      </c>
    </row>
    <row r="128" spans="1:18">
      <c r="A128" s="6">
        <v>44869</v>
      </c>
      <c r="B128" s="1" t="s">
        <v>22</v>
      </c>
      <c r="C128">
        <v>44</v>
      </c>
      <c r="D128">
        <v>26.42</v>
      </c>
      <c r="E128" s="29">
        <v>34</v>
      </c>
      <c r="F128">
        <v>24</v>
      </c>
      <c r="G128" s="21">
        <f t="shared" si="25"/>
        <v>4.1322314049586746</v>
      </c>
      <c r="H128" s="6">
        <v>44874</v>
      </c>
      <c r="I128" s="16">
        <v>25.02</v>
      </c>
      <c r="J128" s="25">
        <f t="shared" si="26"/>
        <v>-5.2990158970476986E-2</v>
      </c>
      <c r="K128" s="36">
        <f t="shared" si="27"/>
        <v>-61.600000000000136</v>
      </c>
      <c r="L128" s="24">
        <f t="shared" si="28"/>
        <v>5</v>
      </c>
      <c r="M128" s="9">
        <f t="shared" si="29"/>
        <v>0</v>
      </c>
      <c r="N128">
        <f t="shared" si="30"/>
        <v>0</v>
      </c>
      <c r="O128">
        <f t="shared" si="31"/>
        <v>-61.600000000000136</v>
      </c>
    </row>
    <row r="129" spans="1:18">
      <c r="A129" s="6">
        <v>44869</v>
      </c>
      <c r="B129" s="1" t="s">
        <v>130</v>
      </c>
      <c r="C129">
        <v>8</v>
      </c>
      <c r="D129">
        <v>107.29</v>
      </c>
      <c r="E129" s="29">
        <v>120</v>
      </c>
      <c r="F129">
        <v>101.93</v>
      </c>
      <c r="G129" s="21">
        <f t="shared" si="25"/>
        <v>3.371268656716417</v>
      </c>
      <c r="H129" s="6">
        <v>44874</v>
      </c>
      <c r="I129" s="29">
        <v>120.15</v>
      </c>
      <c r="J129" s="30">
        <f t="shared" si="26"/>
        <v>0.11986205610960954</v>
      </c>
      <c r="K129" s="35">
        <f t="shared" si="27"/>
        <v>102.88</v>
      </c>
      <c r="L129" s="21">
        <f t="shared" si="28"/>
        <v>5</v>
      </c>
      <c r="M129" s="9">
        <f t="shared" si="29"/>
        <v>1</v>
      </c>
      <c r="N129">
        <f t="shared" si="30"/>
        <v>102.88</v>
      </c>
      <c r="O129">
        <f t="shared" si="31"/>
        <v>0</v>
      </c>
    </row>
    <row r="130" spans="1:18">
      <c r="A130" s="6">
        <v>44869</v>
      </c>
      <c r="B130" s="1" t="s">
        <v>231</v>
      </c>
      <c r="C130">
        <v>106</v>
      </c>
      <c r="D130">
        <v>73.31</v>
      </c>
      <c r="E130" s="29">
        <v>100</v>
      </c>
      <c r="F130">
        <v>70</v>
      </c>
      <c r="G130" s="21">
        <f xml:space="preserve"> (E130 - F130)/(D130-F130)</f>
        <v>9.0634441087613222</v>
      </c>
      <c r="H130" s="6">
        <v>44881</v>
      </c>
      <c r="I130" s="29">
        <v>86.94</v>
      </c>
      <c r="J130" s="30">
        <f t="shared" si="26"/>
        <v>0.18592279361615049</v>
      </c>
      <c r="K130" s="35">
        <f t="shared" si="27"/>
        <v>1444.7799999999988</v>
      </c>
      <c r="L130" s="24">
        <f t="shared" si="28"/>
        <v>12</v>
      </c>
      <c r="M130" s="52">
        <f t="shared" si="29"/>
        <v>1</v>
      </c>
      <c r="N130" s="24">
        <f t="shared" si="30"/>
        <v>1444.7799999999988</v>
      </c>
      <c r="O130">
        <f t="shared" si="31"/>
        <v>0</v>
      </c>
    </row>
    <row r="131" spans="1:18">
      <c r="A131" s="6">
        <v>44869</v>
      </c>
      <c r="B131" s="1" t="s">
        <v>231</v>
      </c>
      <c r="C131">
        <v>5</v>
      </c>
      <c r="D131">
        <v>73.31</v>
      </c>
      <c r="E131" s="29">
        <v>100</v>
      </c>
      <c r="F131">
        <v>70</v>
      </c>
      <c r="G131" s="21">
        <f t="shared" si="25"/>
        <v>9.0634441087613222</v>
      </c>
      <c r="H131" s="6">
        <v>44872</v>
      </c>
      <c r="I131" s="29">
        <v>77.44</v>
      </c>
      <c r="J131" s="30">
        <f t="shared" si="26"/>
        <v>5.6336106943118303E-2</v>
      </c>
      <c r="K131" s="35">
        <f t="shared" si="27"/>
        <v>20.649999999999977</v>
      </c>
      <c r="L131" s="21">
        <f t="shared" si="28"/>
        <v>3</v>
      </c>
      <c r="M131" s="9">
        <f t="shared" si="29"/>
        <v>1</v>
      </c>
      <c r="N131">
        <f t="shared" si="30"/>
        <v>20.649999999999977</v>
      </c>
      <c r="O131">
        <f t="shared" si="31"/>
        <v>0</v>
      </c>
    </row>
    <row r="132" spans="1:18">
      <c r="A132" s="6">
        <v>44869</v>
      </c>
      <c r="B132" s="1" t="s">
        <v>18</v>
      </c>
      <c r="C132">
        <v>169</v>
      </c>
      <c r="D132">
        <v>49.17</v>
      </c>
      <c r="E132" s="29">
        <v>55</v>
      </c>
      <c r="F132">
        <v>46</v>
      </c>
      <c r="G132" s="21">
        <f xml:space="preserve"> (E132 - F132)/(D132-F132)</f>
        <v>2.8391167192429005</v>
      </c>
      <c r="H132" s="6">
        <v>44875</v>
      </c>
      <c r="I132" s="29">
        <v>53.37</v>
      </c>
      <c r="J132" s="30">
        <f t="shared" ref="J132:J156" si="32">I132/D132 -1</f>
        <v>8.5417937766931074E-2</v>
      </c>
      <c r="K132" s="35">
        <f t="shared" ref="K132:K156" si="33">(C132*I132) - (C132*D132)</f>
        <v>709.79999999999927</v>
      </c>
      <c r="L132" s="21">
        <f t="shared" ref="L132:L181" si="34">H132-A132</f>
        <v>6</v>
      </c>
      <c r="M132" s="9">
        <f t="shared" ref="M132:M195" si="35">IF(J132&gt;0,1,0)</f>
        <v>1</v>
      </c>
      <c r="N132">
        <f t="shared" ref="N132:N195" si="36">IF(K132&gt;0, K132, 0)</f>
        <v>709.79999999999927</v>
      </c>
      <c r="O132">
        <f t="shared" ref="O132:O195" si="37">IF(K132&lt;0, K132, 0)</f>
        <v>0</v>
      </c>
      <c r="R132" s="16"/>
    </row>
    <row r="133" spans="1:18">
      <c r="A133" s="6">
        <v>44869</v>
      </c>
      <c r="B133" s="1" t="s">
        <v>18</v>
      </c>
      <c r="C133">
        <v>1</v>
      </c>
      <c r="D133">
        <v>49.17</v>
      </c>
      <c r="E133" s="29">
        <v>55</v>
      </c>
      <c r="F133">
        <v>46</v>
      </c>
      <c r="G133" s="21">
        <f t="shared" ref="G133:G148" si="38" xml:space="preserve"> (E133 - F133)/(D133-F133)</f>
        <v>2.8391167192429005</v>
      </c>
      <c r="H133" s="6">
        <v>44872</v>
      </c>
      <c r="I133" s="29">
        <v>49.9</v>
      </c>
      <c r="J133" s="30">
        <f t="shared" si="32"/>
        <v>1.4846451088061707E-2</v>
      </c>
      <c r="K133" s="35">
        <f t="shared" si="33"/>
        <v>0.72999999999999687</v>
      </c>
      <c r="L133" s="21">
        <f t="shared" si="34"/>
        <v>3</v>
      </c>
      <c r="M133" s="9">
        <f t="shared" si="35"/>
        <v>1</v>
      </c>
      <c r="N133">
        <f t="shared" si="36"/>
        <v>0.72999999999999687</v>
      </c>
      <c r="O133">
        <f t="shared" si="37"/>
        <v>0</v>
      </c>
      <c r="R133" s="16">
        <v>-17397</v>
      </c>
    </row>
    <row r="134" spans="1:18">
      <c r="A134" s="6">
        <v>44868</v>
      </c>
      <c r="B134" s="1" t="s">
        <v>314</v>
      </c>
      <c r="C134">
        <v>80</v>
      </c>
      <c r="D134">
        <v>92.89</v>
      </c>
      <c r="E134" s="29">
        <v>120</v>
      </c>
      <c r="F134">
        <v>85</v>
      </c>
      <c r="G134" s="21">
        <f t="shared" si="38"/>
        <v>4.4359949302915078</v>
      </c>
      <c r="H134" s="6">
        <v>44881</v>
      </c>
      <c r="I134" s="29">
        <v>96.8</v>
      </c>
      <c r="J134" s="30">
        <f t="shared" si="32"/>
        <v>4.2092797933038995E-2</v>
      </c>
      <c r="K134" s="35">
        <f t="shared" si="33"/>
        <v>312.80000000000018</v>
      </c>
      <c r="L134" s="24">
        <f t="shared" si="34"/>
        <v>13</v>
      </c>
      <c r="M134" s="52">
        <f t="shared" si="35"/>
        <v>1</v>
      </c>
      <c r="N134" s="24">
        <f t="shared" si="36"/>
        <v>312.80000000000018</v>
      </c>
      <c r="O134">
        <f t="shared" si="37"/>
        <v>0</v>
      </c>
    </row>
    <row r="135" spans="1:18">
      <c r="A135" s="6">
        <v>44868</v>
      </c>
      <c r="B135" s="1" t="s">
        <v>39</v>
      </c>
      <c r="C135">
        <v>136</v>
      </c>
      <c r="D135">
        <v>68.290000000000006</v>
      </c>
      <c r="E135" s="29">
        <v>77</v>
      </c>
      <c r="F135">
        <v>66.55</v>
      </c>
      <c r="G135" s="21">
        <f xml:space="preserve"> (E135 - F135)/(D135-F135)</f>
        <v>6.0057471264367521</v>
      </c>
      <c r="H135" s="6">
        <v>44872</v>
      </c>
      <c r="I135" s="29">
        <v>70.180000000000007</v>
      </c>
      <c r="J135" s="30">
        <f t="shared" si="32"/>
        <v>2.7676087274857153E-2</v>
      </c>
      <c r="K135" s="35">
        <f t="shared" si="33"/>
        <v>257.04000000000087</v>
      </c>
      <c r="L135" s="24">
        <f t="shared" si="34"/>
        <v>4</v>
      </c>
      <c r="M135" s="52">
        <f t="shared" si="35"/>
        <v>1</v>
      </c>
      <c r="N135" s="24">
        <f t="shared" si="36"/>
        <v>257.04000000000087</v>
      </c>
      <c r="O135">
        <f t="shared" si="37"/>
        <v>0</v>
      </c>
    </row>
    <row r="136" spans="1:18">
      <c r="A136" s="6">
        <v>44868</v>
      </c>
      <c r="B136" s="1" t="s">
        <v>39</v>
      </c>
      <c r="C136">
        <v>7</v>
      </c>
      <c r="D136">
        <v>68.290000000000006</v>
      </c>
      <c r="E136" s="29">
        <v>77</v>
      </c>
      <c r="F136">
        <v>66.55</v>
      </c>
      <c r="G136" s="21">
        <f t="shared" si="38"/>
        <v>6.0057471264367521</v>
      </c>
      <c r="H136" s="6">
        <v>44872</v>
      </c>
      <c r="I136" s="29">
        <v>72.06</v>
      </c>
      <c r="J136" s="30">
        <f t="shared" si="32"/>
        <v>5.5205740225508837E-2</v>
      </c>
      <c r="K136" s="35">
        <f t="shared" si="33"/>
        <v>26.389999999999986</v>
      </c>
      <c r="L136" s="21">
        <f t="shared" si="34"/>
        <v>4</v>
      </c>
      <c r="M136" s="9">
        <f t="shared" si="35"/>
        <v>1</v>
      </c>
      <c r="N136">
        <f t="shared" si="36"/>
        <v>26.389999999999986</v>
      </c>
      <c r="O136">
        <f t="shared" si="37"/>
        <v>0</v>
      </c>
    </row>
    <row r="137" spans="1:18">
      <c r="A137" s="6">
        <v>44868</v>
      </c>
      <c r="B137" s="1" t="s">
        <v>303</v>
      </c>
      <c r="C137">
        <v>26</v>
      </c>
      <c r="D137">
        <v>220.08</v>
      </c>
      <c r="E137" s="29">
        <v>246</v>
      </c>
      <c r="F137">
        <v>215</v>
      </c>
      <c r="G137" s="21">
        <f xml:space="preserve"> (E137 - F137)/(D137-F137)</f>
        <v>6.1023622047243942</v>
      </c>
      <c r="H137" s="6">
        <v>44881</v>
      </c>
      <c r="I137" s="29">
        <v>249.55</v>
      </c>
      <c r="J137" s="30">
        <f t="shared" si="32"/>
        <v>0.13390585241730268</v>
      </c>
      <c r="K137" s="35">
        <f t="shared" si="33"/>
        <v>766.22000000000025</v>
      </c>
      <c r="L137" s="24">
        <f t="shared" si="34"/>
        <v>13</v>
      </c>
      <c r="M137" s="52">
        <f t="shared" si="35"/>
        <v>1</v>
      </c>
      <c r="N137" s="24">
        <f t="shared" si="36"/>
        <v>766.22000000000025</v>
      </c>
      <c r="O137">
        <f t="shared" si="37"/>
        <v>0</v>
      </c>
    </row>
    <row r="138" spans="1:18">
      <c r="A138" s="6">
        <v>44868</v>
      </c>
      <c r="B138" s="1" t="s">
        <v>303</v>
      </c>
      <c r="C138">
        <v>2</v>
      </c>
      <c r="D138">
        <v>220.08</v>
      </c>
      <c r="E138" s="29">
        <v>246</v>
      </c>
      <c r="F138">
        <v>215</v>
      </c>
      <c r="G138" s="21">
        <f xml:space="preserve"> (E138 - F138)/(D138-F138)</f>
        <v>6.1023622047243942</v>
      </c>
      <c r="H138" s="6">
        <v>44880</v>
      </c>
      <c r="I138" s="29">
        <v>251.49</v>
      </c>
      <c r="J138" s="30">
        <f t="shared" si="32"/>
        <v>0.14272082878953096</v>
      </c>
      <c r="K138" s="35">
        <f t="shared" si="33"/>
        <v>62.819999999999993</v>
      </c>
      <c r="L138" s="21">
        <f t="shared" si="34"/>
        <v>12</v>
      </c>
      <c r="M138" s="9">
        <f t="shared" si="35"/>
        <v>1</v>
      </c>
      <c r="N138">
        <f t="shared" si="36"/>
        <v>62.819999999999993</v>
      </c>
      <c r="O138">
        <f t="shared" si="37"/>
        <v>0</v>
      </c>
    </row>
    <row r="139" spans="1:18">
      <c r="A139" s="6">
        <v>44868</v>
      </c>
      <c r="B139" s="1" t="s">
        <v>303</v>
      </c>
      <c r="C139">
        <v>2</v>
      </c>
      <c r="D139">
        <v>220.08</v>
      </c>
      <c r="E139" s="29">
        <v>246</v>
      </c>
      <c r="F139">
        <v>215</v>
      </c>
      <c r="G139" s="21">
        <f t="shared" si="38"/>
        <v>6.1023622047243942</v>
      </c>
      <c r="H139" s="6">
        <v>44872</v>
      </c>
      <c r="I139" s="29">
        <v>235.81</v>
      </c>
      <c r="J139" s="30">
        <f t="shared" si="32"/>
        <v>7.14740094511086E-2</v>
      </c>
      <c r="K139" s="35">
        <f t="shared" si="33"/>
        <v>31.45999999999998</v>
      </c>
      <c r="L139" s="21">
        <f t="shared" si="34"/>
        <v>4</v>
      </c>
      <c r="M139" s="9">
        <f t="shared" si="35"/>
        <v>1</v>
      </c>
      <c r="N139">
        <f t="shared" si="36"/>
        <v>31.45999999999998</v>
      </c>
      <c r="O139">
        <f t="shared" si="37"/>
        <v>0</v>
      </c>
    </row>
    <row r="140" spans="1:18">
      <c r="A140" s="6">
        <v>44868</v>
      </c>
      <c r="B140" s="1" t="s">
        <v>124</v>
      </c>
      <c r="C140">
        <v>8</v>
      </c>
      <c r="D140">
        <v>36.43</v>
      </c>
      <c r="E140" s="29">
        <v>40</v>
      </c>
      <c r="F140">
        <v>34.5</v>
      </c>
      <c r="G140" s="21">
        <f xml:space="preserve"> (E140 - F140)/(D140-F140)</f>
        <v>2.8497409326424874</v>
      </c>
      <c r="H140" s="6">
        <v>44872</v>
      </c>
      <c r="I140" s="29">
        <v>37.39</v>
      </c>
      <c r="J140" s="30">
        <f t="shared" si="32"/>
        <v>2.6351907768322747E-2</v>
      </c>
      <c r="K140" s="35">
        <f t="shared" si="33"/>
        <v>7.6800000000000068</v>
      </c>
      <c r="L140" s="21">
        <f t="shared" si="34"/>
        <v>4</v>
      </c>
      <c r="M140" s="9">
        <f t="shared" si="35"/>
        <v>1</v>
      </c>
      <c r="N140">
        <f t="shared" si="36"/>
        <v>7.6800000000000068</v>
      </c>
      <c r="O140">
        <f t="shared" si="37"/>
        <v>0</v>
      </c>
      <c r="R140" s="28"/>
    </row>
    <row r="141" spans="1:18">
      <c r="A141" s="6">
        <v>44868</v>
      </c>
      <c r="B141" s="1" t="s">
        <v>124</v>
      </c>
      <c r="C141">
        <v>258</v>
      </c>
      <c r="D141">
        <v>36.43</v>
      </c>
      <c r="E141" s="29">
        <v>40</v>
      </c>
      <c r="F141">
        <v>34.5</v>
      </c>
      <c r="G141" s="21">
        <f t="shared" si="38"/>
        <v>2.8497409326424874</v>
      </c>
      <c r="H141" s="6">
        <v>44874</v>
      </c>
      <c r="I141" s="16">
        <v>34.53</v>
      </c>
      <c r="J141" s="25">
        <f t="shared" si="32"/>
        <v>-5.215481745813888E-2</v>
      </c>
      <c r="K141" s="36">
        <f t="shared" si="33"/>
        <v>-490.20000000000073</v>
      </c>
      <c r="L141" s="24">
        <f t="shared" si="34"/>
        <v>6</v>
      </c>
      <c r="M141" s="9">
        <f t="shared" si="35"/>
        <v>0</v>
      </c>
      <c r="N141">
        <f t="shared" si="36"/>
        <v>0</v>
      </c>
      <c r="O141">
        <f t="shared" si="37"/>
        <v>-490.20000000000073</v>
      </c>
      <c r="R141" s="29">
        <v>-16179</v>
      </c>
    </row>
    <row r="142" spans="1:18">
      <c r="A142" s="6">
        <v>44867</v>
      </c>
      <c r="B142" s="1" t="s">
        <v>123</v>
      </c>
      <c r="C142">
        <v>23</v>
      </c>
      <c r="D142">
        <v>49.7</v>
      </c>
      <c r="E142" s="29">
        <v>53.28</v>
      </c>
      <c r="F142">
        <v>49</v>
      </c>
      <c r="G142" s="21">
        <f t="shared" si="38"/>
        <v>6.1142857142856908</v>
      </c>
      <c r="H142" s="6">
        <v>44874</v>
      </c>
      <c r="I142" s="29">
        <v>49.87</v>
      </c>
      <c r="J142" s="30">
        <f t="shared" si="32"/>
        <v>3.4205231388328983E-3</v>
      </c>
      <c r="K142" s="35">
        <f t="shared" si="33"/>
        <v>3.9099999999998545</v>
      </c>
      <c r="L142" s="24">
        <f t="shared" si="34"/>
        <v>7</v>
      </c>
      <c r="M142" s="52">
        <f t="shared" si="35"/>
        <v>1</v>
      </c>
      <c r="N142" s="24">
        <f t="shared" si="36"/>
        <v>3.9099999999998545</v>
      </c>
      <c r="O142">
        <f t="shared" si="37"/>
        <v>0</v>
      </c>
    </row>
    <row r="143" spans="1:18">
      <c r="A143" s="6">
        <v>44867</v>
      </c>
      <c r="B143" s="1" t="s">
        <v>13</v>
      </c>
      <c r="C143">
        <v>170</v>
      </c>
      <c r="D143">
        <v>6.71</v>
      </c>
      <c r="E143" s="29">
        <v>7</v>
      </c>
      <c r="F143">
        <v>6.57</v>
      </c>
      <c r="G143" s="21">
        <f t="shared" si="38"/>
        <v>3.0714285714285765</v>
      </c>
      <c r="H143" s="6">
        <v>44869</v>
      </c>
      <c r="I143" s="16">
        <v>6.69</v>
      </c>
      <c r="J143" s="25">
        <f t="shared" si="32"/>
        <v>-2.9806259314455463E-3</v>
      </c>
      <c r="K143" s="36">
        <f t="shared" si="33"/>
        <v>-3.4000000000000909</v>
      </c>
      <c r="L143" s="24">
        <f t="shared" si="34"/>
        <v>2</v>
      </c>
      <c r="M143" s="9">
        <f t="shared" si="35"/>
        <v>0</v>
      </c>
      <c r="N143">
        <f t="shared" si="36"/>
        <v>0</v>
      </c>
      <c r="O143">
        <f t="shared" si="37"/>
        <v>-3.4000000000000909</v>
      </c>
    </row>
    <row r="144" spans="1:18">
      <c r="A144" s="6">
        <v>44867</v>
      </c>
      <c r="B144" s="1" t="s">
        <v>81</v>
      </c>
      <c r="C144">
        <v>132</v>
      </c>
      <c r="D144">
        <v>62.04</v>
      </c>
      <c r="E144" s="29">
        <v>70</v>
      </c>
      <c r="F144">
        <v>61.23</v>
      </c>
      <c r="G144" s="21">
        <f xml:space="preserve"> (E144 - F144)/(D144-F144)</f>
        <v>10.827160493827133</v>
      </c>
      <c r="H144" s="6">
        <v>44874</v>
      </c>
      <c r="I144" s="29">
        <v>64.260000000000005</v>
      </c>
      <c r="J144" s="30">
        <f t="shared" si="32"/>
        <v>3.578336557059969E-2</v>
      </c>
      <c r="K144" s="35">
        <f t="shared" si="33"/>
        <v>293.04000000000178</v>
      </c>
      <c r="L144" s="21">
        <f t="shared" si="34"/>
        <v>7</v>
      </c>
      <c r="M144" s="9">
        <f t="shared" si="35"/>
        <v>1</v>
      </c>
      <c r="N144">
        <f t="shared" si="36"/>
        <v>293.04000000000178</v>
      </c>
      <c r="O144">
        <f t="shared" si="37"/>
        <v>0</v>
      </c>
    </row>
    <row r="145" spans="1:18">
      <c r="A145" s="6">
        <v>44867</v>
      </c>
      <c r="B145" s="1" t="s">
        <v>81</v>
      </c>
      <c r="C145">
        <v>8</v>
      </c>
      <c r="D145">
        <v>62.04</v>
      </c>
      <c r="E145" s="29">
        <v>70</v>
      </c>
      <c r="F145">
        <v>61.23</v>
      </c>
      <c r="G145" s="21">
        <f t="shared" si="38"/>
        <v>10.827160493827133</v>
      </c>
      <c r="H145" s="6">
        <v>44872</v>
      </c>
      <c r="I145" s="29">
        <v>65.772999999999996</v>
      </c>
      <c r="J145" s="30">
        <f t="shared" si="32"/>
        <v>6.0170857511282927E-2</v>
      </c>
      <c r="K145" s="35">
        <f t="shared" si="33"/>
        <v>29.863999999999976</v>
      </c>
      <c r="L145" s="21">
        <f t="shared" si="34"/>
        <v>5</v>
      </c>
      <c r="M145" s="9">
        <f t="shared" si="35"/>
        <v>1</v>
      </c>
      <c r="N145">
        <f t="shared" si="36"/>
        <v>29.863999999999976</v>
      </c>
      <c r="O145">
        <f t="shared" si="37"/>
        <v>0</v>
      </c>
    </row>
    <row r="146" spans="1:18">
      <c r="A146" s="6">
        <v>44867</v>
      </c>
      <c r="B146" s="1" t="s">
        <v>117</v>
      </c>
      <c r="C146">
        <v>141</v>
      </c>
      <c r="D146">
        <v>64.569999999999993</v>
      </c>
      <c r="E146" s="29">
        <v>76.62</v>
      </c>
      <c r="F146">
        <v>60</v>
      </c>
      <c r="G146" s="21">
        <f xml:space="preserve"> (E146 - F146)/(D146-F146)</f>
        <v>3.6367614879649954</v>
      </c>
      <c r="H146" s="6">
        <v>44874</v>
      </c>
      <c r="I146" s="29">
        <v>65.17</v>
      </c>
      <c r="J146" s="30">
        <f t="shared" si="32"/>
        <v>9.2922409787827842E-3</v>
      </c>
      <c r="K146" s="35">
        <f t="shared" si="33"/>
        <v>84.600000000000364</v>
      </c>
      <c r="L146" s="21">
        <f t="shared" si="34"/>
        <v>7</v>
      </c>
      <c r="M146" s="9">
        <f t="shared" si="35"/>
        <v>1</v>
      </c>
      <c r="N146">
        <f t="shared" si="36"/>
        <v>84.600000000000364</v>
      </c>
      <c r="O146">
        <f t="shared" si="37"/>
        <v>0</v>
      </c>
    </row>
    <row r="147" spans="1:18">
      <c r="A147" s="6">
        <v>44867</v>
      </c>
      <c r="B147" s="1" t="s">
        <v>117</v>
      </c>
      <c r="C147">
        <v>11</v>
      </c>
      <c r="D147">
        <v>64.569999999999993</v>
      </c>
      <c r="E147" s="29">
        <v>76.62</v>
      </c>
      <c r="F147">
        <v>60</v>
      </c>
      <c r="G147" s="21">
        <f t="shared" si="38"/>
        <v>3.6367614879649954</v>
      </c>
      <c r="H147" s="6">
        <v>44872</v>
      </c>
      <c r="I147" s="29">
        <v>69.63</v>
      </c>
      <c r="J147" s="30">
        <f t="shared" si="32"/>
        <v>7.8364565587734303E-2</v>
      </c>
      <c r="K147" s="35">
        <f t="shared" si="33"/>
        <v>55.659999999999968</v>
      </c>
      <c r="L147" s="21">
        <f t="shared" si="34"/>
        <v>5</v>
      </c>
      <c r="M147" s="9">
        <f t="shared" si="35"/>
        <v>1</v>
      </c>
      <c r="N147">
        <f t="shared" si="36"/>
        <v>55.659999999999968</v>
      </c>
      <c r="O147">
        <f t="shared" si="37"/>
        <v>0</v>
      </c>
    </row>
    <row r="148" spans="1:18">
      <c r="A148" s="6">
        <v>44867</v>
      </c>
      <c r="B148" s="1" t="s">
        <v>296</v>
      </c>
      <c r="C148">
        <v>170</v>
      </c>
      <c r="D148">
        <v>58.37</v>
      </c>
      <c r="E148" s="29">
        <v>65</v>
      </c>
      <c r="F148">
        <v>58</v>
      </c>
      <c r="G148" s="21">
        <f t="shared" si="38"/>
        <v>18.918918918919051</v>
      </c>
      <c r="H148" s="6">
        <v>44868</v>
      </c>
      <c r="I148" s="29">
        <v>61</v>
      </c>
      <c r="J148" s="30">
        <f t="shared" si="32"/>
        <v>4.5057392496145265E-2</v>
      </c>
      <c r="K148" s="35">
        <f t="shared" si="33"/>
        <v>447.10000000000036</v>
      </c>
      <c r="L148" s="21">
        <f t="shared" si="34"/>
        <v>1</v>
      </c>
      <c r="M148" s="9">
        <f t="shared" si="35"/>
        <v>1</v>
      </c>
      <c r="N148">
        <f t="shared" si="36"/>
        <v>447.10000000000036</v>
      </c>
      <c r="O148">
        <f t="shared" si="37"/>
        <v>0</v>
      </c>
      <c r="R148" s="16">
        <v>-17070</v>
      </c>
    </row>
    <row r="149" spans="1:18">
      <c r="A149" s="6">
        <v>44866</v>
      </c>
      <c r="B149" t="s">
        <v>163</v>
      </c>
      <c r="C149">
        <v>23</v>
      </c>
      <c r="D149">
        <v>51.28</v>
      </c>
      <c r="E149" s="29">
        <v>72</v>
      </c>
      <c r="F149">
        <v>47</v>
      </c>
      <c r="G149" s="21">
        <f xml:space="preserve"> (E149 - F149)/(D149-F149)</f>
        <v>5.8411214953271013</v>
      </c>
      <c r="H149" s="6">
        <v>44867</v>
      </c>
      <c r="I149" s="16">
        <v>47.16</v>
      </c>
      <c r="J149" s="25">
        <f t="shared" si="32"/>
        <v>-8.0343213728549245E-2</v>
      </c>
      <c r="K149" s="36">
        <f t="shared" si="33"/>
        <v>-94.760000000000218</v>
      </c>
      <c r="L149" s="24">
        <f t="shared" si="34"/>
        <v>1</v>
      </c>
      <c r="M149" s="9">
        <f t="shared" si="35"/>
        <v>0</v>
      </c>
      <c r="N149">
        <f t="shared" si="36"/>
        <v>0</v>
      </c>
      <c r="O149">
        <f t="shared" si="37"/>
        <v>-94.760000000000218</v>
      </c>
    </row>
    <row r="150" spans="1:18">
      <c r="A150" s="6">
        <v>44866</v>
      </c>
      <c r="B150" t="s">
        <v>311</v>
      </c>
      <c r="C150">
        <v>98</v>
      </c>
      <c r="D150">
        <v>10.39</v>
      </c>
      <c r="E150" s="29">
        <v>12.2</v>
      </c>
      <c r="F150">
        <v>9.2799999999999994</v>
      </c>
      <c r="G150" s="21">
        <f xml:space="preserve"> (E150 - F150)/(D150-F150)</f>
        <v>2.6306306306306277</v>
      </c>
      <c r="H150" s="6">
        <v>44867</v>
      </c>
      <c r="I150" s="16">
        <v>9.58</v>
      </c>
      <c r="J150" s="25">
        <f t="shared" si="32"/>
        <v>-7.7959576515880702E-2</v>
      </c>
      <c r="K150" s="36">
        <f t="shared" si="33"/>
        <v>-79.38</v>
      </c>
      <c r="L150" s="24">
        <f t="shared" si="34"/>
        <v>1</v>
      </c>
      <c r="M150" s="9">
        <f t="shared" si="35"/>
        <v>0</v>
      </c>
      <c r="N150">
        <f t="shared" si="36"/>
        <v>0</v>
      </c>
      <c r="O150">
        <f t="shared" si="37"/>
        <v>-79.38</v>
      </c>
    </row>
    <row r="151" spans="1:18">
      <c r="A151" s="6">
        <v>44865</v>
      </c>
      <c r="B151" t="s">
        <v>174</v>
      </c>
      <c r="C151">
        <v>26</v>
      </c>
      <c r="D151">
        <v>40.909999999999997</v>
      </c>
      <c r="E151" s="29">
        <v>43.52</v>
      </c>
      <c r="F151">
        <v>38.53</v>
      </c>
      <c r="G151" s="21">
        <f xml:space="preserve"> (E151 - F151)/(D151-F151)</f>
        <v>2.0966386554621899</v>
      </c>
      <c r="H151" s="6">
        <v>44872</v>
      </c>
      <c r="I151" s="16">
        <v>39.46</v>
      </c>
      <c r="J151" s="25">
        <f t="shared" si="32"/>
        <v>-3.54436568076264E-2</v>
      </c>
      <c r="K151" s="36">
        <f t="shared" si="33"/>
        <v>-37.699999999999818</v>
      </c>
      <c r="L151" s="24">
        <f t="shared" si="34"/>
        <v>7</v>
      </c>
      <c r="M151" s="9">
        <f>IF(J151&gt;0,1,0)</f>
        <v>0</v>
      </c>
      <c r="N151">
        <f>IF(K151&gt;0, K151, 0)</f>
        <v>0</v>
      </c>
      <c r="O151">
        <f>IF(K151&lt;0, K151, 0)</f>
        <v>-37.699999999999818</v>
      </c>
    </row>
    <row r="152" spans="1:18">
      <c r="A152" s="6">
        <v>44865</v>
      </c>
      <c r="B152" t="s">
        <v>17</v>
      </c>
      <c r="C152">
        <v>122</v>
      </c>
      <c r="D152">
        <v>73.209999999999994</v>
      </c>
      <c r="E152" s="29">
        <v>77.13</v>
      </c>
      <c r="F152">
        <v>66.8</v>
      </c>
      <c r="G152" s="21">
        <f xml:space="preserve"> (E152 - F152)/(D152-F152)</f>
        <v>1.6115444617784718</v>
      </c>
      <c r="H152" s="6">
        <v>44867</v>
      </c>
      <c r="I152" s="16">
        <v>71.5</v>
      </c>
      <c r="J152" s="25">
        <f t="shared" si="32"/>
        <v>-2.3357464827209351E-2</v>
      </c>
      <c r="K152" s="36">
        <f t="shared" si="33"/>
        <v>-208.61999999999898</v>
      </c>
      <c r="L152" s="24">
        <f t="shared" si="34"/>
        <v>2</v>
      </c>
      <c r="M152" s="9">
        <f t="shared" si="35"/>
        <v>0</v>
      </c>
      <c r="N152">
        <f t="shared" si="36"/>
        <v>0</v>
      </c>
      <c r="O152">
        <f t="shared" si="37"/>
        <v>-208.61999999999898</v>
      </c>
      <c r="R152" s="16">
        <v>-16225</v>
      </c>
    </row>
    <row r="153" spans="1:18">
      <c r="A153" s="6">
        <v>44862</v>
      </c>
      <c r="B153" t="s">
        <v>286</v>
      </c>
      <c r="C153">
        <v>44</v>
      </c>
      <c r="D153">
        <v>28.33</v>
      </c>
      <c r="E153">
        <v>29</v>
      </c>
      <c r="F153">
        <v>26</v>
      </c>
      <c r="G153" s="21">
        <f t="shared" ref="G153:G218" si="39" xml:space="preserve"> (E153 - F153)/(D153-F153)</f>
        <v>1.2875536480686705</v>
      </c>
      <c r="H153" s="6">
        <v>44865</v>
      </c>
      <c r="I153" s="16">
        <v>26</v>
      </c>
      <c r="J153" s="25">
        <f t="shared" si="32"/>
        <v>-8.224496999647013E-2</v>
      </c>
      <c r="K153" s="36">
        <f t="shared" si="33"/>
        <v>-102.51999999999998</v>
      </c>
      <c r="L153" s="24">
        <f t="shared" si="34"/>
        <v>3</v>
      </c>
      <c r="M153" s="9">
        <f t="shared" si="35"/>
        <v>0</v>
      </c>
      <c r="N153">
        <f t="shared" si="36"/>
        <v>0</v>
      </c>
      <c r="O153">
        <f t="shared" si="37"/>
        <v>-102.51999999999998</v>
      </c>
    </row>
    <row r="154" spans="1:18">
      <c r="A154" s="6">
        <v>44862</v>
      </c>
      <c r="B154" s="1" t="s">
        <v>314</v>
      </c>
      <c r="C154">
        <v>80</v>
      </c>
      <c r="D154">
        <v>99.64</v>
      </c>
      <c r="E154">
        <v>120</v>
      </c>
      <c r="F154">
        <v>97.66</v>
      </c>
      <c r="G154" s="21">
        <f t="shared" si="39"/>
        <v>11.282828282828262</v>
      </c>
      <c r="H154" s="6">
        <v>44867</v>
      </c>
      <c r="I154" s="16">
        <v>92.57</v>
      </c>
      <c r="J154" s="25">
        <f t="shared" si="32"/>
        <v>-7.095543958249706E-2</v>
      </c>
      <c r="K154" s="36">
        <f t="shared" si="33"/>
        <v>-565.60000000000036</v>
      </c>
      <c r="L154" s="24">
        <f t="shared" si="34"/>
        <v>5</v>
      </c>
      <c r="M154" s="9">
        <f t="shared" si="35"/>
        <v>0</v>
      </c>
      <c r="N154">
        <f t="shared" si="36"/>
        <v>0</v>
      </c>
      <c r="O154">
        <f t="shared" si="37"/>
        <v>-565.60000000000036</v>
      </c>
    </row>
    <row r="155" spans="1:18">
      <c r="A155" s="6">
        <v>44862</v>
      </c>
      <c r="B155" s="1" t="s">
        <v>61</v>
      </c>
      <c r="C155">
        <v>26</v>
      </c>
      <c r="D155">
        <v>354.78</v>
      </c>
      <c r="E155">
        <v>380</v>
      </c>
      <c r="F155">
        <v>350</v>
      </c>
      <c r="G155" s="21">
        <f t="shared" si="39"/>
        <v>6.2761506276150989</v>
      </c>
      <c r="H155" s="6">
        <v>44869</v>
      </c>
      <c r="I155" s="16">
        <v>327.06</v>
      </c>
      <c r="J155" s="25">
        <f t="shared" si="32"/>
        <v>-7.8132927447995826E-2</v>
      </c>
      <c r="K155" s="36">
        <f t="shared" si="33"/>
        <v>-720.71999999999935</v>
      </c>
      <c r="L155" s="24">
        <f t="shared" si="34"/>
        <v>7</v>
      </c>
      <c r="M155" s="9">
        <f t="shared" si="35"/>
        <v>0</v>
      </c>
      <c r="N155">
        <f t="shared" si="36"/>
        <v>0</v>
      </c>
      <c r="O155">
        <f t="shared" si="37"/>
        <v>-720.71999999999935</v>
      </c>
    </row>
    <row r="156" spans="1:18">
      <c r="A156" s="6">
        <v>44862</v>
      </c>
      <c r="B156" s="1" t="s">
        <v>149</v>
      </c>
      <c r="C156">
        <v>190</v>
      </c>
      <c r="D156">
        <v>41.39</v>
      </c>
      <c r="E156">
        <v>45</v>
      </c>
      <c r="F156">
        <v>40.630000000000003</v>
      </c>
      <c r="G156" s="21">
        <f xml:space="preserve"> (E156 - F156)/(D156-F156)</f>
        <v>5.7500000000000115</v>
      </c>
      <c r="H156" s="6">
        <v>44888</v>
      </c>
      <c r="I156" s="29">
        <v>42.61</v>
      </c>
      <c r="J156" s="30">
        <f t="shared" si="32"/>
        <v>2.9475718772650428E-2</v>
      </c>
      <c r="K156" s="35">
        <f t="shared" si="33"/>
        <v>231.79999999999927</v>
      </c>
      <c r="L156" s="24">
        <f t="shared" si="34"/>
        <v>26</v>
      </c>
      <c r="M156" s="9">
        <f>IF(J156&gt;0,1,0)</f>
        <v>1</v>
      </c>
      <c r="N156">
        <f>IF(K156&gt;0, K156, 0)</f>
        <v>231.79999999999927</v>
      </c>
      <c r="O156">
        <f>IF(K156&lt;0, K156, 0)</f>
        <v>0</v>
      </c>
    </row>
    <row r="157" spans="1:18">
      <c r="A157" s="6">
        <v>44862</v>
      </c>
      <c r="B157" s="1" t="s">
        <v>149</v>
      </c>
      <c r="C157">
        <v>4</v>
      </c>
      <c r="D157">
        <v>41.39</v>
      </c>
      <c r="E157">
        <v>45</v>
      </c>
      <c r="F157">
        <v>40.630000000000003</v>
      </c>
      <c r="G157" s="21">
        <f t="shared" si="39"/>
        <v>5.7500000000000115</v>
      </c>
      <c r="H157" s="6">
        <v>44872</v>
      </c>
      <c r="I157" s="16">
        <v>40</v>
      </c>
      <c r="J157" s="25">
        <f>I157/D157 -1</f>
        <v>-3.3582991060642664E-2</v>
      </c>
      <c r="K157" s="36">
        <f>(C157*I157) - (C157*D157)</f>
        <v>-5.5600000000000023</v>
      </c>
      <c r="L157" s="24">
        <f t="shared" si="34"/>
        <v>10</v>
      </c>
      <c r="M157" s="9">
        <f>IF(J157&gt;0,1,0)</f>
        <v>0</v>
      </c>
      <c r="N157">
        <f>IF(K157&gt;0, K157, 0)</f>
        <v>0</v>
      </c>
      <c r="O157">
        <f>IF(K157&lt;0, K157, 0)</f>
        <v>-5.5600000000000023</v>
      </c>
    </row>
    <row r="158" spans="1:18">
      <c r="A158" s="6">
        <v>44862</v>
      </c>
      <c r="B158" s="1" t="s">
        <v>114</v>
      </c>
      <c r="C158">
        <v>296</v>
      </c>
      <c r="D158">
        <v>28.85</v>
      </c>
      <c r="E158">
        <v>31.8</v>
      </c>
      <c r="F158">
        <v>27.5</v>
      </c>
      <c r="G158" s="21">
        <f t="shared" si="39"/>
        <v>3.1851851851851825</v>
      </c>
      <c r="H158" s="6">
        <v>44869</v>
      </c>
      <c r="I158" s="16">
        <v>27.18</v>
      </c>
      <c r="J158" s="25">
        <f t="shared" ref="J158:J221" si="40">I158/D158 -1</f>
        <v>-5.7885615251299871E-2</v>
      </c>
      <c r="K158" s="36">
        <f t="shared" ref="K158:K221" si="41">(C158*I158) - (C158*D158)</f>
        <v>-494.32000000000062</v>
      </c>
      <c r="L158" s="24">
        <f t="shared" si="34"/>
        <v>7</v>
      </c>
      <c r="M158" s="9">
        <f>IF(J158&gt;0,1,0)</f>
        <v>0</v>
      </c>
      <c r="N158">
        <f>IF(K158&gt;0, K158, 0)</f>
        <v>0</v>
      </c>
      <c r="O158">
        <f>IF(K158&lt;0, K158, 0)</f>
        <v>-494.32000000000062</v>
      </c>
      <c r="R158" s="28">
        <v>-16215</v>
      </c>
    </row>
    <row r="159" spans="1:18">
      <c r="A159" s="6">
        <v>44861</v>
      </c>
      <c r="B159" s="1" t="s">
        <v>235</v>
      </c>
      <c r="C159">
        <v>3</v>
      </c>
      <c r="D159">
        <v>470.39</v>
      </c>
      <c r="E159">
        <v>529</v>
      </c>
      <c r="F159">
        <v>430</v>
      </c>
      <c r="G159" s="21">
        <f t="shared" si="39"/>
        <v>2.4511017578608576</v>
      </c>
      <c r="H159" s="6">
        <v>44868</v>
      </c>
      <c r="I159" s="16">
        <v>450.15</v>
      </c>
      <c r="J159" s="25">
        <f t="shared" si="40"/>
        <v>-4.302812559790814E-2</v>
      </c>
      <c r="K159" s="36">
        <f t="shared" si="41"/>
        <v>-60.720000000000255</v>
      </c>
      <c r="L159" s="24">
        <f t="shared" si="34"/>
        <v>7</v>
      </c>
      <c r="M159" s="9">
        <f t="shared" si="35"/>
        <v>0</v>
      </c>
      <c r="N159">
        <f t="shared" si="36"/>
        <v>0</v>
      </c>
      <c r="O159">
        <f t="shared" si="37"/>
        <v>-60.720000000000255</v>
      </c>
    </row>
    <row r="160" spans="1:18">
      <c r="A160" s="6">
        <v>44861</v>
      </c>
      <c r="B160" s="1" t="s">
        <v>168</v>
      </c>
      <c r="C160">
        <v>98</v>
      </c>
      <c r="D160">
        <v>78.63</v>
      </c>
      <c r="E160">
        <v>108</v>
      </c>
      <c r="F160">
        <v>74</v>
      </c>
      <c r="G160" s="21">
        <f t="shared" si="39"/>
        <v>7.343412526997847</v>
      </c>
      <c r="H160" s="6">
        <v>44868</v>
      </c>
      <c r="I160" s="16">
        <v>78.010000000000005</v>
      </c>
      <c r="J160" s="25">
        <f t="shared" si="40"/>
        <v>-7.8850311585907384E-3</v>
      </c>
      <c r="K160" s="36">
        <f t="shared" si="41"/>
        <v>-60.759999999999309</v>
      </c>
      <c r="L160" s="24">
        <f t="shared" si="34"/>
        <v>7</v>
      </c>
      <c r="M160" s="9">
        <f t="shared" si="35"/>
        <v>0</v>
      </c>
      <c r="N160">
        <f t="shared" si="36"/>
        <v>0</v>
      </c>
      <c r="O160">
        <f t="shared" si="37"/>
        <v>-60.759999999999309</v>
      </c>
    </row>
    <row r="161" spans="1:18">
      <c r="A161" s="6">
        <v>44861</v>
      </c>
      <c r="B161" s="1" t="s">
        <v>17</v>
      </c>
      <c r="C161">
        <v>98</v>
      </c>
      <c r="D161">
        <v>73.67</v>
      </c>
      <c r="E161">
        <v>80</v>
      </c>
      <c r="F161">
        <v>71.5</v>
      </c>
      <c r="G161" s="21">
        <f t="shared" si="39"/>
        <v>3.9170506912442367</v>
      </c>
      <c r="H161" s="6">
        <v>44862</v>
      </c>
      <c r="I161" s="16">
        <v>70.400000000000006</v>
      </c>
      <c r="J161" s="25">
        <f t="shared" si="40"/>
        <v>-4.4387131803990676E-2</v>
      </c>
      <c r="K161" s="36">
        <f t="shared" si="41"/>
        <v>-320.45999999999913</v>
      </c>
      <c r="L161" s="24">
        <f t="shared" si="34"/>
        <v>1</v>
      </c>
      <c r="M161" s="9">
        <f t="shared" si="35"/>
        <v>0</v>
      </c>
      <c r="N161">
        <f t="shared" si="36"/>
        <v>0</v>
      </c>
      <c r="O161">
        <f t="shared" si="37"/>
        <v>-320.45999999999913</v>
      </c>
      <c r="R161" s="28">
        <v>-16281</v>
      </c>
    </row>
    <row r="162" spans="1:18">
      <c r="A162" s="6">
        <v>44861</v>
      </c>
      <c r="B162" s="1" t="s">
        <v>296</v>
      </c>
      <c r="C162">
        <v>197</v>
      </c>
      <c r="D162">
        <v>54.88</v>
      </c>
      <c r="E162">
        <v>60</v>
      </c>
      <c r="F162">
        <v>54</v>
      </c>
      <c r="G162" s="21">
        <f t="shared" si="39"/>
        <v>6.8181818181817988</v>
      </c>
      <c r="H162" s="6">
        <v>44862</v>
      </c>
      <c r="I162" s="16">
        <v>53.05</v>
      </c>
      <c r="J162" s="25">
        <f t="shared" si="40"/>
        <v>-3.3345481049562808E-2</v>
      </c>
      <c r="K162" s="36">
        <f t="shared" si="41"/>
        <v>-360.51000000000204</v>
      </c>
      <c r="L162" s="24">
        <f t="shared" si="34"/>
        <v>1</v>
      </c>
      <c r="M162" s="9">
        <f t="shared" si="35"/>
        <v>0</v>
      </c>
      <c r="N162">
        <f t="shared" si="36"/>
        <v>0</v>
      </c>
      <c r="O162">
        <f t="shared" si="37"/>
        <v>-360.51000000000204</v>
      </c>
    </row>
    <row r="163" spans="1:18">
      <c r="A163" s="6">
        <v>44860</v>
      </c>
      <c r="B163" t="s">
        <v>129</v>
      </c>
      <c r="C163">
        <v>17</v>
      </c>
      <c r="D163">
        <v>500.55</v>
      </c>
      <c r="E163">
        <v>540</v>
      </c>
      <c r="F163">
        <v>481</v>
      </c>
      <c r="G163" s="21">
        <f t="shared" si="39"/>
        <v>3.0179028132992309</v>
      </c>
      <c r="H163" s="6">
        <v>44867</v>
      </c>
      <c r="I163" s="16">
        <v>485.84</v>
      </c>
      <c r="J163" s="25">
        <f t="shared" si="40"/>
        <v>-2.9387673559085115E-2</v>
      </c>
      <c r="K163" s="36">
        <f t="shared" si="41"/>
        <v>-250.07000000000153</v>
      </c>
      <c r="L163" s="24">
        <f t="shared" si="34"/>
        <v>7</v>
      </c>
      <c r="M163" s="9">
        <f t="shared" si="35"/>
        <v>0</v>
      </c>
      <c r="N163">
        <f t="shared" si="36"/>
        <v>0</v>
      </c>
      <c r="O163">
        <f t="shared" si="37"/>
        <v>-250.07000000000153</v>
      </c>
      <c r="R163" s="28">
        <v>-16669</v>
      </c>
    </row>
    <row r="164" spans="1:18">
      <c r="A164" s="6">
        <v>44859</v>
      </c>
      <c r="B164" t="s">
        <v>87</v>
      </c>
      <c r="C164">
        <v>35</v>
      </c>
      <c r="D164">
        <v>218.1</v>
      </c>
      <c r="E164">
        <v>288</v>
      </c>
      <c r="F164">
        <v>202</v>
      </c>
      <c r="G164" s="21">
        <f t="shared" si="39"/>
        <v>5.3416149068322998</v>
      </c>
      <c r="H164" s="6">
        <v>44862</v>
      </c>
      <c r="I164" s="29">
        <v>221.43</v>
      </c>
      <c r="J164" s="30">
        <f t="shared" si="40"/>
        <v>1.5268225584594175E-2</v>
      </c>
      <c r="K164" s="35">
        <f t="shared" si="41"/>
        <v>116.55000000000018</v>
      </c>
      <c r="L164" s="21">
        <f t="shared" si="34"/>
        <v>3</v>
      </c>
      <c r="M164" s="9">
        <f t="shared" si="35"/>
        <v>1</v>
      </c>
      <c r="N164">
        <f t="shared" si="36"/>
        <v>116.55000000000018</v>
      </c>
      <c r="O164">
        <f t="shared" si="37"/>
        <v>0</v>
      </c>
    </row>
    <row r="165" spans="1:18">
      <c r="A165" s="6">
        <v>44859</v>
      </c>
      <c r="B165" t="s">
        <v>287</v>
      </c>
      <c r="C165">
        <v>368</v>
      </c>
      <c r="D165">
        <v>22.52</v>
      </c>
      <c r="E165">
        <v>25</v>
      </c>
      <c r="F165">
        <v>22</v>
      </c>
      <c r="G165" s="21">
        <f t="shared" si="39"/>
        <v>5.7692307692307736</v>
      </c>
      <c r="H165" s="6">
        <v>44860</v>
      </c>
      <c r="I165" s="16">
        <v>21.04</v>
      </c>
      <c r="J165" s="25">
        <f t="shared" si="40"/>
        <v>-6.5719360568383678E-2</v>
      </c>
      <c r="K165" s="36">
        <f t="shared" si="41"/>
        <v>-544.64000000000124</v>
      </c>
      <c r="L165" s="24">
        <f t="shared" si="34"/>
        <v>1</v>
      </c>
      <c r="M165" s="9">
        <f t="shared" si="35"/>
        <v>0</v>
      </c>
      <c r="N165">
        <f t="shared" si="36"/>
        <v>0</v>
      </c>
      <c r="O165">
        <f t="shared" si="37"/>
        <v>-544.64000000000124</v>
      </c>
      <c r="R165" s="28">
        <v>-16868</v>
      </c>
    </row>
    <row r="166" spans="1:18">
      <c r="A166" s="6">
        <v>44858</v>
      </c>
      <c r="B166" s="1" t="s">
        <v>22</v>
      </c>
      <c r="C166">
        <v>35</v>
      </c>
      <c r="D166">
        <v>32.56</v>
      </c>
      <c r="E166">
        <v>40</v>
      </c>
      <c r="F166">
        <v>30.45</v>
      </c>
      <c r="G166" s="21">
        <f t="shared" si="39"/>
        <v>4.5260663507108942</v>
      </c>
      <c r="H166" s="6">
        <v>44862</v>
      </c>
      <c r="I166" s="29">
        <v>33.130000000000003</v>
      </c>
      <c r="J166" s="30">
        <f t="shared" si="40"/>
        <v>1.7506142506142464E-2</v>
      </c>
      <c r="K166" s="35">
        <f t="shared" si="41"/>
        <v>19.950000000000045</v>
      </c>
      <c r="L166" s="24">
        <f t="shared" si="34"/>
        <v>4</v>
      </c>
      <c r="M166" s="9">
        <f t="shared" si="35"/>
        <v>1</v>
      </c>
      <c r="N166">
        <f t="shared" si="36"/>
        <v>19.950000000000045</v>
      </c>
      <c r="O166">
        <f t="shared" si="37"/>
        <v>0</v>
      </c>
    </row>
    <row r="167" spans="1:18">
      <c r="A167" s="6">
        <v>44858</v>
      </c>
      <c r="B167" s="1" t="s">
        <v>137</v>
      </c>
      <c r="C167">
        <v>42</v>
      </c>
      <c r="D167">
        <v>26.91</v>
      </c>
      <c r="E167">
        <v>31.53</v>
      </c>
      <c r="F167">
        <v>25.25</v>
      </c>
      <c r="G167" s="21">
        <f xml:space="preserve"> (E167 - F167)/(D167-F167)</f>
        <v>3.7831325301204823</v>
      </c>
      <c r="H167" s="6">
        <v>44881</v>
      </c>
      <c r="I167" s="29">
        <v>29.17</v>
      </c>
      <c r="J167" s="30">
        <f t="shared" si="40"/>
        <v>8.3983649201040622E-2</v>
      </c>
      <c r="K167" s="35">
        <f t="shared" si="41"/>
        <v>94.920000000000073</v>
      </c>
      <c r="L167" s="24">
        <f t="shared" si="34"/>
        <v>23</v>
      </c>
      <c r="M167" s="9">
        <f>IF(J167&gt;0,1,0)</f>
        <v>1</v>
      </c>
      <c r="N167">
        <f>IF(K167&gt;0, K167, 0)</f>
        <v>94.920000000000073</v>
      </c>
      <c r="O167">
        <f>IF(K167&lt;0, K167, 0)</f>
        <v>0</v>
      </c>
    </row>
    <row r="168" spans="1:18">
      <c r="A168" s="6">
        <v>44858</v>
      </c>
      <c r="B168" s="1" t="s">
        <v>137</v>
      </c>
      <c r="C168">
        <v>2</v>
      </c>
      <c r="D168">
        <v>26.91</v>
      </c>
      <c r="E168">
        <v>31.53</v>
      </c>
      <c r="F168">
        <v>25.25</v>
      </c>
      <c r="G168" s="21">
        <f t="shared" si="39"/>
        <v>3.7831325301204823</v>
      </c>
      <c r="H168" s="6">
        <v>44872</v>
      </c>
      <c r="I168" s="29">
        <v>28.84</v>
      </c>
      <c r="J168" s="30">
        <f t="shared" si="40"/>
        <v>7.1720549981419524E-2</v>
      </c>
      <c r="K168" s="35">
        <f t="shared" si="41"/>
        <v>3.8599999999999994</v>
      </c>
      <c r="L168" s="21">
        <f t="shared" si="34"/>
        <v>14</v>
      </c>
      <c r="M168" s="9">
        <f>IF(J168&gt;0,1,0)</f>
        <v>1</v>
      </c>
      <c r="N168">
        <f>IF(K168&gt;0, K168, 0)</f>
        <v>3.8599999999999994</v>
      </c>
      <c r="O168">
        <f>IF(K168&lt;0, K168, 0)</f>
        <v>0</v>
      </c>
    </row>
    <row r="169" spans="1:18">
      <c r="A169" s="6">
        <v>44858</v>
      </c>
      <c r="B169" s="1" t="s">
        <v>228</v>
      </c>
      <c r="C169">
        <v>8</v>
      </c>
      <c r="D169">
        <v>134.19</v>
      </c>
      <c r="E169">
        <v>178</v>
      </c>
      <c r="F169">
        <v>125</v>
      </c>
      <c r="G169" s="21">
        <f t="shared" si="39"/>
        <v>5.767138193688794</v>
      </c>
      <c r="H169" s="6">
        <v>44861</v>
      </c>
      <c r="I169" s="29">
        <v>135.19</v>
      </c>
      <c r="J169" s="30">
        <f t="shared" si="40"/>
        <v>7.4521201281765315E-3</v>
      </c>
      <c r="K169" s="35">
        <f t="shared" si="41"/>
        <v>8</v>
      </c>
      <c r="L169" s="21">
        <f t="shared" si="34"/>
        <v>3</v>
      </c>
      <c r="M169" s="9">
        <f t="shared" si="35"/>
        <v>1</v>
      </c>
      <c r="N169">
        <f t="shared" si="36"/>
        <v>8</v>
      </c>
      <c r="O169">
        <f t="shared" si="37"/>
        <v>0</v>
      </c>
    </row>
    <row r="170" spans="1:18">
      <c r="A170" s="6">
        <v>44855</v>
      </c>
      <c r="B170" t="s">
        <v>233</v>
      </c>
      <c r="C170">
        <v>3</v>
      </c>
      <c r="D170">
        <v>262.54000000000002</v>
      </c>
      <c r="E170">
        <v>307</v>
      </c>
      <c r="F170">
        <v>213</v>
      </c>
      <c r="G170" s="21">
        <f t="shared" si="39"/>
        <v>1.8974566007266847</v>
      </c>
      <c r="H170" s="6">
        <v>44862</v>
      </c>
      <c r="I170" s="29">
        <v>277.45999999999998</v>
      </c>
      <c r="J170" s="30">
        <f t="shared" si="40"/>
        <v>5.6829435514588189E-2</v>
      </c>
      <c r="K170" s="35">
        <f t="shared" si="41"/>
        <v>44.759999999999764</v>
      </c>
      <c r="L170" s="21">
        <f t="shared" si="34"/>
        <v>7</v>
      </c>
      <c r="M170" s="9">
        <f t="shared" si="35"/>
        <v>1</v>
      </c>
      <c r="N170">
        <f t="shared" si="36"/>
        <v>44.759999999999764</v>
      </c>
      <c r="O170">
        <f t="shared" si="37"/>
        <v>0</v>
      </c>
    </row>
    <row r="171" spans="1:18">
      <c r="A171" s="6">
        <v>44855</v>
      </c>
      <c r="B171" t="s">
        <v>21</v>
      </c>
      <c r="C171">
        <v>68</v>
      </c>
      <c r="D171">
        <v>148.55000000000001</v>
      </c>
      <c r="E171">
        <v>160</v>
      </c>
      <c r="F171">
        <v>140</v>
      </c>
      <c r="G171" s="21">
        <f t="shared" si="39"/>
        <v>2.3391812865497044</v>
      </c>
      <c r="H171" s="6">
        <v>44861</v>
      </c>
      <c r="I171" s="29">
        <v>153.74</v>
      </c>
      <c r="J171" s="30">
        <f t="shared" si="40"/>
        <v>3.4937731403567707E-2</v>
      </c>
      <c r="K171" s="35">
        <f t="shared" si="41"/>
        <v>352.91999999999825</v>
      </c>
      <c r="L171" s="21">
        <f t="shared" si="34"/>
        <v>6</v>
      </c>
      <c r="M171" s="9">
        <f t="shared" si="35"/>
        <v>1</v>
      </c>
      <c r="N171">
        <f t="shared" si="36"/>
        <v>352.91999999999825</v>
      </c>
      <c r="O171">
        <f t="shared" si="37"/>
        <v>0</v>
      </c>
      <c r="R171" s="16">
        <v>-17567</v>
      </c>
    </row>
    <row r="172" spans="1:18">
      <c r="A172" s="6">
        <v>44854</v>
      </c>
      <c r="B172" t="s">
        <v>162</v>
      </c>
      <c r="C172">
        <v>62</v>
      </c>
      <c r="D172">
        <v>17.14</v>
      </c>
      <c r="E172">
        <v>18.57</v>
      </c>
      <c r="F172">
        <v>16</v>
      </c>
      <c r="G172" s="21">
        <f t="shared" si="39"/>
        <v>2.2543859649122799</v>
      </c>
      <c r="H172" s="6">
        <v>44865</v>
      </c>
      <c r="I172" s="29">
        <v>18.190000000000001</v>
      </c>
      <c r="J172" s="30">
        <f t="shared" si="40"/>
        <v>6.1260210035005924E-2</v>
      </c>
      <c r="K172" s="35">
        <f t="shared" si="41"/>
        <v>65.099999999999909</v>
      </c>
      <c r="L172" s="24">
        <f t="shared" si="34"/>
        <v>11</v>
      </c>
      <c r="M172" s="9">
        <f t="shared" si="35"/>
        <v>1</v>
      </c>
      <c r="N172">
        <f t="shared" si="36"/>
        <v>65.099999999999909</v>
      </c>
      <c r="O172">
        <f t="shared" si="37"/>
        <v>0</v>
      </c>
    </row>
    <row r="173" spans="1:18">
      <c r="A173" s="6">
        <v>44854</v>
      </c>
      <c r="B173" t="s">
        <v>287</v>
      </c>
      <c r="C173">
        <v>503</v>
      </c>
      <c r="D173">
        <v>19.690000000000001</v>
      </c>
      <c r="E173">
        <v>22</v>
      </c>
      <c r="F173">
        <v>19</v>
      </c>
      <c r="G173" s="21">
        <f t="shared" si="39"/>
        <v>4.3478260869565135</v>
      </c>
      <c r="H173" s="6">
        <v>44855</v>
      </c>
      <c r="I173" s="16">
        <v>19.21</v>
      </c>
      <c r="J173" s="25">
        <f t="shared" si="40"/>
        <v>-2.4377856780091411E-2</v>
      </c>
      <c r="K173" s="36">
        <f t="shared" si="41"/>
        <v>-241.44000000000051</v>
      </c>
      <c r="L173" s="24">
        <f t="shared" si="34"/>
        <v>1</v>
      </c>
      <c r="M173" s="9">
        <f t="shared" si="35"/>
        <v>0</v>
      </c>
      <c r="N173">
        <f t="shared" si="36"/>
        <v>0</v>
      </c>
      <c r="O173">
        <f t="shared" si="37"/>
        <v>-241.44000000000051</v>
      </c>
    </row>
    <row r="174" spans="1:18">
      <c r="A174" s="6">
        <v>44853</v>
      </c>
      <c r="B174" t="s">
        <v>115</v>
      </c>
      <c r="C174">
        <v>80</v>
      </c>
      <c r="D174">
        <v>16.46</v>
      </c>
      <c r="E174">
        <v>20</v>
      </c>
      <c r="F174">
        <v>15.64</v>
      </c>
      <c r="G174" s="21">
        <f t="shared" si="39"/>
        <v>5.3170731707317049</v>
      </c>
      <c r="H174" s="6">
        <v>44883</v>
      </c>
      <c r="I174" s="29">
        <v>16.89</v>
      </c>
      <c r="J174" s="30">
        <f t="shared" si="40"/>
        <v>2.6123936816524918E-2</v>
      </c>
      <c r="K174" s="35">
        <f t="shared" si="41"/>
        <v>34.399999999999864</v>
      </c>
      <c r="L174" s="24">
        <f t="shared" si="34"/>
        <v>30</v>
      </c>
      <c r="M174" s="9">
        <f t="shared" si="35"/>
        <v>1</v>
      </c>
      <c r="N174">
        <f t="shared" si="36"/>
        <v>34.399999999999864</v>
      </c>
      <c r="O174">
        <f t="shared" si="37"/>
        <v>0</v>
      </c>
    </row>
    <row r="175" spans="1:18">
      <c r="A175" s="6">
        <v>44853</v>
      </c>
      <c r="B175" s="1" t="s">
        <v>60</v>
      </c>
      <c r="C175">
        <v>296</v>
      </c>
      <c r="D175">
        <v>30.75</v>
      </c>
      <c r="E175">
        <v>34</v>
      </c>
      <c r="F175">
        <v>29.04</v>
      </c>
      <c r="G175" s="21">
        <f t="shared" si="39"/>
        <v>2.9005847953216364</v>
      </c>
      <c r="H175" s="6">
        <v>44868</v>
      </c>
      <c r="I175" s="29">
        <v>32.659999999999997</v>
      </c>
      <c r="J175" s="30">
        <f t="shared" si="40"/>
        <v>6.2113821138211289E-2</v>
      </c>
      <c r="K175" s="35">
        <f t="shared" si="41"/>
        <v>565.35999999999876</v>
      </c>
      <c r="L175" s="21">
        <f t="shared" si="34"/>
        <v>15</v>
      </c>
      <c r="M175" s="9">
        <f t="shared" si="35"/>
        <v>1</v>
      </c>
      <c r="N175">
        <f t="shared" si="36"/>
        <v>565.35999999999876</v>
      </c>
      <c r="O175">
        <f t="shared" si="37"/>
        <v>0</v>
      </c>
    </row>
    <row r="176" spans="1:18">
      <c r="A176" s="6">
        <v>44853</v>
      </c>
      <c r="B176" s="1" t="s">
        <v>41</v>
      </c>
      <c r="C176">
        <v>89</v>
      </c>
      <c r="D176">
        <v>90.62</v>
      </c>
      <c r="E176">
        <v>100</v>
      </c>
      <c r="F176">
        <v>84.61</v>
      </c>
      <c r="G176" s="21">
        <f t="shared" si="39"/>
        <v>2.5607321131447565</v>
      </c>
      <c r="H176" s="6">
        <v>44862</v>
      </c>
      <c r="I176" s="29">
        <v>97</v>
      </c>
      <c r="J176" s="30">
        <f t="shared" si="40"/>
        <v>7.0403884352240098E-2</v>
      </c>
      <c r="K176" s="35">
        <f t="shared" si="41"/>
        <v>567.81999999999971</v>
      </c>
      <c r="L176" s="21">
        <f t="shared" si="34"/>
        <v>9</v>
      </c>
      <c r="M176" s="9">
        <f t="shared" si="35"/>
        <v>1</v>
      </c>
      <c r="N176">
        <f t="shared" si="36"/>
        <v>567.81999999999971</v>
      </c>
      <c r="O176">
        <f t="shared" si="37"/>
        <v>0</v>
      </c>
      <c r="R176" s="28">
        <v>-17326</v>
      </c>
    </row>
    <row r="177" spans="1:18">
      <c r="A177" s="6">
        <v>44853</v>
      </c>
      <c r="B177" s="1" t="s">
        <v>296</v>
      </c>
      <c r="C177">
        <v>170</v>
      </c>
      <c r="D177">
        <v>57.62</v>
      </c>
      <c r="E177">
        <v>60</v>
      </c>
      <c r="F177">
        <v>55</v>
      </c>
      <c r="G177" s="21">
        <f t="shared" si="39"/>
        <v>1.9083969465648873</v>
      </c>
      <c r="H177" s="6">
        <v>44854</v>
      </c>
      <c r="I177" s="16">
        <v>57.5</v>
      </c>
      <c r="J177" s="25">
        <f t="shared" si="40"/>
        <v>-2.0826102047899475E-3</v>
      </c>
      <c r="K177" s="36">
        <f t="shared" si="41"/>
        <v>-20.399999999999636</v>
      </c>
      <c r="L177" s="24">
        <f t="shared" si="34"/>
        <v>1</v>
      </c>
      <c r="M177" s="9">
        <f t="shared" si="35"/>
        <v>0</v>
      </c>
      <c r="N177">
        <f t="shared" si="36"/>
        <v>0</v>
      </c>
      <c r="O177">
        <f t="shared" si="37"/>
        <v>-20.399999999999636</v>
      </c>
      <c r="R177" s="16">
        <v>-17336</v>
      </c>
    </row>
    <row r="178" spans="1:18">
      <c r="A178" s="6">
        <v>44852</v>
      </c>
      <c r="B178" t="s">
        <v>81</v>
      </c>
      <c r="C178">
        <v>7</v>
      </c>
      <c r="D178">
        <v>60.68</v>
      </c>
      <c r="E178">
        <v>70</v>
      </c>
      <c r="F178">
        <v>54.93</v>
      </c>
      <c r="G178" s="21">
        <f t="shared" si="39"/>
        <v>2.6208695652173915</v>
      </c>
      <c r="H178" s="6">
        <v>44861</v>
      </c>
      <c r="I178" s="29">
        <v>64.180000000000007</v>
      </c>
      <c r="J178" s="30">
        <f t="shared" si="40"/>
        <v>5.7679630850362651E-2</v>
      </c>
      <c r="K178" s="35">
        <f t="shared" si="41"/>
        <v>24.500000000000057</v>
      </c>
      <c r="L178" s="21">
        <f t="shared" si="34"/>
        <v>9</v>
      </c>
      <c r="M178" s="9">
        <f t="shared" si="35"/>
        <v>1</v>
      </c>
      <c r="N178">
        <f t="shared" si="36"/>
        <v>24.500000000000057</v>
      </c>
      <c r="O178">
        <f t="shared" si="37"/>
        <v>0</v>
      </c>
      <c r="R178" s="16">
        <v>-17132</v>
      </c>
    </row>
    <row r="179" spans="1:18">
      <c r="A179" s="6">
        <v>44852</v>
      </c>
      <c r="B179" t="s">
        <v>198</v>
      </c>
      <c r="C179">
        <v>269</v>
      </c>
      <c r="D179">
        <v>29.21</v>
      </c>
      <c r="E179">
        <v>36.619999999999997</v>
      </c>
      <c r="F179">
        <v>26</v>
      </c>
      <c r="G179" s="21">
        <f t="shared" si="39"/>
        <v>3.3084112149532694</v>
      </c>
      <c r="H179" s="6">
        <v>44859</v>
      </c>
      <c r="I179" s="16">
        <v>29.15</v>
      </c>
      <c r="J179" s="25">
        <f t="shared" si="40"/>
        <v>-2.054091064704E-3</v>
      </c>
      <c r="K179" s="36">
        <f t="shared" si="41"/>
        <v>-16.140000000000327</v>
      </c>
      <c r="L179" s="24">
        <f t="shared" si="34"/>
        <v>7</v>
      </c>
      <c r="M179" s="9">
        <f t="shared" si="35"/>
        <v>0</v>
      </c>
      <c r="N179">
        <f t="shared" si="36"/>
        <v>0</v>
      </c>
      <c r="O179">
        <f t="shared" si="37"/>
        <v>-16.140000000000327</v>
      </c>
      <c r="R179" s="28">
        <v>-17117</v>
      </c>
    </row>
    <row r="180" spans="1:18">
      <c r="A180" s="6">
        <v>44852</v>
      </c>
      <c r="B180" s="1" t="s">
        <v>287</v>
      </c>
      <c r="C180">
        <v>503</v>
      </c>
      <c r="D180">
        <v>20.059999999999999</v>
      </c>
      <c r="E180">
        <v>22</v>
      </c>
      <c r="F180">
        <v>19</v>
      </c>
      <c r="G180" s="21">
        <f t="shared" si="39"/>
        <v>2.8301886792452864</v>
      </c>
      <c r="H180" s="6">
        <v>44853</v>
      </c>
      <c r="I180" s="16">
        <v>19.36</v>
      </c>
      <c r="J180" s="25">
        <f t="shared" si="40"/>
        <v>-3.4895314057826532E-2</v>
      </c>
      <c r="K180" s="36">
        <f t="shared" si="41"/>
        <v>-352.09999999999854</v>
      </c>
      <c r="L180" s="24">
        <f t="shared" si="34"/>
        <v>1</v>
      </c>
      <c r="M180" s="9">
        <f t="shared" si="35"/>
        <v>0</v>
      </c>
      <c r="N180">
        <f t="shared" si="36"/>
        <v>0</v>
      </c>
      <c r="O180">
        <f t="shared" si="37"/>
        <v>-352.09999999999854</v>
      </c>
      <c r="R180" s="28">
        <v>-17171</v>
      </c>
    </row>
    <row r="181" spans="1:18">
      <c r="A181" s="6">
        <v>44851</v>
      </c>
      <c r="B181" s="1" t="s">
        <v>231</v>
      </c>
      <c r="C181">
        <v>107</v>
      </c>
      <c r="D181">
        <v>83.78</v>
      </c>
      <c r="E181">
        <v>100</v>
      </c>
      <c r="F181">
        <v>79.349999999999994</v>
      </c>
      <c r="G181" s="21">
        <f t="shared" si="39"/>
        <v>4.6613995485327253</v>
      </c>
      <c r="H181" s="6">
        <v>44865</v>
      </c>
      <c r="I181" s="28">
        <v>84.04</v>
      </c>
      <c r="J181" s="30">
        <f t="shared" si="40"/>
        <v>3.1033659584627227E-3</v>
      </c>
      <c r="K181" s="35">
        <f t="shared" si="41"/>
        <v>27.819999999999709</v>
      </c>
      <c r="L181" s="24">
        <f t="shared" si="34"/>
        <v>14</v>
      </c>
      <c r="M181" s="9">
        <f t="shared" si="35"/>
        <v>1</v>
      </c>
      <c r="N181">
        <f t="shared" si="36"/>
        <v>27.819999999999709</v>
      </c>
      <c r="O181">
        <f t="shared" si="37"/>
        <v>0</v>
      </c>
    </row>
    <row r="182" spans="1:18">
      <c r="A182" s="6">
        <v>44851</v>
      </c>
      <c r="B182" s="1" t="s">
        <v>81</v>
      </c>
      <c r="C182">
        <v>134</v>
      </c>
      <c r="D182">
        <v>59.77</v>
      </c>
      <c r="E182">
        <v>70</v>
      </c>
      <c r="F182">
        <v>54.93</v>
      </c>
      <c r="G182" s="21">
        <f t="shared" si="39"/>
        <v>3.1136363636363615</v>
      </c>
      <c r="H182" s="6">
        <v>44860</v>
      </c>
      <c r="I182" s="28">
        <v>64.66</v>
      </c>
      <c r="J182" s="30">
        <f t="shared" si="40"/>
        <v>8.1813618872343952E-2</v>
      </c>
      <c r="K182" s="35">
        <f t="shared" si="41"/>
        <v>655.2599999999984</v>
      </c>
      <c r="L182" s="21">
        <f>H182-A178</f>
        <v>8</v>
      </c>
      <c r="M182" s="9">
        <f t="shared" si="35"/>
        <v>1</v>
      </c>
      <c r="N182">
        <f t="shared" si="36"/>
        <v>655.2599999999984</v>
      </c>
      <c r="O182">
        <f t="shared" si="37"/>
        <v>0</v>
      </c>
      <c r="R182" s="51">
        <v>-20100</v>
      </c>
    </row>
    <row r="183" spans="1:18">
      <c r="A183" s="6">
        <v>44848</v>
      </c>
      <c r="B183" s="1" t="s">
        <v>151</v>
      </c>
      <c r="C183">
        <v>140</v>
      </c>
      <c r="D183">
        <v>7.95</v>
      </c>
      <c r="E183">
        <v>10.119999999999999</v>
      </c>
      <c r="F183">
        <v>7.55</v>
      </c>
      <c r="G183" s="21">
        <f t="shared" si="39"/>
        <v>6.4249999999999927</v>
      </c>
      <c r="H183" s="6">
        <v>44854</v>
      </c>
      <c r="I183" s="29">
        <v>8.3000000000000007</v>
      </c>
      <c r="J183" s="30">
        <f t="shared" si="40"/>
        <v>4.4025157232704393E-2</v>
      </c>
      <c r="K183" s="35">
        <f t="shared" si="41"/>
        <v>49</v>
      </c>
      <c r="L183" s="21">
        <f t="shared" ref="L183:L246" si="42">H183-A183</f>
        <v>6</v>
      </c>
      <c r="M183" s="9">
        <f t="shared" si="35"/>
        <v>1</v>
      </c>
      <c r="N183">
        <f t="shared" si="36"/>
        <v>49</v>
      </c>
      <c r="O183">
        <f t="shared" si="37"/>
        <v>0</v>
      </c>
    </row>
    <row r="184" spans="1:18">
      <c r="A184" s="6">
        <v>44848</v>
      </c>
      <c r="B184" s="1" t="s">
        <v>87</v>
      </c>
      <c r="C184">
        <v>5</v>
      </c>
      <c r="D184">
        <v>205.77</v>
      </c>
      <c r="E184">
        <v>288</v>
      </c>
      <c r="F184">
        <v>194.75</v>
      </c>
      <c r="G184" s="21">
        <f t="shared" si="39"/>
        <v>8.461887477313967</v>
      </c>
      <c r="H184" s="6">
        <v>44852</v>
      </c>
      <c r="I184" s="29">
        <v>218.21</v>
      </c>
      <c r="J184" s="30">
        <f t="shared" si="40"/>
        <v>6.0455848763182107E-2</v>
      </c>
      <c r="K184" s="35">
        <f t="shared" si="41"/>
        <v>62.199999999999818</v>
      </c>
      <c r="L184" s="21">
        <f t="shared" si="42"/>
        <v>4</v>
      </c>
      <c r="M184" s="9">
        <f t="shared" si="35"/>
        <v>1</v>
      </c>
      <c r="N184">
        <f t="shared" si="36"/>
        <v>62.199999999999818</v>
      </c>
      <c r="O184">
        <f t="shared" si="37"/>
        <v>0</v>
      </c>
    </row>
    <row r="185" spans="1:18">
      <c r="A185" s="6">
        <v>44848</v>
      </c>
      <c r="B185" s="1" t="s">
        <v>232</v>
      </c>
      <c r="C185">
        <v>8</v>
      </c>
      <c r="D185">
        <v>155.99</v>
      </c>
      <c r="E185">
        <v>213</v>
      </c>
      <c r="F185">
        <v>141</v>
      </c>
      <c r="G185" s="21">
        <f t="shared" si="39"/>
        <v>4.8032021347565017</v>
      </c>
      <c r="H185" s="6">
        <v>44881</v>
      </c>
      <c r="I185" s="29">
        <v>169.69</v>
      </c>
      <c r="J185" s="30">
        <f t="shared" si="40"/>
        <v>8.7826142701455057E-2</v>
      </c>
      <c r="K185" s="35">
        <f t="shared" si="41"/>
        <v>109.59999999999991</v>
      </c>
      <c r="L185" s="21">
        <f t="shared" si="42"/>
        <v>33</v>
      </c>
      <c r="M185" s="9">
        <f t="shared" si="35"/>
        <v>1</v>
      </c>
      <c r="N185">
        <f t="shared" si="36"/>
        <v>109.59999999999991</v>
      </c>
      <c r="O185">
        <f t="shared" si="37"/>
        <v>0</v>
      </c>
    </row>
    <row r="186" spans="1:18">
      <c r="A186" s="6">
        <v>44848</v>
      </c>
      <c r="B186" s="1" t="s">
        <v>287</v>
      </c>
      <c r="C186">
        <v>521</v>
      </c>
      <c r="D186">
        <v>18.489999999999998</v>
      </c>
      <c r="E186">
        <v>22</v>
      </c>
      <c r="F186">
        <v>18</v>
      </c>
      <c r="G186" s="21">
        <f t="shared" si="39"/>
        <v>8.1632653061224758</v>
      </c>
      <c r="H186" s="6">
        <v>44852</v>
      </c>
      <c r="I186" s="29">
        <v>19.93</v>
      </c>
      <c r="J186" s="30">
        <f t="shared" si="40"/>
        <v>7.7879935100054087E-2</v>
      </c>
      <c r="K186" s="35">
        <f t="shared" si="41"/>
        <v>750.2400000000016</v>
      </c>
      <c r="L186" s="21">
        <f t="shared" si="42"/>
        <v>4</v>
      </c>
      <c r="M186" s="9">
        <f t="shared" si="35"/>
        <v>1</v>
      </c>
      <c r="N186">
        <f t="shared" si="36"/>
        <v>750.2400000000016</v>
      </c>
      <c r="O186">
        <f t="shared" si="37"/>
        <v>0</v>
      </c>
    </row>
    <row r="187" spans="1:18">
      <c r="A187" s="6">
        <v>44847</v>
      </c>
      <c r="B187" s="1" t="s">
        <v>40</v>
      </c>
      <c r="C187">
        <v>14</v>
      </c>
      <c r="D187">
        <v>93.95</v>
      </c>
      <c r="E187">
        <v>109</v>
      </c>
      <c r="F187">
        <v>90</v>
      </c>
      <c r="G187" s="21">
        <f t="shared" si="39"/>
        <v>4.8101265822784773</v>
      </c>
      <c r="H187" s="6">
        <v>44859</v>
      </c>
      <c r="I187" s="29">
        <v>100.4</v>
      </c>
      <c r="J187" s="30">
        <f t="shared" si="40"/>
        <v>6.8653539116551476E-2</v>
      </c>
      <c r="K187" s="35">
        <f t="shared" si="41"/>
        <v>90.300000000000182</v>
      </c>
      <c r="L187" s="21">
        <f t="shared" si="42"/>
        <v>12</v>
      </c>
      <c r="M187" s="9">
        <f t="shared" si="35"/>
        <v>1</v>
      </c>
      <c r="N187">
        <f t="shared" si="36"/>
        <v>90.300000000000182</v>
      </c>
      <c r="O187">
        <f t="shared" si="37"/>
        <v>0</v>
      </c>
    </row>
    <row r="188" spans="1:18">
      <c r="A188" s="6">
        <v>44847</v>
      </c>
      <c r="B188" s="1" t="s">
        <v>88</v>
      </c>
      <c r="C188">
        <v>98</v>
      </c>
      <c r="D188">
        <v>6.93</v>
      </c>
      <c r="E188">
        <v>8</v>
      </c>
      <c r="F188">
        <v>6.53</v>
      </c>
      <c r="G188" s="21">
        <f t="shared" si="39"/>
        <v>3.6750000000000043</v>
      </c>
      <c r="H188" s="6">
        <v>44853</v>
      </c>
      <c r="I188" s="16">
        <v>6.62</v>
      </c>
      <c r="J188" s="25">
        <f t="shared" si="40"/>
        <v>-4.4733044733044625E-2</v>
      </c>
      <c r="K188" s="36">
        <f t="shared" si="41"/>
        <v>-30.379999999999995</v>
      </c>
      <c r="L188" s="24">
        <f t="shared" si="42"/>
        <v>6</v>
      </c>
      <c r="M188" s="9">
        <f t="shared" si="35"/>
        <v>0</v>
      </c>
      <c r="N188">
        <f t="shared" si="36"/>
        <v>0</v>
      </c>
      <c r="O188">
        <f t="shared" si="37"/>
        <v>-30.379999999999995</v>
      </c>
    </row>
    <row r="189" spans="1:18">
      <c r="A189" s="6">
        <v>44847</v>
      </c>
      <c r="B189" s="1" t="s">
        <v>17</v>
      </c>
      <c r="C189">
        <v>113</v>
      </c>
      <c r="D189">
        <v>65.25</v>
      </c>
      <c r="E189">
        <v>75.260000000000005</v>
      </c>
      <c r="F189">
        <v>62.73</v>
      </c>
      <c r="G189" s="21">
        <f t="shared" si="39"/>
        <v>4.9722222222222197</v>
      </c>
      <c r="H189" s="6">
        <v>44859</v>
      </c>
      <c r="I189" s="29">
        <v>70.78</v>
      </c>
      <c r="J189" s="30">
        <f t="shared" si="40"/>
        <v>8.4750957854406117E-2</v>
      </c>
      <c r="K189" s="35">
        <f t="shared" si="41"/>
        <v>624.89000000000033</v>
      </c>
      <c r="L189" s="21">
        <f t="shared" si="42"/>
        <v>12</v>
      </c>
      <c r="M189" s="9">
        <f t="shared" si="35"/>
        <v>1</v>
      </c>
      <c r="N189">
        <f t="shared" si="36"/>
        <v>624.89000000000033</v>
      </c>
      <c r="O189">
        <f t="shared" si="37"/>
        <v>0</v>
      </c>
    </row>
    <row r="190" spans="1:18">
      <c r="A190" s="6">
        <v>44847</v>
      </c>
      <c r="B190" s="1" t="s">
        <v>124</v>
      </c>
      <c r="C190">
        <v>266</v>
      </c>
      <c r="D190">
        <v>32.85</v>
      </c>
      <c r="E190">
        <v>38.03</v>
      </c>
      <c r="F190">
        <v>28.76</v>
      </c>
      <c r="G190" s="21">
        <f t="shared" si="39"/>
        <v>2.2665036674816625</v>
      </c>
      <c r="H190" s="6">
        <v>44852</v>
      </c>
      <c r="I190" s="16">
        <v>29.74</v>
      </c>
      <c r="J190" s="25">
        <f t="shared" si="40"/>
        <v>-9.4672754946727666E-2</v>
      </c>
      <c r="K190" s="36">
        <f t="shared" si="41"/>
        <v>-827.26000000000113</v>
      </c>
      <c r="L190" s="24">
        <f t="shared" si="42"/>
        <v>5</v>
      </c>
      <c r="M190" s="9">
        <f t="shared" si="35"/>
        <v>0</v>
      </c>
      <c r="N190">
        <f t="shared" si="36"/>
        <v>0</v>
      </c>
      <c r="O190">
        <f t="shared" si="37"/>
        <v>-827.26000000000113</v>
      </c>
    </row>
    <row r="191" spans="1:18">
      <c r="A191" s="6">
        <v>44845</v>
      </c>
      <c r="B191" s="1" t="s">
        <v>68</v>
      </c>
      <c r="C191">
        <v>26</v>
      </c>
      <c r="D191">
        <v>41.52</v>
      </c>
      <c r="E191">
        <v>46.23</v>
      </c>
      <c r="F191">
        <v>40.65</v>
      </c>
      <c r="G191" s="21">
        <f t="shared" si="39"/>
        <v>6.4137931034482403</v>
      </c>
      <c r="H191" s="6">
        <v>44854</v>
      </c>
      <c r="I191" s="16">
        <v>41.33</v>
      </c>
      <c r="J191" s="25">
        <f t="shared" si="40"/>
        <v>-4.5761078998074467E-3</v>
      </c>
      <c r="K191" s="36">
        <f t="shared" si="41"/>
        <v>-4.9400000000000546</v>
      </c>
      <c r="L191" s="24">
        <f t="shared" si="42"/>
        <v>9</v>
      </c>
      <c r="M191" s="9">
        <f t="shared" si="35"/>
        <v>0</v>
      </c>
      <c r="N191">
        <f t="shared" si="36"/>
        <v>0</v>
      </c>
      <c r="O191">
        <f t="shared" si="37"/>
        <v>-4.9400000000000546</v>
      </c>
    </row>
    <row r="192" spans="1:18">
      <c r="A192" s="6">
        <v>44845</v>
      </c>
      <c r="B192" s="1" t="s">
        <v>149</v>
      </c>
      <c r="C192">
        <v>32</v>
      </c>
      <c r="D192">
        <v>38.69</v>
      </c>
      <c r="E192">
        <v>45</v>
      </c>
      <c r="F192">
        <v>37.67</v>
      </c>
      <c r="G192" s="21">
        <f t="shared" si="39"/>
        <v>7.1862745098039476</v>
      </c>
      <c r="H192" s="6">
        <v>44860</v>
      </c>
      <c r="I192" s="29">
        <v>40.86</v>
      </c>
      <c r="J192" s="30">
        <f t="shared" si="40"/>
        <v>5.6086844145774251E-2</v>
      </c>
      <c r="K192" s="35">
        <f t="shared" si="41"/>
        <v>69.440000000000055</v>
      </c>
      <c r="L192" s="24">
        <f t="shared" si="42"/>
        <v>15</v>
      </c>
      <c r="M192" s="9">
        <f t="shared" si="35"/>
        <v>1</v>
      </c>
      <c r="N192">
        <f t="shared" si="36"/>
        <v>69.440000000000055</v>
      </c>
      <c r="O192">
        <f t="shared" si="37"/>
        <v>0</v>
      </c>
    </row>
    <row r="193" spans="1:15">
      <c r="A193" s="6">
        <v>44845</v>
      </c>
      <c r="B193" s="1" t="s">
        <v>174</v>
      </c>
      <c r="C193">
        <v>32</v>
      </c>
      <c r="D193">
        <v>39.44</v>
      </c>
      <c r="E193">
        <v>50.85</v>
      </c>
      <c r="F193">
        <v>38.78</v>
      </c>
      <c r="G193" s="21">
        <f t="shared" si="39"/>
        <v>18.287878787878881</v>
      </c>
      <c r="H193" s="6">
        <v>44854</v>
      </c>
      <c r="I193" s="16">
        <v>39.03</v>
      </c>
      <c r="J193" s="25">
        <f t="shared" si="40"/>
        <v>-1.0395537525354936E-2</v>
      </c>
      <c r="K193" s="36">
        <f t="shared" si="41"/>
        <v>-13.119999999999891</v>
      </c>
      <c r="L193" s="24">
        <f t="shared" si="42"/>
        <v>9</v>
      </c>
      <c r="M193" s="9">
        <f t="shared" si="35"/>
        <v>0</v>
      </c>
      <c r="N193">
        <f t="shared" si="36"/>
        <v>0</v>
      </c>
      <c r="O193">
        <f t="shared" si="37"/>
        <v>-13.119999999999891</v>
      </c>
    </row>
    <row r="194" spans="1:15">
      <c r="A194" s="6">
        <v>44845</v>
      </c>
      <c r="B194" s="1" t="s">
        <v>222</v>
      </c>
      <c r="C194">
        <v>113</v>
      </c>
      <c r="D194">
        <v>71.5</v>
      </c>
      <c r="E194">
        <v>80</v>
      </c>
      <c r="F194">
        <v>69.66</v>
      </c>
      <c r="G194" s="21">
        <f t="shared" si="39"/>
        <v>5.6195652173912958</v>
      </c>
      <c r="H194" s="6">
        <v>44851</v>
      </c>
      <c r="I194" s="16">
        <v>71.25</v>
      </c>
      <c r="J194" s="25">
        <f t="shared" si="40"/>
        <v>-3.4965034965035446E-3</v>
      </c>
      <c r="K194" s="36">
        <f t="shared" si="41"/>
        <v>-28.25</v>
      </c>
      <c r="L194" s="24">
        <f t="shared" si="42"/>
        <v>6</v>
      </c>
      <c r="M194" s="9">
        <f t="shared" si="35"/>
        <v>0</v>
      </c>
      <c r="N194">
        <f t="shared" si="36"/>
        <v>0</v>
      </c>
      <c r="O194">
        <f t="shared" si="37"/>
        <v>-28.25</v>
      </c>
    </row>
    <row r="195" spans="1:15">
      <c r="A195" s="6">
        <v>44845</v>
      </c>
      <c r="B195" s="1" t="s">
        <v>287</v>
      </c>
      <c r="C195">
        <v>500</v>
      </c>
      <c r="D195">
        <v>18.66</v>
      </c>
      <c r="E195">
        <v>22</v>
      </c>
      <c r="F195">
        <v>18</v>
      </c>
      <c r="G195" s="21">
        <f t="shared" si="39"/>
        <v>6.0606060606060597</v>
      </c>
      <c r="H195" s="6">
        <v>44848</v>
      </c>
      <c r="I195" s="29">
        <v>18.95</v>
      </c>
      <c r="J195" s="30">
        <f t="shared" si="40"/>
        <v>1.5541264737406246E-2</v>
      </c>
      <c r="K195" s="35">
        <f t="shared" si="41"/>
        <v>145</v>
      </c>
      <c r="L195" s="21">
        <f t="shared" si="42"/>
        <v>3</v>
      </c>
      <c r="M195" s="9">
        <f t="shared" si="35"/>
        <v>1</v>
      </c>
      <c r="N195">
        <f t="shared" si="36"/>
        <v>145</v>
      </c>
      <c r="O195">
        <f t="shared" si="37"/>
        <v>0</v>
      </c>
    </row>
    <row r="196" spans="1:15">
      <c r="A196" s="6">
        <v>44845</v>
      </c>
      <c r="B196" s="1" t="s">
        <v>95</v>
      </c>
      <c r="C196">
        <v>17</v>
      </c>
      <c r="D196">
        <v>510.14</v>
      </c>
      <c r="E196">
        <v>583</v>
      </c>
      <c r="F196">
        <v>497.79</v>
      </c>
      <c r="G196" s="21">
        <f t="shared" si="39"/>
        <v>6.8995951417004227</v>
      </c>
      <c r="H196" s="6">
        <v>44853</v>
      </c>
      <c r="I196" s="29">
        <v>520.19000000000005</v>
      </c>
      <c r="J196" s="30">
        <f t="shared" si="40"/>
        <v>1.9700474379582111E-2</v>
      </c>
      <c r="K196" s="35">
        <f t="shared" si="41"/>
        <v>170.85000000000218</v>
      </c>
      <c r="L196" s="21">
        <f t="shared" si="42"/>
        <v>8</v>
      </c>
      <c r="M196" s="9">
        <f t="shared" ref="M196:M261" si="43">IF(J196&gt;0,1,0)</f>
        <v>1</v>
      </c>
      <c r="N196">
        <f t="shared" ref="N196:N261" si="44">IF(K196&gt;0, K196, 0)</f>
        <v>170.85000000000218</v>
      </c>
      <c r="O196">
        <f t="shared" ref="O196:O261" si="45">IF(K196&lt;0, K196, 0)</f>
        <v>0</v>
      </c>
    </row>
    <row r="197" spans="1:15">
      <c r="A197" s="6">
        <v>44845</v>
      </c>
      <c r="B197" s="1" t="s">
        <v>94</v>
      </c>
      <c r="C197">
        <v>53</v>
      </c>
      <c r="D197">
        <v>140.9</v>
      </c>
      <c r="E197">
        <v>156.9</v>
      </c>
      <c r="F197">
        <v>137.69</v>
      </c>
      <c r="G197" s="21">
        <f t="shared" si="39"/>
        <v>5.9844236760124483</v>
      </c>
      <c r="H197" s="6">
        <v>44847</v>
      </c>
      <c r="I197" s="16">
        <v>136.21</v>
      </c>
      <c r="J197" s="25">
        <f t="shared" si="40"/>
        <v>-3.3286018452803434E-2</v>
      </c>
      <c r="K197" s="36">
        <f t="shared" si="41"/>
        <v>-248.57000000000062</v>
      </c>
      <c r="L197" s="24">
        <f t="shared" si="42"/>
        <v>2</v>
      </c>
      <c r="M197" s="9">
        <f t="shared" si="43"/>
        <v>0</v>
      </c>
      <c r="N197">
        <f t="shared" si="44"/>
        <v>0</v>
      </c>
      <c r="O197">
        <f t="shared" si="45"/>
        <v>-248.57000000000062</v>
      </c>
    </row>
    <row r="198" spans="1:15">
      <c r="A198" s="6">
        <v>44844</v>
      </c>
      <c r="B198" s="1" t="s">
        <v>148</v>
      </c>
      <c r="C198">
        <v>140</v>
      </c>
      <c r="D198">
        <v>9.1</v>
      </c>
      <c r="E198">
        <v>9.76</v>
      </c>
      <c r="F198">
        <v>8.5500000000000007</v>
      </c>
      <c r="G198" s="21">
        <f t="shared" si="39"/>
        <v>2.2000000000000024</v>
      </c>
      <c r="H198" s="6">
        <v>44846</v>
      </c>
      <c r="I198" s="29">
        <v>9.11</v>
      </c>
      <c r="J198" s="30">
        <f t="shared" si="40"/>
        <v>1.098901098901095E-3</v>
      </c>
      <c r="K198" s="35">
        <f t="shared" si="41"/>
        <v>1.3999999999998636</v>
      </c>
      <c r="L198" s="21">
        <f t="shared" si="42"/>
        <v>2</v>
      </c>
      <c r="M198" s="9">
        <f t="shared" si="43"/>
        <v>1</v>
      </c>
      <c r="N198">
        <f t="shared" si="44"/>
        <v>1.3999999999998636</v>
      </c>
      <c r="O198">
        <f t="shared" si="45"/>
        <v>0</v>
      </c>
    </row>
    <row r="199" spans="1:15">
      <c r="A199" s="6">
        <v>44844</v>
      </c>
      <c r="B199" s="1" t="s">
        <v>250</v>
      </c>
      <c r="C199">
        <v>35</v>
      </c>
      <c r="D199">
        <v>34.07</v>
      </c>
      <c r="E199">
        <v>38.909999999999997</v>
      </c>
      <c r="F199">
        <v>32.729999999999997</v>
      </c>
      <c r="G199" s="21">
        <f t="shared" si="39"/>
        <v>4.6119402985074505</v>
      </c>
      <c r="H199" s="6">
        <v>44851</v>
      </c>
      <c r="I199" s="29">
        <v>35.619999999999997</v>
      </c>
      <c r="J199" s="30">
        <f t="shared" si="40"/>
        <v>4.5494570002934998E-2</v>
      </c>
      <c r="K199" s="35">
        <f t="shared" si="41"/>
        <v>54.249999999999773</v>
      </c>
      <c r="L199" s="21">
        <f t="shared" si="42"/>
        <v>7</v>
      </c>
      <c r="M199" s="9">
        <f t="shared" si="43"/>
        <v>1</v>
      </c>
      <c r="N199">
        <f t="shared" si="44"/>
        <v>54.249999999999773</v>
      </c>
      <c r="O199">
        <f t="shared" si="45"/>
        <v>0</v>
      </c>
    </row>
    <row r="200" spans="1:15">
      <c r="A200" s="6">
        <v>44844</v>
      </c>
      <c r="B200" s="1" t="s">
        <v>168</v>
      </c>
      <c r="C200">
        <v>14</v>
      </c>
      <c r="D200">
        <v>86.92</v>
      </c>
      <c r="E200">
        <v>108</v>
      </c>
      <c r="F200">
        <v>82</v>
      </c>
      <c r="G200" s="21">
        <f t="shared" si="39"/>
        <v>5.2845528455284532</v>
      </c>
      <c r="H200" s="6">
        <v>44846</v>
      </c>
      <c r="I200" s="29">
        <v>89.82</v>
      </c>
      <c r="J200" s="30">
        <f t="shared" si="40"/>
        <v>3.3364012885411798E-2</v>
      </c>
      <c r="K200" s="35">
        <f t="shared" si="41"/>
        <v>40.599999999999909</v>
      </c>
      <c r="L200" s="21">
        <f t="shared" si="42"/>
        <v>2</v>
      </c>
      <c r="M200" s="9">
        <f t="shared" si="43"/>
        <v>1</v>
      </c>
      <c r="N200">
        <f t="shared" si="44"/>
        <v>40.599999999999909</v>
      </c>
      <c r="O200">
        <f t="shared" si="45"/>
        <v>0</v>
      </c>
    </row>
    <row r="201" spans="1:15">
      <c r="A201" s="6">
        <v>44844</v>
      </c>
      <c r="B201" s="1" t="s">
        <v>185</v>
      </c>
      <c r="C201">
        <v>323</v>
      </c>
      <c r="D201">
        <v>21.63</v>
      </c>
      <c r="E201">
        <v>24</v>
      </c>
      <c r="F201">
        <v>20.07</v>
      </c>
      <c r="G201" s="21">
        <f t="shared" si="39"/>
        <v>2.5192307692307709</v>
      </c>
      <c r="H201" s="6">
        <v>44860</v>
      </c>
      <c r="I201" s="29">
        <v>21.69</v>
      </c>
      <c r="J201" s="30">
        <f t="shared" si="40"/>
        <v>2.7739251040221902E-3</v>
      </c>
      <c r="K201" s="35">
        <f t="shared" si="41"/>
        <v>19.380000000001019</v>
      </c>
      <c r="L201" s="24">
        <f t="shared" si="42"/>
        <v>16</v>
      </c>
      <c r="M201" s="9">
        <f t="shared" si="43"/>
        <v>1</v>
      </c>
      <c r="N201">
        <f t="shared" si="44"/>
        <v>19.380000000001019</v>
      </c>
      <c r="O201">
        <f t="shared" si="45"/>
        <v>0</v>
      </c>
    </row>
    <row r="202" spans="1:15">
      <c r="A202" s="6">
        <v>44844</v>
      </c>
      <c r="B202" s="1" t="s">
        <v>54</v>
      </c>
      <c r="C202">
        <v>194</v>
      </c>
      <c r="D202">
        <v>44.98</v>
      </c>
      <c r="E202">
        <v>47.05</v>
      </c>
      <c r="F202">
        <v>44.21</v>
      </c>
      <c r="G202" s="21">
        <f t="shared" si="39"/>
        <v>3.6883116883117024</v>
      </c>
      <c r="H202" s="6">
        <v>44847</v>
      </c>
      <c r="I202" s="29">
        <v>45.79</v>
      </c>
      <c r="J202" s="30">
        <f t="shared" si="40"/>
        <v>1.8008003557136609E-2</v>
      </c>
      <c r="K202" s="35">
        <f t="shared" si="41"/>
        <v>157.14000000000124</v>
      </c>
      <c r="L202" s="21">
        <f t="shared" si="42"/>
        <v>3</v>
      </c>
      <c r="M202" s="9">
        <f t="shared" si="43"/>
        <v>1</v>
      </c>
      <c r="N202">
        <f t="shared" si="44"/>
        <v>157.14000000000124</v>
      </c>
      <c r="O202">
        <f t="shared" si="45"/>
        <v>0</v>
      </c>
    </row>
    <row r="203" spans="1:15">
      <c r="A203" s="6">
        <v>44844</v>
      </c>
      <c r="B203" s="1" t="s">
        <v>205</v>
      </c>
      <c r="C203">
        <v>23</v>
      </c>
      <c r="D203">
        <v>391.4</v>
      </c>
      <c r="E203">
        <v>446</v>
      </c>
      <c r="F203">
        <v>380.94</v>
      </c>
      <c r="G203" s="21">
        <f t="shared" si="39"/>
        <v>6.2198852772466662</v>
      </c>
      <c r="H203" s="6">
        <v>44853</v>
      </c>
      <c r="I203" s="29">
        <v>391.7</v>
      </c>
      <c r="J203" s="30">
        <f t="shared" si="40"/>
        <v>7.6647930505879813E-4</v>
      </c>
      <c r="K203" s="35">
        <f t="shared" si="41"/>
        <v>6.9000000000014552</v>
      </c>
      <c r="L203" s="24">
        <f t="shared" si="42"/>
        <v>9</v>
      </c>
      <c r="M203" s="9">
        <f t="shared" si="43"/>
        <v>1</v>
      </c>
      <c r="N203">
        <f t="shared" si="44"/>
        <v>6.9000000000014552</v>
      </c>
      <c r="O203">
        <f t="shared" si="45"/>
        <v>0</v>
      </c>
    </row>
    <row r="204" spans="1:15">
      <c r="A204" s="6">
        <v>44844</v>
      </c>
      <c r="B204" s="1" t="s">
        <v>296</v>
      </c>
      <c r="C204">
        <v>143</v>
      </c>
      <c r="D204">
        <v>60.53</v>
      </c>
      <c r="E204">
        <v>70</v>
      </c>
      <c r="F204">
        <v>55</v>
      </c>
      <c r="G204" s="21">
        <f t="shared" si="39"/>
        <v>2.7124773960216992</v>
      </c>
      <c r="H204" s="6">
        <v>44844</v>
      </c>
      <c r="I204" s="16">
        <v>60.39</v>
      </c>
      <c r="J204" s="25">
        <f t="shared" si="40"/>
        <v>-2.3129026928795371E-3</v>
      </c>
      <c r="K204" s="36">
        <f t="shared" si="41"/>
        <v>-20.020000000000437</v>
      </c>
      <c r="L204" s="24">
        <f t="shared" si="42"/>
        <v>0</v>
      </c>
      <c r="M204" s="9">
        <f t="shared" si="43"/>
        <v>0</v>
      </c>
      <c r="N204">
        <f t="shared" si="44"/>
        <v>0</v>
      </c>
      <c r="O204">
        <f t="shared" si="45"/>
        <v>-20.020000000000437</v>
      </c>
    </row>
    <row r="205" spans="1:15">
      <c r="A205" s="6">
        <v>44841</v>
      </c>
      <c r="B205" t="s">
        <v>40</v>
      </c>
      <c r="C205">
        <v>5</v>
      </c>
      <c r="D205">
        <v>93.95</v>
      </c>
      <c r="E205">
        <v>109</v>
      </c>
      <c r="F205">
        <v>90</v>
      </c>
      <c r="G205" s="21">
        <f t="shared" si="39"/>
        <v>4.8101265822784773</v>
      </c>
      <c r="H205" s="6">
        <v>44845</v>
      </c>
      <c r="I205" s="16">
        <v>89.79</v>
      </c>
      <c r="J205" s="25">
        <f t="shared" si="40"/>
        <v>-4.4278871740287329E-2</v>
      </c>
      <c r="K205" s="36">
        <f t="shared" si="41"/>
        <v>-20.799999999999955</v>
      </c>
      <c r="L205" s="24">
        <f t="shared" si="42"/>
        <v>4</v>
      </c>
      <c r="M205" s="9">
        <f t="shared" si="43"/>
        <v>0</v>
      </c>
      <c r="N205">
        <f t="shared" si="44"/>
        <v>0</v>
      </c>
      <c r="O205">
        <f t="shared" si="45"/>
        <v>-20.799999999999955</v>
      </c>
    </row>
    <row r="206" spans="1:15">
      <c r="A206" s="6">
        <v>44841</v>
      </c>
      <c r="B206" s="1" t="s">
        <v>58</v>
      </c>
      <c r="C206">
        <v>1340</v>
      </c>
      <c r="D206">
        <v>6.18</v>
      </c>
      <c r="E206">
        <v>7.09</v>
      </c>
      <c r="F206">
        <v>5.77</v>
      </c>
      <c r="G206" s="21">
        <f t="shared" si="39"/>
        <v>3.219512195121951</v>
      </c>
      <c r="H206" s="6">
        <v>44845</v>
      </c>
      <c r="I206" s="16">
        <v>6</v>
      </c>
      <c r="J206" s="25">
        <f t="shared" si="40"/>
        <v>-2.9126213592232997E-2</v>
      </c>
      <c r="K206" s="36">
        <f t="shared" si="41"/>
        <v>-241.19999999999891</v>
      </c>
      <c r="L206" s="24">
        <f t="shared" si="42"/>
        <v>4</v>
      </c>
      <c r="M206" s="9">
        <f t="shared" si="43"/>
        <v>0</v>
      </c>
      <c r="N206">
        <f t="shared" si="44"/>
        <v>0</v>
      </c>
      <c r="O206">
        <f t="shared" si="45"/>
        <v>-241.19999999999891</v>
      </c>
    </row>
    <row r="207" spans="1:15">
      <c r="A207" s="6">
        <v>44841</v>
      </c>
      <c r="B207" s="1" t="s">
        <v>19</v>
      </c>
      <c r="C207">
        <v>602</v>
      </c>
      <c r="D207">
        <v>15.1</v>
      </c>
      <c r="E207">
        <v>16</v>
      </c>
      <c r="F207">
        <v>14</v>
      </c>
      <c r="G207" s="21">
        <f t="shared" si="39"/>
        <v>1.8181818181818188</v>
      </c>
      <c r="H207" s="6">
        <v>44845</v>
      </c>
      <c r="I207" s="16">
        <v>13.99</v>
      </c>
      <c r="J207" s="25">
        <f t="shared" si="40"/>
        <v>-7.3509933774834391E-2</v>
      </c>
      <c r="K207" s="36">
        <f t="shared" si="41"/>
        <v>-668.21999999999935</v>
      </c>
      <c r="L207" s="24">
        <f t="shared" si="42"/>
        <v>4</v>
      </c>
      <c r="M207" s="9">
        <f t="shared" si="43"/>
        <v>0</v>
      </c>
      <c r="N207">
        <f t="shared" si="44"/>
        <v>0</v>
      </c>
      <c r="O207">
        <f t="shared" si="45"/>
        <v>-668.21999999999935</v>
      </c>
    </row>
    <row r="208" spans="1:15">
      <c r="A208" s="6">
        <v>44841</v>
      </c>
      <c r="B208" s="1" t="s">
        <v>75</v>
      </c>
      <c r="C208">
        <v>1400</v>
      </c>
      <c r="D208">
        <v>6.46</v>
      </c>
      <c r="E208">
        <v>7.39</v>
      </c>
      <c r="F208">
        <v>6</v>
      </c>
      <c r="G208" s="21">
        <f t="shared" si="39"/>
        <v>3.0217391304347823</v>
      </c>
      <c r="H208" s="6">
        <v>44851</v>
      </c>
      <c r="I208" s="29">
        <v>6.48</v>
      </c>
      <c r="J208" s="30">
        <f t="shared" si="40"/>
        <v>3.0959752321981782E-3</v>
      </c>
      <c r="K208" s="35">
        <f t="shared" si="41"/>
        <v>28</v>
      </c>
      <c r="L208" s="24">
        <f t="shared" si="42"/>
        <v>10</v>
      </c>
      <c r="M208" s="9">
        <f t="shared" si="43"/>
        <v>1</v>
      </c>
      <c r="N208">
        <f t="shared" si="44"/>
        <v>28</v>
      </c>
      <c r="O208">
        <f t="shared" si="45"/>
        <v>0</v>
      </c>
    </row>
    <row r="209" spans="1:15">
      <c r="A209" s="6">
        <v>44841</v>
      </c>
      <c r="B209" s="1" t="s">
        <v>287</v>
      </c>
      <c r="C209">
        <v>413</v>
      </c>
      <c r="D209">
        <v>20.23</v>
      </c>
      <c r="E209">
        <v>30</v>
      </c>
      <c r="F209">
        <v>19</v>
      </c>
      <c r="G209" s="21">
        <f t="shared" si="39"/>
        <v>8.9430894308943056</v>
      </c>
      <c r="H209" s="6">
        <v>44844</v>
      </c>
      <c r="I209" s="16">
        <v>19.16</v>
      </c>
      <c r="J209" s="25">
        <f t="shared" si="40"/>
        <v>-5.2891744933267426E-2</v>
      </c>
      <c r="K209" s="36">
        <f t="shared" si="41"/>
        <v>-441.90999999999985</v>
      </c>
      <c r="L209" s="24">
        <f t="shared" si="42"/>
        <v>3</v>
      </c>
      <c r="M209" s="9">
        <f t="shared" si="43"/>
        <v>0</v>
      </c>
      <c r="N209">
        <f t="shared" si="44"/>
        <v>0</v>
      </c>
      <c r="O209">
        <f t="shared" si="45"/>
        <v>-441.90999999999985</v>
      </c>
    </row>
    <row r="210" spans="1:15">
      <c r="A210" s="6">
        <v>44841</v>
      </c>
      <c r="B210" s="1" t="s">
        <v>287</v>
      </c>
      <c r="C210">
        <v>410</v>
      </c>
      <c r="D210">
        <v>20.78</v>
      </c>
      <c r="E210">
        <v>30</v>
      </c>
      <c r="F210">
        <v>20</v>
      </c>
      <c r="G210" s="21">
        <f t="shared" si="39"/>
        <v>12.820512820512802</v>
      </c>
      <c r="H210" s="6">
        <v>44841</v>
      </c>
      <c r="I210" s="16">
        <v>20.399999999999999</v>
      </c>
      <c r="J210" s="25">
        <f t="shared" si="40"/>
        <v>-1.8286814244465988E-2</v>
      </c>
      <c r="K210" s="36">
        <f t="shared" si="41"/>
        <v>-155.80000000000109</v>
      </c>
      <c r="L210" s="24">
        <f t="shared" si="42"/>
        <v>0</v>
      </c>
      <c r="M210" s="9">
        <f t="shared" si="43"/>
        <v>0</v>
      </c>
      <c r="N210">
        <f t="shared" si="44"/>
        <v>0</v>
      </c>
      <c r="O210">
        <f t="shared" si="45"/>
        <v>-155.80000000000109</v>
      </c>
    </row>
    <row r="211" spans="1:15">
      <c r="A211" s="6">
        <v>44840</v>
      </c>
      <c r="B211" s="1" t="s">
        <v>130</v>
      </c>
      <c r="C211">
        <v>8</v>
      </c>
      <c r="D211">
        <v>125.6</v>
      </c>
      <c r="E211">
        <v>146</v>
      </c>
      <c r="F211">
        <v>120.2</v>
      </c>
      <c r="G211" s="21">
        <f t="shared" si="39"/>
        <v>4.7777777777777848</v>
      </c>
      <c r="H211" s="6">
        <v>44844</v>
      </c>
      <c r="I211" s="16">
        <v>120.25</v>
      </c>
      <c r="J211" s="25">
        <f t="shared" si="40"/>
        <v>-4.2595541401273862E-2</v>
      </c>
      <c r="K211" s="36">
        <f t="shared" si="41"/>
        <v>-42.799999999999955</v>
      </c>
      <c r="L211" s="24">
        <f t="shared" si="42"/>
        <v>4</v>
      </c>
      <c r="M211" s="9">
        <f t="shared" si="43"/>
        <v>0</v>
      </c>
      <c r="N211">
        <f t="shared" si="44"/>
        <v>0</v>
      </c>
      <c r="O211">
        <f t="shared" si="45"/>
        <v>-42.799999999999955</v>
      </c>
    </row>
    <row r="212" spans="1:15">
      <c r="A212" s="6">
        <v>44840</v>
      </c>
      <c r="B212" s="1" t="s">
        <v>163</v>
      </c>
      <c r="C212">
        <v>14</v>
      </c>
      <c r="D212">
        <v>81.08</v>
      </c>
      <c r="E212">
        <v>96.05</v>
      </c>
      <c r="F212">
        <v>72.19</v>
      </c>
      <c r="G212" s="21">
        <f t="shared" si="39"/>
        <v>2.6839145106861642</v>
      </c>
      <c r="H212" s="6">
        <v>44846</v>
      </c>
      <c r="I212" s="16">
        <v>72.19</v>
      </c>
      <c r="J212" s="25">
        <f t="shared" si="40"/>
        <v>-0.10964479526393689</v>
      </c>
      <c r="K212" s="36">
        <f t="shared" si="41"/>
        <v>-124.45999999999992</v>
      </c>
      <c r="L212" s="24">
        <f t="shared" si="42"/>
        <v>6</v>
      </c>
      <c r="M212" s="9">
        <f t="shared" si="43"/>
        <v>0</v>
      </c>
      <c r="N212">
        <f t="shared" si="44"/>
        <v>0</v>
      </c>
      <c r="O212">
        <f t="shared" si="45"/>
        <v>-124.45999999999992</v>
      </c>
    </row>
    <row r="213" spans="1:15">
      <c r="A213" s="6">
        <v>44840</v>
      </c>
      <c r="B213" s="1" t="s">
        <v>227</v>
      </c>
      <c r="C213">
        <v>32</v>
      </c>
      <c r="D213">
        <v>300.08</v>
      </c>
      <c r="E213">
        <v>400</v>
      </c>
      <c r="F213">
        <v>275.01</v>
      </c>
      <c r="G213" s="21">
        <f t="shared" si="39"/>
        <v>4.9856402074192276</v>
      </c>
      <c r="H213" s="6">
        <v>44867</v>
      </c>
      <c r="I213" s="29">
        <v>311.13</v>
      </c>
      <c r="J213" s="30">
        <f t="shared" si="40"/>
        <v>3.6823513729672186E-2</v>
      </c>
      <c r="K213" s="35">
        <f t="shared" si="41"/>
        <v>353.60000000000036</v>
      </c>
      <c r="L213" s="24">
        <f t="shared" si="42"/>
        <v>27</v>
      </c>
      <c r="M213" s="9">
        <f t="shared" si="43"/>
        <v>1</v>
      </c>
      <c r="N213">
        <f t="shared" si="44"/>
        <v>353.60000000000036</v>
      </c>
      <c r="O213">
        <f t="shared" si="45"/>
        <v>0</v>
      </c>
    </row>
    <row r="214" spans="1:15">
      <c r="A214" s="6">
        <v>44840</v>
      </c>
      <c r="B214" s="1" t="s">
        <v>231</v>
      </c>
      <c r="C214">
        <v>86</v>
      </c>
      <c r="D214">
        <v>94.47</v>
      </c>
      <c r="E214">
        <v>100</v>
      </c>
      <c r="F214">
        <v>90.99</v>
      </c>
      <c r="G214" s="21">
        <f t="shared" si="39"/>
        <v>2.5890804597701136</v>
      </c>
      <c r="H214" s="6">
        <v>44844</v>
      </c>
      <c r="I214" s="16">
        <v>86.775000000000006</v>
      </c>
      <c r="J214" s="25">
        <f t="shared" si="40"/>
        <v>-8.1454429977770637E-2</v>
      </c>
      <c r="K214" s="36">
        <f t="shared" si="41"/>
        <v>-661.76999999999953</v>
      </c>
      <c r="L214" s="24">
        <f t="shared" si="42"/>
        <v>4</v>
      </c>
      <c r="M214" s="9">
        <f t="shared" si="43"/>
        <v>0</v>
      </c>
      <c r="N214">
        <f t="shared" si="44"/>
        <v>0</v>
      </c>
      <c r="O214">
        <f t="shared" si="45"/>
        <v>-661.76999999999953</v>
      </c>
    </row>
    <row r="215" spans="1:15">
      <c r="A215" s="6">
        <v>44840</v>
      </c>
      <c r="B215" s="1" t="s">
        <v>296</v>
      </c>
      <c r="C215">
        <v>170</v>
      </c>
      <c r="D215">
        <v>52.87</v>
      </c>
      <c r="E215">
        <v>60</v>
      </c>
      <c r="F215">
        <v>50.3</v>
      </c>
      <c r="G215" s="21">
        <f t="shared" si="39"/>
        <v>3.7743190661478607</v>
      </c>
      <c r="H215" s="6">
        <v>44841</v>
      </c>
      <c r="I215" s="29">
        <v>55.68</v>
      </c>
      <c r="J215" s="30">
        <f t="shared" si="40"/>
        <v>5.3149233970115395E-2</v>
      </c>
      <c r="K215" s="35">
        <f t="shared" si="41"/>
        <v>477.70000000000073</v>
      </c>
      <c r="L215" s="21">
        <f t="shared" si="42"/>
        <v>1</v>
      </c>
      <c r="M215" s="9">
        <f t="shared" si="43"/>
        <v>1</v>
      </c>
      <c r="N215">
        <f t="shared" si="44"/>
        <v>477.70000000000073</v>
      </c>
      <c r="O215">
        <f t="shared" si="45"/>
        <v>0</v>
      </c>
    </row>
    <row r="216" spans="1:15">
      <c r="A216" s="6">
        <v>44839</v>
      </c>
      <c r="B216" s="1" t="s">
        <v>51</v>
      </c>
      <c r="C216">
        <v>26</v>
      </c>
      <c r="D216">
        <v>38.840000000000003</v>
      </c>
      <c r="E216">
        <v>41.71</v>
      </c>
      <c r="F216">
        <v>38.03</v>
      </c>
      <c r="G216" s="21">
        <f t="shared" si="39"/>
        <v>4.5432098765431972</v>
      </c>
      <c r="H216" s="6">
        <v>44840</v>
      </c>
      <c r="I216" s="29">
        <v>38.93</v>
      </c>
      <c r="J216" s="30">
        <f t="shared" si="40"/>
        <v>2.3171987641605885E-3</v>
      </c>
      <c r="K216" s="35">
        <f t="shared" si="41"/>
        <v>2.3399999999998045</v>
      </c>
      <c r="L216" s="21">
        <f t="shared" si="42"/>
        <v>1</v>
      </c>
      <c r="M216" s="9">
        <f t="shared" si="43"/>
        <v>1</v>
      </c>
      <c r="N216">
        <f t="shared" si="44"/>
        <v>2.3399999999998045</v>
      </c>
      <c r="O216">
        <f t="shared" si="45"/>
        <v>0</v>
      </c>
    </row>
    <row r="217" spans="1:15">
      <c r="A217" s="6">
        <v>44839</v>
      </c>
      <c r="B217" s="1" t="s">
        <v>287</v>
      </c>
      <c r="C217">
        <v>383</v>
      </c>
      <c r="D217">
        <v>21.06</v>
      </c>
      <c r="E217">
        <v>30</v>
      </c>
      <c r="F217">
        <v>20</v>
      </c>
      <c r="G217" s="21">
        <f t="shared" si="39"/>
        <v>9.4339622641509546</v>
      </c>
      <c r="H217" s="6">
        <v>44840</v>
      </c>
      <c r="I217" s="29">
        <v>22.1</v>
      </c>
      <c r="J217" s="30">
        <f t="shared" si="40"/>
        <v>4.9382716049382935E-2</v>
      </c>
      <c r="K217" s="35">
        <f t="shared" si="41"/>
        <v>398.32000000000153</v>
      </c>
      <c r="L217" s="21">
        <f t="shared" si="42"/>
        <v>1</v>
      </c>
      <c r="M217" s="9">
        <f t="shared" si="43"/>
        <v>1</v>
      </c>
      <c r="N217">
        <f t="shared" si="44"/>
        <v>398.32000000000153</v>
      </c>
      <c r="O217">
        <f t="shared" si="45"/>
        <v>0</v>
      </c>
    </row>
    <row r="218" spans="1:15">
      <c r="A218" s="6">
        <v>44839</v>
      </c>
      <c r="B218" s="1" t="s">
        <v>184</v>
      </c>
      <c r="C218">
        <v>350</v>
      </c>
      <c r="D218">
        <v>25.04</v>
      </c>
      <c r="E218">
        <v>26.6</v>
      </c>
      <c r="F218">
        <v>24</v>
      </c>
      <c r="G218" s="21">
        <f t="shared" si="39"/>
        <v>2.5000000000000036</v>
      </c>
      <c r="H218" s="6">
        <v>44841</v>
      </c>
      <c r="I218" s="16">
        <v>24.62</v>
      </c>
      <c r="J218" s="25">
        <f t="shared" si="40"/>
        <v>-1.6773162939297093E-2</v>
      </c>
      <c r="K218" s="36">
        <f t="shared" si="41"/>
        <v>-147</v>
      </c>
      <c r="L218" s="24">
        <f t="shared" si="42"/>
        <v>2</v>
      </c>
      <c r="M218" s="9">
        <f t="shared" si="43"/>
        <v>0</v>
      </c>
      <c r="N218">
        <f t="shared" si="44"/>
        <v>0</v>
      </c>
      <c r="O218">
        <f t="shared" si="45"/>
        <v>-147</v>
      </c>
    </row>
    <row r="219" spans="1:15">
      <c r="A219" s="6">
        <v>44839</v>
      </c>
      <c r="B219" s="1" t="s">
        <v>41</v>
      </c>
      <c r="C219">
        <v>98</v>
      </c>
      <c r="D219">
        <v>87.5</v>
      </c>
      <c r="E219">
        <v>100</v>
      </c>
      <c r="F219">
        <v>84.39</v>
      </c>
      <c r="G219" s="21">
        <f t="shared" ref="G219:G282" si="46" xml:space="preserve"> (E219 - F219)/(D219-F219)</f>
        <v>5.0192926045016089</v>
      </c>
      <c r="H219" s="6">
        <v>44840</v>
      </c>
      <c r="I219" s="16">
        <v>86.44</v>
      </c>
      <c r="J219" s="25">
        <f t="shared" si="40"/>
        <v>-1.2114285714285744E-2</v>
      </c>
      <c r="K219" s="36">
        <f t="shared" si="41"/>
        <v>-103.88000000000102</v>
      </c>
      <c r="L219" s="24">
        <f t="shared" si="42"/>
        <v>1</v>
      </c>
      <c r="M219" s="9">
        <f t="shared" si="43"/>
        <v>0</v>
      </c>
      <c r="N219">
        <f t="shared" si="44"/>
        <v>0</v>
      </c>
      <c r="O219">
        <f t="shared" si="45"/>
        <v>-103.88000000000102</v>
      </c>
    </row>
    <row r="220" spans="1:15">
      <c r="A220" s="6">
        <v>44839</v>
      </c>
      <c r="B220" s="1" t="s">
        <v>124</v>
      </c>
      <c r="C220">
        <v>284</v>
      </c>
      <c r="D220">
        <v>30.36</v>
      </c>
      <c r="E220">
        <v>40</v>
      </c>
      <c r="F220">
        <v>28.93</v>
      </c>
      <c r="G220" s="21">
        <f t="shared" si="46"/>
        <v>7.7412587412587426</v>
      </c>
      <c r="H220" s="6">
        <v>44845</v>
      </c>
      <c r="I220" s="16">
        <v>29.11</v>
      </c>
      <c r="J220" s="25">
        <f t="shared" si="40"/>
        <v>-4.1172595520421629E-2</v>
      </c>
      <c r="K220" s="36">
        <f t="shared" si="41"/>
        <v>-355</v>
      </c>
      <c r="L220" s="24">
        <f t="shared" si="42"/>
        <v>6</v>
      </c>
      <c r="M220" s="9">
        <f t="shared" si="43"/>
        <v>0</v>
      </c>
      <c r="N220">
        <f t="shared" si="44"/>
        <v>0</v>
      </c>
      <c r="O220">
        <f t="shared" si="45"/>
        <v>-355</v>
      </c>
    </row>
    <row r="221" spans="1:15">
      <c r="A221" s="6">
        <v>44838</v>
      </c>
      <c r="B221" t="s">
        <v>287</v>
      </c>
      <c r="C221">
        <v>374</v>
      </c>
      <c r="D221">
        <v>22.37</v>
      </c>
      <c r="E221">
        <v>30.93</v>
      </c>
      <c r="F221">
        <v>21.23</v>
      </c>
      <c r="G221" s="21">
        <f t="shared" si="46"/>
        <v>8.5087719298245563</v>
      </c>
      <c r="H221" s="6">
        <v>44839</v>
      </c>
      <c r="I221" s="16">
        <v>21.06</v>
      </c>
      <c r="J221" s="25">
        <f t="shared" si="40"/>
        <v>-5.8560572194903959E-2</v>
      </c>
      <c r="K221" s="36">
        <f t="shared" si="41"/>
        <v>-489.94000000000142</v>
      </c>
      <c r="L221" s="24">
        <f t="shared" si="42"/>
        <v>1</v>
      </c>
      <c r="M221" s="9">
        <f t="shared" si="43"/>
        <v>0</v>
      </c>
      <c r="N221">
        <f t="shared" si="44"/>
        <v>0</v>
      </c>
      <c r="O221">
        <f t="shared" si="45"/>
        <v>-489.94000000000142</v>
      </c>
    </row>
    <row r="222" spans="1:15">
      <c r="A222" s="6">
        <v>44837</v>
      </c>
      <c r="B222" s="1" t="s">
        <v>112</v>
      </c>
      <c r="C222">
        <v>104</v>
      </c>
      <c r="D222">
        <v>79.27</v>
      </c>
      <c r="E222">
        <v>92.9</v>
      </c>
      <c r="F222">
        <v>76.58</v>
      </c>
      <c r="G222" s="21">
        <f t="shared" si="46"/>
        <v>6.0669144981412719</v>
      </c>
      <c r="H222" s="6">
        <v>44839</v>
      </c>
      <c r="I222" s="29">
        <v>79.7</v>
      </c>
      <c r="J222" s="30">
        <f t="shared" ref="J222:J285" si="47">I222/D222 -1</f>
        <v>5.4244985492621911E-3</v>
      </c>
      <c r="K222" s="35">
        <f t="shared" ref="K222:K285" si="48">(C222*I222) - (C222*D222)</f>
        <v>44.720000000001164</v>
      </c>
      <c r="L222" s="21">
        <f t="shared" si="42"/>
        <v>2</v>
      </c>
      <c r="M222" s="9">
        <f t="shared" si="43"/>
        <v>1</v>
      </c>
      <c r="N222">
        <f t="shared" si="44"/>
        <v>44.720000000001164</v>
      </c>
      <c r="O222">
        <f t="shared" si="45"/>
        <v>0</v>
      </c>
    </row>
    <row r="223" spans="1:15">
      <c r="A223" s="6">
        <v>44837</v>
      </c>
      <c r="B223" s="1" t="s">
        <v>188</v>
      </c>
      <c r="C223">
        <v>1070</v>
      </c>
      <c r="D223">
        <v>7.59</v>
      </c>
      <c r="E223">
        <v>9.9499999999999993</v>
      </c>
      <c r="F223">
        <v>7.07</v>
      </c>
      <c r="G223" s="21">
        <f t="shared" si="46"/>
        <v>5.538461538461541</v>
      </c>
      <c r="H223" s="6">
        <v>44841</v>
      </c>
      <c r="I223" s="29">
        <v>8.1199999999999992</v>
      </c>
      <c r="J223" s="30">
        <f t="shared" si="47"/>
        <v>6.9828722002635013E-2</v>
      </c>
      <c r="K223" s="35">
        <f t="shared" si="48"/>
        <v>567.09999999999945</v>
      </c>
      <c r="L223" s="21">
        <f t="shared" si="42"/>
        <v>4</v>
      </c>
      <c r="M223" s="9">
        <f t="shared" si="43"/>
        <v>1</v>
      </c>
      <c r="N223">
        <f t="shared" si="44"/>
        <v>567.09999999999945</v>
      </c>
      <c r="O223">
        <f t="shared" si="45"/>
        <v>0</v>
      </c>
    </row>
    <row r="224" spans="1:15">
      <c r="A224" s="6">
        <v>44837</v>
      </c>
      <c r="B224" s="1" t="s">
        <v>182</v>
      </c>
      <c r="C224">
        <v>97</v>
      </c>
      <c r="D224">
        <v>84.55</v>
      </c>
      <c r="E224">
        <v>88.76</v>
      </c>
      <c r="F224">
        <v>80</v>
      </c>
      <c r="G224" s="21">
        <f t="shared" si="46"/>
        <v>1.9252747252747275</v>
      </c>
      <c r="H224" s="6">
        <v>44839</v>
      </c>
      <c r="I224" s="29">
        <v>86.58</v>
      </c>
      <c r="J224" s="30">
        <f t="shared" si="47"/>
        <v>2.4009461856889347E-2</v>
      </c>
      <c r="K224" s="35">
        <f t="shared" si="48"/>
        <v>196.90999999999985</v>
      </c>
      <c r="L224" s="21">
        <f t="shared" si="42"/>
        <v>2</v>
      </c>
      <c r="M224" s="9">
        <f t="shared" si="43"/>
        <v>1</v>
      </c>
      <c r="N224">
        <f t="shared" si="44"/>
        <v>196.90999999999985</v>
      </c>
      <c r="O224">
        <f t="shared" si="45"/>
        <v>0</v>
      </c>
    </row>
    <row r="225" spans="1:15">
      <c r="A225" s="6">
        <v>44834</v>
      </c>
      <c r="B225" s="1" t="s">
        <v>118</v>
      </c>
      <c r="C225">
        <v>530</v>
      </c>
      <c r="D225">
        <v>2.29</v>
      </c>
      <c r="E225">
        <v>3.5</v>
      </c>
      <c r="F225">
        <v>2.08</v>
      </c>
      <c r="G225" s="21">
        <f t="shared" si="46"/>
        <v>6.7619047619047628</v>
      </c>
      <c r="H225" s="6">
        <v>44840</v>
      </c>
      <c r="I225" s="29">
        <v>2.2999999999999998</v>
      </c>
      <c r="J225" s="30">
        <f t="shared" si="47"/>
        <v>4.366812227074135E-3</v>
      </c>
      <c r="K225" s="35">
        <f t="shared" si="48"/>
        <v>5.2999999999999545</v>
      </c>
      <c r="L225" s="21">
        <f t="shared" si="42"/>
        <v>6</v>
      </c>
      <c r="M225" s="9">
        <f t="shared" si="43"/>
        <v>1</v>
      </c>
      <c r="N225">
        <f t="shared" si="44"/>
        <v>5.2999999999999545</v>
      </c>
      <c r="O225">
        <f t="shared" si="45"/>
        <v>0</v>
      </c>
    </row>
    <row r="226" spans="1:15">
      <c r="A226" s="6">
        <v>44834</v>
      </c>
      <c r="B226" s="1" t="s">
        <v>232</v>
      </c>
      <c r="C226">
        <v>53</v>
      </c>
      <c r="D226">
        <v>152.43</v>
      </c>
      <c r="E226">
        <v>213</v>
      </c>
      <c r="F226">
        <v>141.91999999999999</v>
      </c>
      <c r="G226" s="21">
        <f t="shared" si="46"/>
        <v>6.7630827783063641</v>
      </c>
      <c r="H226" s="6">
        <v>44841</v>
      </c>
      <c r="I226" s="16">
        <v>152.36000000000001</v>
      </c>
      <c r="J226" s="25">
        <f t="shared" si="47"/>
        <v>-4.5922718624935577E-4</v>
      </c>
      <c r="K226" s="36">
        <f t="shared" si="48"/>
        <v>-3.7099999999991269</v>
      </c>
      <c r="L226" s="24">
        <f t="shared" si="42"/>
        <v>7</v>
      </c>
      <c r="M226" s="9">
        <f t="shared" si="43"/>
        <v>0</v>
      </c>
      <c r="N226">
        <f t="shared" si="44"/>
        <v>0</v>
      </c>
      <c r="O226">
        <f t="shared" si="45"/>
        <v>-3.7099999999991269</v>
      </c>
    </row>
    <row r="227" spans="1:15">
      <c r="A227" s="6">
        <v>44834</v>
      </c>
      <c r="B227" s="1" t="s">
        <v>260</v>
      </c>
      <c r="C227">
        <v>1520</v>
      </c>
      <c r="D227">
        <v>5.7</v>
      </c>
      <c r="E227">
        <v>7.83</v>
      </c>
      <c r="F227">
        <v>4.9800000000000004</v>
      </c>
      <c r="G227" s="21">
        <f t="shared" si="46"/>
        <v>3.9583333333333344</v>
      </c>
      <c r="H227" s="6">
        <v>44837</v>
      </c>
      <c r="I227" s="16">
        <v>4.42</v>
      </c>
      <c r="J227" s="25">
        <f t="shared" si="47"/>
        <v>-0.22456140350877196</v>
      </c>
      <c r="K227" s="36">
        <f t="shared" si="48"/>
        <v>-1945.6000000000004</v>
      </c>
      <c r="L227" s="24">
        <f t="shared" si="42"/>
        <v>3</v>
      </c>
      <c r="M227" s="9">
        <f t="shared" si="43"/>
        <v>0</v>
      </c>
      <c r="N227">
        <f t="shared" si="44"/>
        <v>0</v>
      </c>
      <c r="O227">
        <f t="shared" si="45"/>
        <v>-1945.6000000000004</v>
      </c>
    </row>
    <row r="228" spans="1:15">
      <c r="A228" s="6">
        <v>44834</v>
      </c>
      <c r="B228" s="1" t="s">
        <v>227</v>
      </c>
      <c r="C228">
        <v>32</v>
      </c>
      <c r="D228">
        <v>284.04000000000002</v>
      </c>
      <c r="E228">
        <v>400</v>
      </c>
      <c r="F228">
        <v>275</v>
      </c>
      <c r="G228" s="21">
        <f t="shared" si="46"/>
        <v>13.827433628318552</v>
      </c>
      <c r="H228" s="6">
        <v>44834</v>
      </c>
      <c r="I228" s="16">
        <v>275</v>
      </c>
      <c r="J228" s="25">
        <f t="shared" si="47"/>
        <v>-3.1826503309393073E-2</v>
      </c>
      <c r="K228" s="36">
        <f t="shared" si="48"/>
        <v>-289.28000000000065</v>
      </c>
      <c r="L228" s="24">
        <f t="shared" si="42"/>
        <v>0</v>
      </c>
      <c r="M228" s="9">
        <f t="shared" si="43"/>
        <v>0</v>
      </c>
      <c r="N228">
        <f t="shared" si="44"/>
        <v>0</v>
      </c>
      <c r="O228">
        <f t="shared" si="45"/>
        <v>-289.28000000000065</v>
      </c>
    </row>
    <row r="229" spans="1:15">
      <c r="A229" s="6">
        <v>44834</v>
      </c>
      <c r="B229" s="1" t="s">
        <v>114</v>
      </c>
      <c r="C229">
        <v>311</v>
      </c>
      <c r="D229">
        <v>24.48</v>
      </c>
      <c r="E229">
        <v>31.8</v>
      </c>
      <c r="F229">
        <v>23.3</v>
      </c>
      <c r="G229" s="21">
        <f t="shared" si="46"/>
        <v>7.2033898305084767</v>
      </c>
      <c r="H229" s="6">
        <v>44845</v>
      </c>
      <c r="I229" s="29">
        <v>26.34</v>
      </c>
      <c r="J229" s="30">
        <f t="shared" si="47"/>
        <v>7.5980392156862697E-2</v>
      </c>
      <c r="K229" s="35">
        <f t="shared" si="48"/>
        <v>578.46</v>
      </c>
      <c r="L229" s="24">
        <f t="shared" si="42"/>
        <v>11</v>
      </c>
      <c r="M229" s="9">
        <f t="shared" si="43"/>
        <v>1</v>
      </c>
      <c r="N229">
        <f t="shared" si="44"/>
        <v>578.46</v>
      </c>
      <c r="O229">
        <f t="shared" si="45"/>
        <v>0</v>
      </c>
    </row>
    <row r="230" spans="1:15">
      <c r="A230" s="6">
        <v>44833</v>
      </c>
      <c r="B230" s="1" t="s">
        <v>122</v>
      </c>
      <c r="C230">
        <v>392</v>
      </c>
      <c r="D230">
        <v>2.16</v>
      </c>
      <c r="E230">
        <v>3.3</v>
      </c>
      <c r="F230">
        <v>1.82</v>
      </c>
      <c r="G230" s="21">
        <f t="shared" si="46"/>
        <v>4.3529411764705861</v>
      </c>
      <c r="H230" s="6">
        <v>44841</v>
      </c>
      <c r="I230" s="29">
        <v>2.23</v>
      </c>
      <c r="J230" s="30">
        <f t="shared" si="47"/>
        <v>3.240740740740744E-2</v>
      </c>
      <c r="K230" s="35">
        <f t="shared" si="48"/>
        <v>27.439999999999941</v>
      </c>
      <c r="L230" s="21">
        <f t="shared" si="42"/>
        <v>8</v>
      </c>
      <c r="M230" s="9">
        <f t="shared" si="43"/>
        <v>1</v>
      </c>
      <c r="N230">
        <f t="shared" si="44"/>
        <v>27.439999999999941</v>
      </c>
      <c r="O230">
        <f t="shared" si="45"/>
        <v>0</v>
      </c>
    </row>
    <row r="231" spans="1:15">
      <c r="A231" s="6">
        <v>44833</v>
      </c>
      <c r="B231" s="1" t="s">
        <v>15</v>
      </c>
      <c r="C231">
        <v>14</v>
      </c>
      <c r="D231">
        <v>103.36</v>
      </c>
      <c r="E231">
        <v>117.71</v>
      </c>
      <c r="F231">
        <v>97.55</v>
      </c>
      <c r="G231" s="21">
        <f t="shared" si="46"/>
        <v>3.469879518072287</v>
      </c>
      <c r="H231" s="6">
        <v>44845</v>
      </c>
      <c r="I231" s="29">
        <v>113.81</v>
      </c>
      <c r="J231" s="30">
        <f t="shared" si="47"/>
        <v>0.10110294117647056</v>
      </c>
      <c r="K231" s="35">
        <f t="shared" si="48"/>
        <v>146.30000000000018</v>
      </c>
      <c r="L231" s="24">
        <f t="shared" si="42"/>
        <v>12</v>
      </c>
      <c r="M231" s="9">
        <f t="shared" si="43"/>
        <v>1</v>
      </c>
      <c r="N231">
        <f t="shared" si="44"/>
        <v>146.30000000000018</v>
      </c>
      <c r="O231">
        <f t="shared" si="45"/>
        <v>0</v>
      </c>
    </row>
    <row r="232" spans="1:15">
      <c r="A232" s="6">
        <v>44833</v>
      </c>
      <c r="B232" s="1" t="s">
        <v>124</v>
      </c>
      <c r="C232">
        <v>320</v>
      </c>
      <c r="D232">
        <v>26.49</v>
      </c>
      <c r="E232">
        <v>38.03</v>
      </c>
      <c r="F232">
        <v>23.54</v>
      </c>
      <c r="G232" s="21">
        <f t="shared" si="46"/>
        <v>4.9118644067796629</v>
      </c>
      <c r="H232" s="6">
        <v>44839</v>
      </c>
      <c r="I232" s="29">
        <v>30.36</v>
      </c>
      <c r="J232" s="30">
        <f t="shared" si="47"/>
        <v>0.14609286523216314</v>
      </c>
      <c r="K232" s="35">
        <f t="shared" si="48"/>
        <v>1238.4000000000015</v>
      </c>
      <c r="L232" s="21">
        <f t="shared" si="42"/>
        <v>6</v>
      </c>
      <c r="M232" s="9">
        <f t="shared" si="43"/>
        <v>1</v>
      </c>
      <c r="N232">
        <f t="shared" si="44"/>
        <v>1238.4000000000015</v>
      </c>
      <c r="O232">
        <f t="shared" si="45"/>
        <v>0</v>
      </c>
    </row>
    <row r="233" spans="1:15">
      <c r="A233" s="6">
        <v>44833</v>
      </c>
      <c r="B233" s="1" t="s">
        <v>260</v>
      </c>
      <c r="C233">
        <v>1520</v>
      </c>
      <c r="D233">
        <v>5.56</v>
      </c>
      <c r="E233">
        <v>7.83</v>
      </c>
      <c r="F233">
        <v>5.32</v>
      </c>
      <c r="G233" s="21">
        <f t="shared" si="46"/>
        <v>10.458333333333362</v>
      </c>
      <c r="H233" s="6">
        <v>44834</v>
      </c>
      <c r="I233" s="16">
        <v>5.3</v>
      </c>
      <c r="J233" s="25">
        <f t="shared" si="47"/>
        <v>-4.6762589928057485E-2</v>
      </c>
      <c r="K233" s="36">
        <f t="shared" si="48"/>
        <v>-395.19999999999891</v>
      </c>
      <c r="L233" s="24">
        <f t="shared" si="42"/>
        <v>1</v>
      </c>
      <c r="M233" s="9">
        <f t="shared" si="43"/>
        <v>0</v>
      </c>
      <c r="N233">
        <f t="shared" si="44"/>
        <v>0</v>
      </c>
      <c r="O233">
        <f t="shared" si="45"/>
        <v>-395.19999999999891</v>
      </c>
    </row>
    <row r="234" spans="1:15">
      <c r="A234" s="6">
        <v>44833</v>
      </c>
      <c r="B234" s="1" t="s">
        <v>93</v>
      </c>
      <c r="C234">
        <v>293</v>
      </c>
      <c r="D234">
        <v>29.45</v>
      </c>
      <c r="E234">
        <v>33.76</v>
      </c>
      <c r="F234">
        <v>27.61</v>
      </c>
      <c r="G234" s="21">
        <f t="shared" si="46"/>
        <v>3.3423913043478257</v>
      </c>
      <c r="H234" s="6">
        <v>44838</v>
      </c>
      <c r="I234" s="16">
        <v>28.38</v>
      </c>
      <c r="J234" s="25">
        <f t="shared" si="47"/>
        <v>-3.6332767402376898E-2</v>
      </c>
      <c r="K234" s="36">
        <f t="shared" si="48"/>
        <v>-313.51000000000022</v>
      </c>
      <c r="L234" s="24">
        <f t="shared" si="42"/>
        <v>5</v>
      </c>
      <c r="M234" s="9">
        <f t="shared" si="43"/>
        <v>0</v>
      </c>
      <c r="N234">
        <f t="shared" si="44"/>
        <v>0</v>
      </c>
      <c r="O234">
        <f t="shared" si="45"/>
        <v>-313.51000000000022</v>
      </c>
    </row>
    <row r="235" spans="1:15">
      <c r="A235" s="6">
        <v>44832</v>
      </c>
      <c r="B235" s="1" t="s">
        <v>13</v>
      </c>
      <c r="C235">
        <v>203</v>
      </c>
      <c r="D235">
        <v>5.0199999999999996</v>
      </c>
      <c r="E235">
        <v>6.83</v>
      </c>
      <c r="F235">
        <v>4.6399999999999997</v>
      </c>
      <c r="G235" s="21">
        <f t="shared" si="46"/>
        <v>5.7631578947368451</v>
      </c>
      <c r="H235" s="6">
        <v>44841</v>
      </c>
      <c r="I235" s="29">
        <v>6.08</v>
      </c>
      <c r="J235" s="30">
        <f t="shared" si="47"/>
        <v>0.21115537848605581</v>
      </c>
      <c r="K235" s="35">
        <f t="shared" si="48"/>
        <v>215.18000000000006</v>
      </c>
      <c r="L235" s="21">
        <f t="shared" si="42"/>
        <v>9</v>
      </c>
      <c r="M235" s="9">
        <f t="shared" si="43"/>
        <v>1</v>
      </c>
      <c r="N235">
        <f t="shared" si="44"/>
        <v>215.18000000000006</v>
      </c>
      <c r="O235">
        <f t="shared" si="45"/>
        <v>0</v>
      </c>
    </row>
    <row r="236" spans="1:15">
      <c r="A236" s="6">
        <v>44832</v>
      </c>
      <c r="B236" s="1" t="s">
        <v>198</v>
      </c>
      <c r="C236">
        <v>41</v>
      </c>
      <c r="D236">
        <v>24.42</v>
      </c>
      <c r="E236">
        <v>36.619999999999997</v>
      </c>
      <c r="F236">
        <v>22.56</v>
      </c>
      <c r="G236" s="21">
        <f t="shared" si="46"/>
        <v>7.5591397849462236</v>
      </c>
      <c r="H236" s="6">
        <v>44841</v>
      </c>
      <c r="I236" s="29">
        <v>26.5</v>
      </c>
      <c r="J236" s="30">
        <f t="shared" si="47"/>
        <v>8.5176085176084992E-2</v>
      </c>
      <c r="K236" s="35">
        <f t="shared" si="48"/>
        <v>85.279999999999973</v>
      </c>
      <c r="L236" s="21">
        <f t="shared" si="42"/>
        <v>9</v>
      </c>
      <c r="M236" s="9">
        <f t="shared" si="43"/>
        <v>1</v>
      </c>
      <c r="N236">
        <f t="shared" si="44"/>
        <v>85.279999999999973</v>
      </c>
      <c r="O236">
        <f t="shared" si="45"/>
        <v>0</v>
      </c>
    </row>
    <row r="237" spans="1:15">
      <c r="A237" s="6">
        <v>44832</v>
      </c>
      <c r="B237" s="1" t="s">
        <v>185</v>
      </c>
      <c r="C237">
        <v>50</v>
      </c>
      <c r="D237">
        <v>20.62</v>
      </c>
      <c r="E237">
        <v>34</v>
      </c>
      <c r="F237">
        <v>19.38</v>
      </c>
      <c r="G237" s="21">
        <f t="shared" si="46"/>
        <v>11.790322580645142</v>
      </c>
      <c r="H237" s="6">
        <v>44839</v>
      </c>
      <c r="I237" s="16">
        <v>20.41</v>
      </c>
      <c r="J237" s="25">
        <f t="shared" si="47"/>
        <v>-1.0184287099903044E-2</v>
      </c>
      <c r="K237" s="36">
        <f t="shared" si="48"/>
        <v>-10.5</v>
      </c>
      <c r="L237" s="24">
        <f t="shared" si="42"/>
        <v>7</v>
      </c>
      <c r="M237" s="9">
        <f t="shared" si="43"/>
        <v>0</v>
      </c>
      <c r="N237">
        <f t="shared" si="44"/>
        <v>0</v>
      </c>
      <c r="O237">
        <f t="shared" si="45"/>
        <v>-10.5</v>
      </c>
    </row>
    <row r="238" spans="1:15">
      <c r="A238" s="6">
        <v>44832</v>
      </c>
      <c r="B238" s="1" t="s">
        <v>260</v>
      </c>
      <c r="C238">
        <v>1340</v>
      </c>
      <c r="D238">
        <v>5.25</v>
      </c>
      <c r="E238">
        <v>7.83</v>
      </c>
      <c r="F238">
        <v>4.3099999999999996</v>
      </c>
      <c r="G238" s="21">
        <f t="shared" si="46"/>
        <v>3.7446808510638285</v>
      </c>
      <c r="H238" s="6">
        <v>44833</v>
      </c>
      <c r="I238" s="29">
        <v>5.56</v>
      </c>
      <c r="J238" s="30">
        <f t="shared" si="47"/>
        <v>5.9047619047619015E-2</v>
      </c>
      <c r="K238" s="35">
        <f t="shared" si="48"/>
        <v>415.39999999999964</v>
      </c>
      <c r="L238" s="21">
        <f t="shared" si="42"/>
        <v>1</v>
      </c>
      <c r="M238" s="9">
        <f t="shared" si="43"/>
        <v>1</v>
      </c>
      <c r="N238">
        <f t="shared" si="44"/>
        <v>415.39999999999964</v>
      </c>
      <c r="O238">
        <f t="shared" si="45"/>
        <v>0</v>
      </c>
    </row>
    <row r="239" spans="1:15">
      <c r="A239" s="6">
        <v>44832</v>
      </c>
      <c r="B239" s="1" t="s">
        <v>21</v>
      </c>
      <c r="C239">
        <v>71</v>
      </c>
      <c r="D239">
        <v>117.7</v>
      </c>
      <c r="E239">
        <v>140</v>
      </c>
      <c r="F239">
        <v>110.97</v>
      </c>
      <c r="G239" s="21">
        <f t="shared" si="46"/>
        <v>4.3135215453194631</v>
      </c>
      <c r="H239" s="6">
        <v>44844</v>
      </c>
      <c r="I239" s="29">
        <v>138.19999999999999</v>
      </c>
      <c r="J239" s="30">
        <f t="shared" si="47"/>
        <v>0.1741716227697534</v>
      </c>
      <c r="K239" s="35">
        <f t="shared" si="48"/>
        <v>1455.4999999999982</v>
      </c>
      <c r="L239" s="24">
        <f t="shared" si="42"/>
        <v>12</v>
      </c>
      <c r="M239" s="9">
        <f t="shared" si="43"/>
        <v>1</v>
      </c>
      <c r="N239">
        <f t="shared" si="44"/>
        <v>1455.4999999999982</v>
      </c>
      <c r="O239">
        <f t="shared" si="45"/>
        <v>0</v>
      </c>
    </row>
    <row r="240" spans="1:15">
      <c r="A240" s="6">
        <v>44832</v>
      </c>
      <c r="B240" s="1" t="s">
        <v>21</v>
      </c>
      <c r="C240">
        <v>6</v>
      </c>
      <c r="D240">
        <v>117.7</v>
      </c>
      <c r="E240">
        <v>140</v>
      </c>
      <c r="F240">
        <v>110.97</v>
      </c>
      <c r="G240" s="21">
        <f t="shared" si="46"/>
        <v>4.3135215453194631</v>
      </c>
      <c r="H240" s="6">
        <v>44840</v>
      </c>
      <c r="I240" s="29">
        <v>142</v>
      </c>
      <c r="J240" s="30">
        <f t="shared" si="47"/>
        <v>0.20645709430756165</v>
      </c>
      <c r="K240" s="35">
        <f t="shared" si="48"/>
        <v>145.79999999999995</v>
      </c>
      <c r="L240" s="21">
        <f t="shared" si="42"/>
        <v>8</v>
      </c>
      <c r="M240" s="9">
        <f t="shared" si="43"/>
        <v>1</v>
      </c>
      <c r="N240">
        <f t="shared" si="44"/>
        <v>145.79999999999995</v>
      </c>
      <c r="O240">
        <f t="shared" si="45"/>
        <v>0</v>
      </c>
    </row>
    <row r="241" spans="1:15">
      <c r="A241" s="6">
        <v>44831</v>
      </c>
      <c r="B241" t="s">
        <v>17</v>
      </c>
      <c r="C241">
        <v>14</v>
      </c>
      <c r="D241">
        <v>58.3</v>
      </c>
      <c r="E241">
        <v>67.2</v>
      </c>
      <c r="F241">
        <v>54.3</v>
      </c>
      <c r="G241" s="21">
        <f t="shared" si="46"/>
        <v>3.2250000000000014</v>
      </c>
      <c r="H241" s="6">
        <v>44844</v>
      </c>
      <c r="I241" s="29">
        <v>68.41</v>
      </c>
      <c r="J241" s="30">
        <f t="shared" si="47"/>
        <v>0.17341337907375642</v>
      </c>
      <c r="K241" s="35">
        <f t="shared" si="48"/>
        <v>141.54000000000008</v>
      </c>
      <c r="L241" s="24">
        <f t="shared" si="42"/>
        <v>13</v>
      </c>
      <c r="M241" s="9">
        <f t="shared" si="43"/>
        <v>1</v>
      </c>
      <c r="N241">
        <f t="shared" si="44"/>
        <v>141.54000000000008</v>
      </c>
      <c r="O241">
        <f t="shared" si="45"/>
        <v>0</v>
      </c>
    </row>
    <row r="242" spans="1:15">
      <c r="A242" s="6">
        <v>44831</v>
      </c>
      <c r="B242" t="s">
        <v>17</v>
      </c>
      <c r="C242">
        <v>3</v>
      </c>
      <c r="D242">
        <v>58.3</v>
      </c>
      <c r="E242">
        <v>67.2</v>
      </c>
      <c r="F242">
        <v>54.3</v>
      </c>
      <c r="G242" s="21">
        <f t="shared" si="46"/>
        <v>3.2250000000000014</v>
      </c>
      <c r="H242" s="6">
        <v>44840</v>
      </c>
      <c r="I242" s="29">
        <v>70.72</v>
      </c>
      <c r="J242" s="30">
        <f t="shared" si="47"/>
        <v>0.21303602058319049</v>
      </c>
      <c r="K242" s="35">
        <f t="shared" si="48"/>
        <v>37.260000000000019</v>
      </c>
      <c r="L242" s="21">
        <f t="shared" si="42"/>
        <v>9</v>
      </c>
      <c r="M242" s="9">
        <f t="shared" si="43"/>
        <v>1</v>
      </c>
      <c r="N242">
        <f t="shared" si="44"/>
        <v>37.260000000000019</v>
      </c>
      <c r="O242">
        <f t="shared" si="45"/>
        <v>0</v>
      </c>
    </row>
    <row r="243" spans="1:15">
      <c r="A243" s="6">
        <v>44831</v>
      </c>
      <c r="B243" s="1" t="s">
        <v>87</v>
      </c>
      <c r="C243">
        <v>32</v>
      </c>
      <c r="D243">
        <v>279.36</v>
      </c>
      <c r="E243">
        <v>309.07</v>
      </c>
      <c r="F243">
        <v>270.31</v>
      </c>
      <c r="G243" s="21">
        <f t="shared" si="46"/>
        <v>4.282872928176789</v>
      </c>
      <c r="H243" s="6">
        <v>44833</v>
      </c>
      <c r="I243" s="16">
        <v>270.32</v>
      </c>
      <c r="J243" s="25">
        <f t="shared" si="47"/>
        <v>-3.2359679266895869E-2</v>
      </c>
      <c r="K243" s="36">
        <f t="shared" si="48"/>
        <v>-289.28000000000065</v>
      </c>
      <c r="L243" s="24">
        <f t="shared" si="42"/>
        <v>2</v>
      </c>
      <c r="M243" s="9">
        <f t="shared" si="43"/>
        <v>0</v>
      </c>
      <c r="N243">
        <f t="shared" si="44"/>
        <v>0</v>
      </c>
      <c r="O243">
        <f t="shared" si="45"/>
        <v>-289.28000000000065</v>
      </c>
    </row>
    <row r="244" spans="1:15">
      <c r="A244" s="6">
        <v>44831</v>
      </c>
      <c r="B244" s="1" t="s">
        <v>19</v>
      </c>
      <c r="C244">
        <v>770</v>
      </c>
      <c r="D244">
        <v>11.92</v>
      </c>
      <c r="E244">
        <v>15.04</v>
      </c>
      <c r="F244">
        <v>11.33</v>
      </c>
      <c r="G244" s="21">
        <f t="shared" si="46"/>
        <v>6.2881355932203391</v>
      </c>
      <c r="H244" s="6">
        <v>44833</v>
      </c>
      <c r="I244" s="29">
        <v>12.5</v>
      </c>
      <c r="J244" s="30">
        <f t="shared" si="47"/>
        <v>4.8657718120805438E-2</v>
      </c>
      <c r="K244" s="35">
        <f t="shared" si="48"/>
        <v>446.60000000000036</v>
      </c>
      <c r="L244" s="21">
        <f t="shared" si="42"/>
        <v>2</v>
      </c>
      <c r="M244" s="9">
        <f t="shared" si="43"/>
        <v>1</v>
      </c>
      <c r="N244">
        <f t="shared" si="44"/>
        <v>446.60000000000036</v>
      </c>
      <c r="O244">
        <f t="shared" si="45"/>
        <v>0</v>
      </c>
    </row>
    <row r="245" spans="1:15">
      <c r="A245" s="6">
        <v>44830</v>
      </c>
      <c r="B245" s="1" t="s">
        <v>249</v>
      </c>
      <c r="C245">
        <v>5</v>
      </c>
      <c r="D245">
        <v>209.67</v>
      </c>
      <c r="E245">
        <v>251.7</v>
      </c>
      <c r="F245">
        <v>200</v>
      </c>
      <c r="G245" s="21">
        <f t="shared" si="46"/>
        <v>5.3464322647363032</v>
      </c>
      <c r="H245" s="6">
        <v>44844</v>
      </c>
      <c r="I245" s="29">
        <v>251</v>
      </c>
      <c r="J245" s="30">
        <f t="shared" si="47"/>
        <v>0.19711928268231027</v>
      </c>
      <c r="K245" s="35">
        <f t="shared" si="48"/>
        <v>206.65000000000009</v>
      </c>
      <c r="L245" s="21">
        <f t="shared" si="42"/>
        <v>14</v>
      </c>
      <c r="M245" s="9">
        <f t="shared" si="43"/>
        <v>1</v>
      </c>
      <c r="N245">
        <f t="shared" si="44"/>
        <v>206.65000000000009</v>
      </c>
      <c r="O245">
        <f t="shared" si="45"/>
        <v>0</v>
      </c>
    </row>
    <row r="246" spans="1:15">
      <c r="A246" s="6">
        <v>44830</v>
      </c>
      <c r="B246" s="1" t="s">
        <v>233</v>
      </c>
      <c r="C246">
        <v>5</v>
      </c>
      <c r="D246">
        <v>267.67</v>
      </c>
      <c r="E246">
        <v>307</v>
      </c>
      <c r="F246">
        <v>260.31</v>
      </c>
      <c r="G246" s="21">
        <f t="shared" si="46"/>
        <v>6.3437499999999876</v>
      </c>
      <c r="H246" s="6">
        <v>44833</v>
      </c>
      <c r="I246" s="16">
        <v>264.79000000000002</v>
      </c>
      <c r="J246" s="25">
        <f t="shared" si="47"/>
        <v>-1.0759517316098144E-2</v>
      </c>
      <c r="K246" s="36">
        <f t="shared" si="48"/>
        <v>-14.400000000000091</v>
      </c>
      <c r="L246" s="24">
        <f t="shared" si="42"/>
        <v>3</v>
      </c>
      <c r="M246" s="9">
        <f t="shared" si="43"/>
        <v>0</v>
      </c>
      <c r="N246">
        <f t="shared" si="44"/>
        <v>0</v>
      </c>
      <c r="O246">
        <f t="shared" si="45"/>
        <v>-14.400000000000091</v>
      </c>
    </row>
    <row r="247" spans="1:15">
      <c r="A247" s="6">
        <v>44830</v>
      </c>
      <c r="B247" s="1" t="s">
        <v>122</v>
      </c>
      <c r="C247">
        <v>527</v>
      </c>
      <c r="D247">
        <v>2.06</v>
      </c>
      <c r="E247">
        <v>3.3</v>
      </c>
      <c r="F247">
        <v>1.93</v>
      </c>
      <c r="G247" s="21">
        <f t="shared" si="46"/>
        <v>10.538461538461528</v>
      </c>
      <c r="H247" s="6">
        <v>44832</v>
      </c>
      <c r="I247" s="16">
        <v>1.91</v>
      </c>
      <c r="J247" s="25">
        <f t="shared" si="47"/>
        <v>-7.2815533980582603E-2</v>
      </c>
      <c r="K247" s="36">
        <f t="shared" si="48"/>
        <v>-79.050000000000182</v>
      </c>
      <c r="L247" s="24">
        <f t="shared" ref="L247:L273" si="49">H247-A247</f>
        <v>2</v>
      </c>
      <c r="M247" s="9">
        <f t="shared" si="43"/>
        <v>0</v>
      </c>
      <c r="N247">
        <f t="shared" si="44"/>
        <v>0</v>
      </c>
      <c r="O247">
        <f t="shared" si="45"/>
        <v>-79.050000000000182</v>
      </c>
    </row>
    <row r="248" spans="1:15">
      <c r="A248" s="6">
        <v>44830</v>
      </c>
      <c r="B248" s="1" t="s">
        <v>205</v>
      </c>
      <c r="C248">
        <v>23</v>
      </c>
      <c r="D248">
        <v>395.27</v>
      </c>
      <c r="E248">
        <v>446</v>
      </c>
      <c r="F248">
        <v>366</v>
      </c>
      <c r="G248" s="21">
        <f t="shared" si="46"/>
        <v>2.7331738981892739</v>
      </c>
      <c r="H248" s="6">
        <v>44837</v>
      </c>
      <c r="I248" s="29">
        <v>401.23</v>
      </c>
      <c r="J248" s="30">
        <f t="shared" si="47"/>
        <v>1.5078300908240028E-2</v>
      </c>
      <c r="K248" s="35">
        <f t="shared" si="48"/>
        <v>137.08000000000175</v>
      </c>
      <c r="L248" s="24">
        <f t="shared" si="49"/>
        <v>7</v>
      </c>
      <c r="M248" s="9">
        <f t="shared" si="43"/>
        <v>1</v>
      </c>
      <c r="N248">
        <f t="shared" si="44"/>
        <v>137.08000000000175</v>
      </c>
      <c r="O248">
        <f t="shared" si="45"/>
        <v>0</v>
      </c>
    </row>
    <row r="249" spans="1:15">
      <c r="A249" s="6">
        <v>44830</v>
      </c>
      <c r="B249" s="1" t="s">
        <v>94</v>
      </c>
      <c r="C249">
        <v>53</v>
      </c>
      <c r="D249">
        <v>153.63</v>
      </c>
      <c r="E249">
        <v>170</v>
      </c>
      <c r="F249">
        <v>148.37</v>
      </c>
      <c r="G249" s="21">
        <f t="shared" si="46"/>
        <v>4.1121673003802348</v>
      </c>
      <c r="H249" s="6">
        <v>44832</v>
      </c>
      <c r="I249" s="16">
        <v>147.71</v>
      </c>
      <c r="J249" s="25">
        <f t="shared" si="47"/>
        <v>-3.8534140467356592E-2</v>
      </c>
      <c r="K249" s="36">
        <f t="shared" si="48"/>
        <v>-313.75999999999931</v>
      </c>
      <c r="L249" s="24">
        <f t="shared" si="49"/>
        <v>2</v>
      </c>
      <c r="M249" s="9">
        <f t="shared" si="43"/>
        <v>0</v>
      </c>
      <c r="N249">
        <f t="shared" si="44"/>
        <v>0</v>
      </c>
      <c r="O249">
        <f t="shared" si="45"/>
        <v>-313.75999999999931</v>
      </c>
    </row>
    <row r="250" spans="1:15">
      <c r="A250" s="6">
        <v>44830</v>
      </c>
      <c r="B250" s="1" t="s">
        <v>75</v>
      </c>
      <c r="C250">
        <v>1520</v>
      </c>
      <c r="D250">
        <v>5.47</v>
      </c>
      <c r="E250">
        <v>6.66</v>
      </c>
      <c r="F250">
        <v>5</v>
      </c>
      <c r="G250" s="21">
        <f t="shared" si="46"/>
        <v>3.5319148936170235</v>
      </c>
      <c r="H250" s="6">
        <v>44834</v>
      </c>
      <c r="I250" s="16">
        <v>5.04</v>
      </c>
      <c r="J250" s="25">
        <f t="shared" si="47"/>
        <v>-7.8610603290676373E-2</v>
      </c>
      <c r="K250" s="36">
        <f t="shared" si="48"/>
        <v>-653.59999999999945</v>
      </c>
      <c r="L250" s="24">
        <f t="shared" si="49"/>
        <v>4</v>
      </c>
      <c r="M250" s="9">
        <f t="shared" si="43"/>
        <v>0</v>
      </c>
      <c r="N250">
        <f t="shared" si="44"/>
        <v>0</v>
      </c>
      <c r="O250">
        <f t="shared" si="45"/>
        <v>-653.59999999999945</v>
      </c>
    </row>
    <row r="251" spans="1:15">
      <c r="A251" s="6">
        <v>44830</v>
      </c>
      <c r="B251" s="1" t="s">
        <v>124</v>
      </c>
      <c r="C251">
        <v>350</v>
      </c>
      <c r="D251">
        <v>25.51</v>
      </c>
      <c r="E251">
        <v>38.03</v>
      </c>
      <c r="F251">
        <v>22.73</v>
      </c>
      <c r="G251" s="21">
        <f t="shared" si="46"/>
        <v>5.503597122302156</v>
      </c>
      <c r="H251" s="6">
        <v>44833</v>
      </c>
      <c r="I251" s="29">
        <v>26.52</v>
      </c>
      <c r="J251" s="30">
        <f t="shared" si="47"/>
        <v>3.9592316738533917E-2</v>
      </c>
      <c r="K251" s="35">
        <f t="shared" si="48"/>
        <v>353.5</v>
      </c>
      <c r="L251" s="21">
        <f t="shared" si="49"/>
        <v>3</v>
      </c>
      <c r="M251" s="9">
        <f t="shared" si="43"/>
        <v>1</v>
      </c>
      <c r="N251">
        <f t="shared" si="44"/>
        <v>353.5</v>
      </c>
      <c r="O251">
        <f t="shared" si="45"/>
        <v>0</v>
      </c>
    </row>
    <row r="252" spans="1:15">
      <c r="A252" s="6">
        <v>44830</v>
      </c>
      <c r="B252" s="1" t="s">
        <v>46</v>
      </c>
      <c r="C252">
        <v>140</v>
      </c>
      <c r="D252">
        <v>63.57</v>
      </c>
      <c r="E252">
        <v>69.91</v>
      </c>
      <c r="F252">
        <v>61.55</v>
      </c>
      <c r="G252" s="21">
        <f t="shared" si="46"/>
        <v>4.1386138613861316</v>
      </c>
      <c r="H252" s="6">
        <v>44840</v>
      </c>
      <c r="I252" s="29">
        <v>66.05</v>
      </c>
      <c r="J252" s="30">
        <f t="shared" si="47"/>
        <v>3.9012112631744422E-2</v>
      </c>
      <c r="K252" s="35">
        <f t="shared" si="48"/>
        <v>347.20000000000073</v>
      </c>
      <c r="L252" s="24">
        <f t="shared" si="49"/>
        <v>10</v>
      </c>
      <c r="M252" s="9">
        <f t="shared" si="43"/>
        <v>1</v>
      </c>
      <c r="N252">
        <f t="shared" si="44"/>
        <v>347.20000000000073</v>
      </c>
      <c r="O252">
        <f t="shared" si="45"/>
        <v>0</v>
      </c>
    </row>
    <row r="253" spans="1:15">
      <c r="A253" s="6">
        <v>44827</v>
      </c>
      <c r="B253" t="s">
        <v>148</v>
      </c>
      <c r="C253">
        <v>950</v>
      </c>
      <c r="D253">
        <v>9.48</v>
      </c>
      <c r="E253">
        <v>11</v>
      </c>
      <c r="F253">
        <v>9</v>
      </c>
      <c r="G253" s="21">
        <f t="shared" si="46"/>
        <v>4.1666666666666625</v>
      </c>
      <c r="H253" s="6">
        <v>44830</v>
      </c>
      <c r="I253" s="16">
        <v>9.14</v>
      </c>
      <c r="J253" s="25">
        <f t="shared" si="47"/>
        <v>-3.5864978902953593E-2</v>
      </c>
      <c r="K253" s="36">
        <f t="shared" si="48"/>
        <v>-323</v>
      </c>
      <c r="L253" s="24">
        <f t="shared" si="49"/>
        <v>3</v>
      </c>
      <c r="M253" s="9">
        <f t="shared" si="43"/>
        <v>0</v>
      </c>
      <c r="N253">
        <f t="shared" si="44"/>
        <v>0</v>
      </c>
      <c r="O253">
        <f t="shared" si="45"/>
        <v>-323</v>
      </c>
    </row>
    <row r="254" spans="1:15">
      <c r="A254" s="6">
        <v>44826</v>
      </c>
      <c r="B254" s="1" t="s">
        <v>126</v>
      </c>
      <c r="C254">
        <v>251</v>
      </c>
      <c r="D254">
        <v>35.020000000000003</v>
      </c>
      <c r="E254">
        <v>40</v>
      </c>
      <c r="F254">
        <v>32.92</v>
      </c>
      <c r="G254" s="21">
        <f t="shared" si="46"/>
        <v>3.3714285714285683</v>
      </c>
      <c r="H254" s="6">
        <v>44831</v>
      </c>
      <c r="I254" s="16">
        <v>33.909999999999997</v>
      </c>
      <c r="J254" s="25">
        <f t="shared" si="47"/>
        <v>-3.1696173615077261E-2</v>
      </c>
      <c r="K254" s="36">
        <f t="shared" si="48"/>
        <v>-278.61000000000058</v>
      </c>
      <c r="L254" s="24">
        <f t="shared" si="49"/>
        <v>5</v>
      </c>
      <c r="M254" s="9">
        <f t="shared" si="43"/>
        <v>0</v>
      </c>
      <c r="N254">
        <f t="shared" si="44"/>
        <v>0</v>
      </c>
      <c r="O254">
        <f t="shared" si="45"/>
        <v>-278.61000000000058</v>
      </c>
    </row>
    <row r="255" spans="1:15">
      <c r="A255" s="6">
        <v>44826</v>
      </c>
      <c r="B255" s="1" t="s">
        <v>54</v>
      </c>
      <c r="C255">
        <v>185</v>
      </c>
      <c r="D255">
        <v>46.98</v>
      </c>
      <c r="E255">
        <v>51.45</v>
      </c>
      <c r="F255">
        <v>45.53</v>
      </c>
      <c r="G255" s="21">
        <f t="shared" si="46"/>
        <v>4.0827586206896687</v>
      </c>
      <c r="H255" s="6">
        <v>44832</v>
      </c>
      <c r="I255" s="29">
        <v>46.99</v>
      </c>
      <c r="J255" s="30">
        <f t="shared" si="47"/>
        <v>2.1285653469571564E-4</v>
      </c>
      <c r="K255" s="35">
        <f t="shared" si="48"/>
        <v>1.8500000000003638</v>
      </c>
      <c r="L255" s="21">
        <f t="shared" si="49"/>
        <v>6</v>
      </c>
      <c r="M255" s="9">
        <f t="shared" si="43"/>
        <v>1</v>
      </c>
      <c r="N255">
        <f t="shared" si="44"/>
        <v>1.8500000000003638</v>
      </c>
      <c r="O255">
        <f t="shared" si="45"/>
        <v>0</v>
      </c>
    </row>
    <row r="256" spans="1:15">
      <c r="A256" s="6">
        <v>44826</v>
      </c>
      <c r="B256" s="1" t="s">
        <v>250</v>
      </c>
      <c r="C256">
        <v>260</v>
      </c>
      <c r="D256">
        <v>34.56</v>
      </c>
      <c r="E256">
        <v>38.909999999999997</v>
      </c>
      <c r="F256">
        <v>33.79</v>
      </c>
      <c r="G256" s="21">
        <f t="shared" si="46"/>
        <v>6.6493506493506187</v>
      </c>
      <c r="H256" s="6">
        <v>44831</v>
      </c>
      <c r="I256" s="16">
        <v>33.47</v>
      </c>
      <c r="J256" s="25">
        <f t="shared" si="47"/>
        <v>-3.1539351851851971E-2</v>
      </c>
      <c r="K256" s="36">
        <f t="shared" si="48"/>
        <v>-283.40000000000146</v>
      </c>
      <c r="L256" s="24">
        <f t="shared" si="49"/>
        <v>5</v>
      </c>
      <c r="M256" s="9">
        <f t="shared" si="43"/>
        <v>0</v>
      </c>
      <c r="N256">
        <f t="shared" si="44"/>
        <v>0</v>
      </c>
      <c r="O256">
        <f t="shared" si="45"/>
        <v>-283.40000000000146</v>
      </c>
    </row>
    <row r="257" spans="1:15">
      <c r="A257" s="6">
        <v>44826</v>
      </c>
      <c r="B257" s="1" t="s">
        <v>251</v>
      </c>
      <c r="C257">
        <v>3</v>
      </c>
      <c r="D257">
        <v>346.45</v>
      </c>
      <c r="E257">
        <v>374</v>
      </c>
      <c r="F257">
        <v>337.18</v>
      </c>
      <c r="G257" s="21">
        <f t="shared" si="46"/>
        <v>3.9719525350593381</v>
      </c>
      <c r="H257" s="6">
        <v>44832</v>
      </c>
      <c r="I257" s="29">
        <v>348.61</v>
      </c>
      <c r="J257" s="30">
        <f t="shared" si="47"/>
        <v>6.2346658969549829E-3</v>
      </c>
      <c r="K257" s="35">
        <f t="shared" si="48"/>
        <v>6.4800000000000182</v>
      </c>
      <c r="L257" s="24">
        <f t="shared" si="49"/>
        <v>6</v>
      </c>
      <c r="M257" s="9">
        <f t="shared" si="43"/>
        <v>1</v>
      </c>
      <c r="N257">
        <f t="shared" si="44"/>
        <v>6.4800000000000182</v>
      </c>
      <c r="O257">
        <f t="shared" si="45"/>
        <v>0</v>
      </c>
    </row>
    <row r="258" spans="1:15">
      <c r="A258" s="6">
        <v>44826</v>
      </c>
      <c r="B258" s="1" t="s">
        <v>40</v>
      </c>
      <c r="C258">
        <v>14</v>
      </c>
      <c r="D258">
        <v>83.12</v>
      </c>
      <c r="E258">
        <v>90</v>
      </c>
      <c r="F258">
        <v>78.55</v>
      </c>
      <c r="G258" s="21">
        <f t="shared" si="46"/>
        <v>2.5054704595185959</v>
      </c>
      <c r="H258" s="6">
        <v>44830</v>
      </c>
      <c r="I258" s="16">
        <v>75.150000000000006</v>
      </c>
      <c r="J258" s="25">
        <f t="shared" si="47"/>
        <v>-9.5885466794995211E-2</v>
      </c>
      <c r="K258" s="36">
        <f t="shared" si="48"/>
        <v>-111.57999999999993</v>
      </c>
      <c r="L258" s="24">
        <f t="shared" si="49"/>
        <v>4</v>
      </c>
      <c r="M258" s="9">
        <f t="shared" si="43"/>
        <v>0</v>
      </c>
      <c r="N258">
        <f t="shared" si="44"/>
        <v>0</v>
      </c>
      <c r="O258">
        <f t="shared" si="45"/>
        <v>-111.57999999999993</v>
      </c>
    </row>
    <row r="259" spans="1:15">
      <c r="A259" s="6">
        <v>44826</v>
      </c>
      <c r="B259" t="s">
        <v>217</v>
      </c>
      <c r="C259">
        <v>89</v>
      </c>
      <c r="D259">
        <v>94.23</v>
      </c>
      <c r="E259">
        <v>100</v>
      </c>
      <c r="F259">
        <v>91</v>
      </c>
      <c r="G259" s="21">
        <f t="shared" si="46"/>
        <v>2.7863777089783248</v>
      </c>
      <c r="H259" s="6">
        <v>44826</v>
      </c>
      <c r="I259" s="16">
        <v>90.99</v>
      </c>
      <c r="J259" s="25">
        <f t="shared" si="47"/>
        <v>-3.4383954154727836E-2</v>
      </c>
      <c r="K259" s="36">
        <f t="shared" si="48"/>
        <v>-288.36000000000149</v>
      </c>
      <c r="L259" s="24">
        <f t="shared" si="49"/>
        <v>0</v>
      </c>
      <c r="M259" s="9">
        <f t="shared" si="43"/>
        <v>0</v>
      </c>
      <c r="N259">
        <f t="shared" si="44"/>
        <v>0</v>
      </c>
      <c r="O259">
        <f t="shared" si="45"/>
        <v>-288.36000000000149</v>
      </c>
    </row>
    <row r="260" spans="1:15">
      <c r="A260" s="6">
        <v>44825</v>
      </c>
      <c r="B260" s="1" t="s">
        <v>228</v>
      </c>
      <c r="C260">
        <v>9</v>
      </c>
      <c r="D260">
        <v>114.08</v>
      </c>
      <c r="E260">
        <v>143.56</v>
      </c>
      <c r="F260">
        <v>100.13</v>
      </c>
      <c r="G260" s="21">
        <f t="shared" si="46"/>
        <v>3.1132616487455196</v>
      </c>
      <c r="H260" s="6">
        <v>44840</v>
      </c>
      <c r="I260" s="29">
        <v>116</v>
      </c>
      <c r="J260" s="30">
        <f t="shared" si="47"/>
        <v>1.6830294530154388E-2</v>
      </c>
      <c r="K260" s="35">
        <f t="shared" si="48"/>
        <v>17.279999999999973</v>
      </c>
      <c r="L260" s="24">
        <f t="shared" si="49"/>
        <v>15</v>
      </c>
      <c r="M260" s="9">
        <f t="shared" si="43"/>
        <v>1</v>
      </c>
      <c r="N260">
        <f t="shared" si="44"/>
        <v>17.279999999999973</v>
      </c>
      <c r="O260">
        <f t="shared" si="45"/>
        <v>0</v>
      </c>
    </row>
    <row r="261" spans="1:15">
      <c r="A261" s="6">
        <v>44825</v>
      </c>
      <c r="B261" s="1" t="s">
        <v>165</v>
      </c>
      <c r="C261">
        <v>77</v>
      </c>
      <c r="D261">
        <v>14.53</v>
      </c>
      <c r="E261">
        <v>17.77</v>
      </c>
      <c r="F261">
        <v>14.23</v>
      </c>
      <c r="G261" s="21">
        <f t="shared" si="46"/>
        <v>11.80000000000004</v>
      </c>
      <c r="H261" s="6">
        <v>44834</v>
      </c>
      <c r="I261" s="16">
        <v>14.01</v>
      </c>
      <c r="J261" s="25">
        <f t="shared" si="47"/>
        <v>-3.5788024776324812E-2</v>
      </c>
      <c r="K261" s="36">
        <f t="shared" si="48"/>
        <v>-40.039999999999964</v>
      </c>
      <c r="L261" s="24">
        <f t="shared" si="49"/>
        <v>9</v>
      </c>
      <c r="M261" s="9">
        <f t="shared" si="43"/>
        <v>0</v>
      </c>
      <c r="N261">
        <f t="shared" si="44"/>
        <v>0</v>
      </c>
      <c r="O261">
        <f t="shared" si="45"/>
        <v>-40.039999999999964</v>
      </c>
    </row>
    <row r="262" spans="1:15">
      <c r="A262" s="6">
        <v>44825</v>
      </c>
      <c r="B262" s="1" t="s">
        <v>140</v>
      </c>
      <c r="C262">
        <v>71</v>
      </c>
      <c r="D262">
        <v>15.63</v>
      </c>
      <c r="E262">
        <v>18</v>
      </c>
      <c r="F262">
        <v>14.97</v>
      </c>
      <c r="G262" s="21">
        <f t="shared" si="46"/>
        <v>4.5909090909090891</v>
      </c>
      <c r="H262" s="6">
        <v>44831</v>
      </c>
      <c r="I262" s="16">
        <v>14.39</v>
      </c>
      <c r="J262" s="25">
        <f t="shared" si="47"/>
        <v>-7.9334612923864345E-2</v>
      </c>
      <c r="K262" s="36">
        <f t="shared" si="48"/>
        <v>-88.039999999999964</v>
      </c>
      <c r="L262" s="24">
        <f t="shared" si="49"/>
        <v>6</v>
      </c>
      <c r="M262" s="9">
        <f t="shared" ref="M262:M325" si="50">IF(J262&gt;0,1,0)</f>
        <v>0</v>
      </c>
      <c r="N262">
        <f t="shared" ref="N262:N325" si="51">IF(K262&gt;0, K262, 0)</f>
        <v>0</v>
      </c>
      <c r="O262">
        <f t="shared" ref="O262:O325" si="52">IF(K262&lt;0, K262, 0)</f>
        <v>-88.039999999999964</v>
      </c>
    </row>
    <row r="263" spans="1:15">
      <c r="A263" s="6">
        <v>44825</v>
      </c>
      <c r="B263" s="1" t="s">
        <v>168</v>
      </c>
      <c r="C263">
        <v>98</v>
      </c>
      <c r="D263">
        <v>84.68</v>
      </c>
      <c r="E263">
        <v>108</v>
      </c>
      <c r="F263">
        <v>83</v>
      </c>
      <c r="G263" s="21">
        <f t="shared" si="46"/>
        <v>14.880952380952321</v>
      </c>
      <c r="H263" s="6">
        <v>44833</v>
      </c>
      <c r="I263" s="16">
        <v>83.42</v>
      </c>
      <c r="J263" s="25">
        <f t="shared" si="47"/>
        <v>-1.4879546528105858E-2</v>
      </c>
      <c r="K263" s="36">
        <f t="shared" si="48"/>
        <v>-123.48000000000138</v>
      </c>
      <c r="L263" s="24">
        <f t="shared" si="49"/>
        <v>8</v>
      </c>
      <c r="M263" s="9">
        <f t="shared" si="50"/>
        <v>0</v>
      </c>
      <c r="N263">
        <f t="shared" si="51"/>
        <v>0</v>
      </c>
      <c r="O263">
        <f t="shared" si="52"/>
        <v>-123.48000000000138</v>
      </c>
    </row>
    <row r="264" spans="1:15">
      <c r="A264" s="6">
        <v>44824</v>
      </c>
      <c r="B264" s="1" t="s">
        <v>124</v>
      </c>
      <c r="C264">
        <v>320</v>
      </c>
      <c r="D264" s="1">
        <v>30.06</v>
      </c>
      <c r="E264" s="1">
        <v>50</v>
      </c>
      <c r="F264" s="1">
        <v>26.37</v>
      </c>
      <c r="G264" s="21">
        <f t="shared" si="46"/>
        <v>6.4037940379403828</v>
      </c>
      <c r="H264" s="6">
        <v>44827</v>
      </c>
      <c r="I264" s="19">
        <v>25.47</v>
      </c>
      <c r="J264" s="25">
        <f t="shared" si="47"/>
        <v>-0.15269461077844315</v>
      </c>
      <c r="K264" s="36">
        <f t="shared" si="48"/>
        <v>-1468.7999999999993</v>
      </c>
      <c r="L264" s="24">
        <f t="shared" si="49"/>
        <v>3</v>
      </c>
      <c r="M264" s="9">
        <f t="shared" si="50"/>
        <v>0</v>
      </c>
      <c r="N264">
        <f t="shared" si="51"/>
        <v>0</v>
      </c>
      <c r="O264">
        <f t="shared" si="52"/>
        <v>-1468.7999999999993</v>
      </c>
    </row>
    <row r="265" spans="1:15">
      <c r="A265" s="6">
        <v>44824</v>
      </c>
      <c r="B265" s="1" t="s">
        <v>87</v>
      </c>
      <c r="C265">
        <v>32</v>
      </c>
      <c r="D265" s="1">
        <v>308.22000000000003</v>
      </c>
      <c r="E265" s="1">
        <v>350</v>
      </c>
      <c r="F265" s="1">
        <v>291.5</v>
      </c>
      <c r="G265" s="21">
        <f t="shared" si="46"/>
        <v>3.4988038277511904</v>
      </c>
      <c r="H265" s="6">
        <v>44826</v>
      </c>
      <c r="I265" s="19">
        <v>291.47000000000003</v>
      </c>
      <c r="J265" s="25">
        <f t="shared" si="47"/>
        <v>-5.4344299526312367E-2</v>
      </c>
      <c r="K265" s="36">
        <f t="shared" si="48"/>
        <v>-536</v>
      </c>
      <c r="L265" s="24">
        <f t="shared" si="49"/>
        <v>2</v>
      </c>
      <c r="M265" s="9">
        <f t="shared" si="50"/>
        <v>0</v>
      </c>
      <c r="N265">
        <f t="shared" si="51"/>
        <v>0</v>
      </c>
      <c r="O265">
        <f t="shared" si="52"/>
        <v>-536</v>
      </c>
    </row>
    <row r="266" spans="1:15">
      <c r="A266" s="6">
        <v>44824</v>
      </c>
      <c r="B266" s="1" t="s">
        <v>94</v>
      </c>
      <c r="C266">
        <v>53</v>
      </c>
      <c r="D266" s="1">
        <v>154.85</v>
      </c>
      <c r="E266" s="1">
        <v>170</v>
      </c>
      <c r="F266" s="1">
        <v>148.37</v>
      </c>
      <c r="G266" s="21">
        <f t="shared" si="46"/>
        <v>3.3379629629629677</v>
      </c>
      <c r="H266" s="6">
        <v>44825</v>
      </c>
      <c r="I266" s="31">
        <v>155.30000000000001</v>
      </c>
      <c r="J266" s="30">
        <f t="shared" si="47"/>
        <v>2.9060381013885639E-3</v>
      </c>
      <c r="K266" s="35">
        <f t="shared" si="48"/>
        <v>23.850000000002183</v>
      </c>
      <c r="L266" s="21">
        <f t="shared" si="49"/>
        <v>1</v>
      </c>
      <c r="M266" s="9">
        <f t="shared" si="50"/>
        <v>1</v>
      </c>
      <c r="N266">
        <f t="shared" si="51"/>
        <v>23.850000000002183</v>
      </c>
      <c r="O266">
        <f t="shared" si="52"/>
        <v>0</v>
      </c>
    </row>
    <row r="267" spans="1:15">
      <c r="A267" s="6">
        <v>44824</v>
      </c>
      <c r="B267" s="1" t="s">
        <v>148</v>
      </c>
      <c r="C267">
        <v>716</v>
      </c>
      <c r="D267" s="1">
        <v>9.68</v>
      </c>
      <c r="E267" s="1">
        <v>11.27</v>
      </c>
      <c r="F267" s="1">
        <v>9.2100000000000009</v>
      </c>
      <c r="G267" s="21">
        <f t="shared" si="46"/>
        <v>4.3829787234042632</v>
      </c>
      <c r="H267" s="6">
        <v>44826</v>
      </c>
      <c r="I267" s="19">
        <v>9.2200000000000006</v>
      </c>
      <c r="J267" s="25">
        <f t="shared" si="47"/>
        <v>-4.7520661157024691E-2</v>
      </c>
      <c r="K267" s="36">
        <f t="shared" si="48"/>
        <v>-329.35999999999967</v>
      </c>
      <c r="L267" s="24">
        <f t="shared" si="49"/>
        <v>2</v>
      </c>
      <c r="M267" s="9">
        <f t="shared" si="50"/>
        <v>0</v>
      </c>
      <c r="N267">
        <f t="shared" si="51"/>
        <v>0</v>
      </c>
      <c r="O267">
        <f t="shared" si="52"/>
        <v>-329.35999999999967</v>
      </c>
    </row>
    <row r="268" spans="1:15">
      <c r="A268" s="6">
        <v>44824</v>
      </c>
      <c r="B268" s="1" t="s">
        <v>130</v>
      </c>
      <c r="C268">
        <v>71</v>
      </c>
      <c r="D268" s="1">
        <v>125.82</v>
      </c>
      <c r="E268" s="1">
        <v>146.25</v>
      </c>
      <c r="F268" s="1">
        <v>123</v>
      </c>
      <c r="G268" s="21">
        <f t="shared" si="46"/>
        <v>8.2446808510638494</v>
      </c>
      <c r="H268" s="6">
        <v>44826</v>
      </c>
      <c r="I268" s="19">
        <v>123.01</v>
      </c>
      <c r="J268" s="25">
        <f t="shared" si="47"/>
        <v>-2.2333492290573687E-2</v>
      </c>
      <c r="K268" s="36">
        <f t="shared" si="48"/>
        <v>-199.5099999999984</v>
      </c>
      <c r="L268" s="24">
        <f t="shared" si="49"/>
        <v>2</v>
      </c>
      <c r="M268" s="9">
        <f t="shared" si="50"/>
        <v>0</v>
      </c>
      <c r="N268">
        <f t="shared" si="51"/>
        <v>0</v>
      </c>
      <c r="O268">
        <f t="shared" si="52"/>
        <v>-199.5099999999984</v>
      </c>
    </row>
    <row r="269" spans="1:15">
      <c r="A269" s="6">
        <v>44823</v>
      </c>
      <c r="B269" s="1" t="s">
        <v>211</v>
      </c>
      <c r="C269">
        <v>3</v>
      </c>
      <c r="D269">
        <v>420.54</v>
      </c>
      <c r="E269">
        <v>514.42999999999995</v>
      </c>
      <c r="F269">
        <v>400</v>
      </c>
      <c r="G269" s="21">
        <f t="shared" si="46"/>
        <v>5.5710808179162532</v>
      </c>
      <c r="H269" s="6">
        <v>44833</v>
      </c>
      <c r="I269" s="19">
        <v>364.63</v>
      </c>
      <c r="J269" s="25">
        <f t="shared" si="47"/>
        <v>-0.13294811432919584</v>
      </c>
      <c r="K269" s="36">
        <f t="shared" si="48"/>
        <v>-167.73000000000025</v>
      </c>
      <c r="L269" s="24">
        <f t="shared" si="49"/>
        <v>10</v>
      </c>
      <c r="M269" s="9">
        <f t="shared" si="50"/>
        <v>0</v>
      </c>
      <c r="N269">
        <f t="shared" si="51"/>
        <v>0</v>
      </c>
      <c r="O269">
        <f t="shared" si="52"/>
        <v>-167.73000000000025</v>
      </c>
    </row>
    <row r="270" spans="1:15">
      <c r="A270" s="6">
        <v>44823</v>
      </c>
      <c r="B270" s="1" t="s">
        <v>33</v>
      </c>
      <c r="C270">
        <v>14</v>
      </c>
      <c r="D270">
        <v>76.94</v>
      </c>
      <c r="E270">
        <v>86.52</v>
      </c>
      <c r="F270">
        <v>73.400000000000006</v>
      </c>
      <c r="G270" s="21">
        <f t="shared" si="46"/>
        <v>3.7062146892655425</v>
      </c>
      <c r="H270" s="6">
        <v>44832</v>
      </c>
      <c r="I270" s="19">
        <v>69.95</v>
      </c>
      <c r="J270" s="25">
        <f t="shared" si="47"/>
        <v>-9.0850012997140572E-2</v>
      </c>
      <c r="K270" s="36">
        <f t="shared" si="48"/>
        <v>-97.859999999999786</v>
      </c>
      <c r="L270" s="24">
        <f t="shared" si="49"/>
        <v>9</v>
      </c>
      <c r="M270" s="9">
        <f t="shared" si="50"/>
        <v>0</v>
      </c>
      <c r="N270">
        <f t="shared" si="51"/>
        <v>0</v>
      </c>
      <c r="O270">
        <f t="shared" si="52"/>
        <v>-97.859999999999786</v>
      </c>
    </row>
    <row r="271" spans="1:15">
      <c r="A271" s="6">
        <v>44823</v>
      </c>
      <c r="B271" s="1" t="s">
        <v>190</v>
      </c>
      <c r="C271">
        <v>260</v>
      </c>
      <c r="D271" s="1">
        <v>38.340000000000003</v>
      </c>
      <c r="E271" s="1">
        <v>48</v>
      </c>
      <c r="F271" s="1">
        <v>36.99</v>
      </c>
      <c r="G271" s="21">
        <f t="shared" si="46"/>
        <v>8.1555555555555461</v>
      </c>
      <c r="H271" s="6">
        <v>44826</v>
      </c>
      <c r="I271" s="19">
        <v>36.979999999999997</v>
      </c>
      <c r="J271" s="25">
        <f t="shared" si="47"/>
        <v>-3.5472091810120121E-2</v>
      </c>
      <c r="K271" s="36">
        <f t="shared" si="48"/>
        <v>-353.60000000000218</v>
      </c>
      <c r="L271" s="24">
        <f t="shared" si="49"/>
        <v>3</v>
      </c>
      <c r="M271" s="9">
        <f t="shared" si="50"/>
        <v>0</v>
      </c>
      <c r="N271">
        <f t="shared" si="51"/>
        <v>0</v>
      </c>
      <c r="O271">
        <f t="shared" si="52"/>
        <v>-353.60000000000218</v>
      </c>
    </row>
    <row r="272" spans="1:15">
      <c r="A272" s="6">
        <v>44823</v>
      </c>
      <c r="B272" s="1" t="s">
        <v>17</v>
      </c>
      <c r="C272">
        <v>152</v>
      </c>
      <c r="D272" s="1">
        <v>64.5</v>
      </c>
      <c r="E272" s="1">
        <v>75.5</v>
      </c>
      <c r="F272" s="1">
        <v>62</v>
      </c>
      <c r="G272" s="21">
        <f t="shared" si="46"/>
        <v>5.4</v>
      </c>
      <c r="H272" s="6">
        <v>44826</v>
      </c>
      <c r="I272" s="19">
        <v>62</v>
      </c>
      <c r="J272" s="25">
        <f t="shared" si="47"/>
        <v>-3.8759689922480578E-2</v>
      </c>
      <c r="K272" s="36">
        <f t="shared" si="48"/>
        <v>-380</v>
      </c>
      <c r="L272" s="24">
        <f t="shared" si="49"/>
        <v>3</v>
      </c>
      <c r="M272" s="9">
        <f t="shared" si="50"/>
        <v>0</v>
      </c>
      <c r="N272">
        <f t="shared" si="51"/>
        <v>0</v>
      </c>
      <c r="O272">
        <f t="shared" si="52"/>
        <v>-380</v>
      </c>
    </row>
    <row r="273" spans="1:15">
      <c r="A273" s="6">
        <v>44820</v>
      </c>
      <c r="B273" s="1" t="s">
        <v>227</v>
      </c>
      <c r="C273">
        <v>32</v>
      </c>
      <c r="D273" s="1">
        <v>296.19</v>
      </c>
      <c r="E273" s="1">
        <v>400</v>
      </c>
      <c r="F273" s="1">
        <v>289.70999999999998</v>
      </c>
      <c r="G273" s="21">
        <f t="shared" si="46"/>
        <v>17.020061728395017</v>
      </c>
      <c r="H273" s="6">
        <v>44824</v>
      </c>
      <c r="I273" s="16">
        <v>289.75</v>
      </c>
      <c r="J273" s="25">
        <f t="shared" si="47"/>
        <v>-2.1742800229582304E-2</v>
      </c>
      <c r="K273" s="36">
        <f t="shared" si="48"/>
        <v>-206.07999999999993</v>
      </c>
      <c r="L273" s="24">
        <f t="shared" si="49"/>
        <v>4</v>
      </c>
      <c r="M273" s="9">
        <f t="shared" si="50"/>
        <v>0</v>
      </c>
      <c r="N273">
        <f t="shared" si="51"/>
        <v>0</v>
      </c>
      <c r="O273">
        <f t="shared" si="52"/>
        <v>-206.07999999999993</v>
      </c>
    </row>
    <row r="274" spans="1:15">
      <c r="A274" s="6">
        <v>44820</v>
      </c>
      <c r="B274" s="1" t="s">
        <v>168</v>
      </c>
      <c r="C274">
        <v>104</v>
      </c>
      <c r="D274" s="1">
        <v>85.65</v>
      </c>
      <c r="E274" s="1">
        <v>108</v>
      </c>
      <c r="F274" s="1">
        <v>83</v>
      </c>
      <c r="G274" s="21">
        <f t="shared" si="46"/>
        <v>9.4339622641509226</v>
      </c>
      <c r="H274" s="6">
        <v>44824</v>
      </c>
      <c r="I274" s="19">
        <v>82.24</v>
      </c>
      <c r="J274" s="25">
        <f t="shared" si="47"/>
        <v>-3.9813193228254606E-2</v>
      </c>
      <c r="K274" s="36">
        <f t="shared" si="48"/>
        <v>-354.64000000000124</v>
      </c>
      <c r="L274" s="24">
        <f>H274-A285</f>
        <v>6</v>
      </c>
      <c r="M274" s="9">
        <f t="shared" si="50"/>
        <v>0</v>
      </c>
      <c r="N274">
        <f t="shared" si="51"/>
        <v>0</v>
      </c>
      <c r="O274">
        <f t="shared" si="52"/>
        <v>-354.64000000000124</v>
      </c>
    </row>
    <row r="275" spans="1:15">
      <c r="A275" s="6">
        <v>44820</v>
      </c>
      <c r="B275" s="1" t="s">
        <v>69</v>
      </c>
      <c r="C275">
        <v>140</v>
      </c>
      <c r="D275" s="1">
        <v>64.349999999999994</v>
      </c>
      <c r="E275" s="1">
        <v>71</v>
      </c>
      <c r="F275" s="1">
        <v>61</v>
      </c>
      <c r="G275" s="21">
        <f t="shared" si="46"/>
        <v>2.9850746268656767</v>
      </c>
      <c r="H275" s="6">
        <v>44824</v>
      </c>
      <c r="I275" s="31">
        <v>65.260000000000005</v>
      </c>
      <c r="J275" s="30">
        <f t="shared" si="47"/>
        <v>1.4141414141414232E-2</v>
      </c>
      <c r="K275" s="35">
        <f t="shared" si="48"/>
        <v>127.40000000000146</v>
      </c>
      <c r="L275" s="21">
        <f t="shared" ref="L275:L338" si="53">H275-A275</f>
        <v>4</v>
      </c>
      <c r="M275" s="9">
        <f t="shared" si="50"/>
        <v>1</v>
      </c>
      <c r="N275">
        <f t="shared" si="51"/>
        <v>127.40000000000146</v>
      </c>
      <c r="O275">
        <f t="shared" si="52"/>
        <v>0</v>
      </c>
    </row>
    <row r="276" spans="1:15">
      <c r="A276" s="6">
        <v>44820</v>
      </c>
      <c r="B276" s="1" t="s">
        <v>232</v>
      </c>
      <c r="C276">
        <v>53</v>
      </c>
      <c r="D276" s="1">
        <v>160.86000000000001</v>
      </c>
      <c r="E276" s="1">
        <v>213</v>
      </c>
      <c r="F276" s="1">
        <v>154</v>
      </c>
      <c r="G276" s="21">
        <f t="shared" si="46"/>
        <v>8.6005830903789917</v>
      </c>
      <c r="H276" s="6">
        <v>44824</v>
      </c>
      <c r="I276" s="31">
        <v>161</v>
      </c>
      <c r="J276" s="30">
        <f t="shared" si="47"/>
        <v>8.7032201914705176E-4</v>
      </c>
      <c r="K276" s="35">
        <f t="shared" si="48"/>
        <v>7.4200000000000728</v>
      </c>
      <c r="L276" s="21">
        <f t="shared" si="53"/>
        <v>4</v>
      </c>
      <c r="M276" s="9">
        <f t="shared" si="50"/>
        <v>1</v>
      </c>
      <c r="N276">
        <f t="shared" si="51"/>
        <v>7.4200000000000728</v>
      </c>
      <c r="O276">
        <f t="shared" si="52"/>
        <v>0</v>
      </c>
    </row>
    <row r="277" spans="1:15">
      <c r="A277" s="6">
        <v>44820</v>
      </c>
      <c r="B277" s="1" t="s">
        <v>22</v>
      </c>
      <c r="C277">
        <v>44</v>
      </c>
      <c r="D277">
        <v>28.3</v>
      </c>
      <c r="E277">
        <v>32.42</v>
      </c>
      <c r="F277">
        <v>26.15</v>
      </c>
      <c r="G277" s="21">
        <f t="shared" si="46"/>
        <v>2.9162790697674406</v>
      </c>
      <c r="H277" s="6">
        <v>44824</v>
      </c>
      <c r="I277" s="16">
        <v>26.16</v>
      </c>
      <c r="J277" s="25">
        <f t="shared" si="47"/>
        <v>-7.5618374558303891E-2</v>
      </c>
      <c r="K277" s="36">
        <f t="shared" si="48"/>
        <v>-94.160000000000082</v>
      </c>
      <c r="L277" s="21">
        <f t="shared" si="53"/>
        <v>4</v>
      </c>
      <c r="M277" s="9">
        <f t="shared" si="50"/>
        <v>0</v>
      </c>
      <c r="N277">
        <f t="shared" si="51"/>
        <v>0</v>
      </c>
      <c r="O277">
        <f t="shared" si="52"/>
        <v>-94.160000000000082</v>
      </c>
    </row>
    <row r="278" spans="1:15">
      <c r="A278" s="6">
        <v>44820</v>
      </c>
      <c r="B278" s="1" t="s">
        <v>163</v>
      </c>
      <c r="C278">
        <v>14</v>
      </c>
      <c r="D278">
        <v>89.9</v>
      </c>
      <c r="E278">
        <v>96.05</v>
      </c>
      <c r="F278">
        <v>86.11</v>
      </c>
      <c r="G278" s="21">
        <f t="shared" si="46"/>
        <v>2.6226912928759845</v>
      </c>
      <c r="H278" s="6">
        <v>44825</v>
      </c>
      <c r="I278" s="16">
        <v>86.17</v>
      </c>
      <c r="J278" s="25">
        <f t="shared" si="47"/>
        <v>-4.1490545050055672E-2</v>
      </c>
      <c r="K278" s="36">
        <f t="shared" si="48"/>
        <v>-52.220000000000027</v>
      </c>
      <c r="L278" s="21">
        <f t="shared" si="53"/>
        <v>5</v>
      </c>
      <c r="M278" s="9">
        <f t="shared" si="50"/>
        <v>0</v>
      </c>
      <c r="N278">
        <f t="shared" si="51"/>
        <v>0</v>
      </c>
      <c r="O278">
        <f t="shared" si="52"/>
        <v>-52.220000000000027</v>
      </c>
    </row>
    <row r="279" spans="1:15">
      <c r="A279" s="6">
        <v>44820</v>
      </c>
      <c r="B279" s="1" t="s">
        <v>140</v>
      </c>
      <c r="C279">
        <v>80</v>
      </c>
      <c r="D279">
        <v>15.39</v>
      </c>
      <c r="E279">
        <v>18</v>
      </c>
      <c r="F279">
        <v>14.97</v>
      </c>
      <c r="G279" s="21">
        <f t="shared" si="46"/>
        <v>7.2142857142857144</v>
      </c>
      <c r="H279" s="6">
        <v>44823</v>
      </c>
      <c r="I279" s="16">
        <v>15.02</v>
      </c>
      <c r="J279" s="25">
        <f t="shared" si="47"/>
        <v>-2.4041585445094271E-2</v>
      </c>
      <c r="K279" s="36">
        <f t="shared" si="48"/>
        <v>-29.600000000000136</v>
      </c>
      <c r="L279" s="21">
        <f t="shared" si="53"/>
        <v>3</v>
      </c>
      <c r="M279" s="9">
        <f t="shared" si="50"/>
        <v>0</v>
      </c>
      <c r="N279">
        <f t="shared" si="51"/>
        <v>0</v>
      </c>
      <c r="O279">
        <f t="shared" si="52"/>
        <v>-29.600000000000136</v>
      </c>
    </row>
    <row r="280" spans="1:15">
      <c r="A280" s="6">
        <v>44820</v>
      </c>
      <c r="B280" s="1" t="s">
        <v>224</v>
      </c>
      <c r="C280">
        <v>5</v>
      </c>
      <c r="D280">
        <v>227.31</v>
      </c>
      <c r="E280">
        <v>247</v>
      </c>
      <c r="F280">
        <v>221</v>
      </c>
      <c r="G280" s="21">
        <f t="shared" si="46"/>
        <v>4.1204437400950855</v>
      </c>
      <c r="H280" s="6">
        <v>44825</v>
      </c>
      <c r="I280" s="16">
        <v>225.86</v>
      </c>
      <c r="J280" s="25">
        <f t="shared" si="47"/>
        <v>-6.3789538515682809E-3</v>
      </c>
      <c r="K280" s="36">
        <f t="shared" si="48"/>
        <v>-7.2499999999997726</v>
      </c>
      <c r="L280" s="21">
        <f t="shared" si="53"/>
        <v>5</v>
      </c>
      <c r="M280" s="9">
        <f t="shared" si="50"/>
        <v>0</v>
      </c>
      <c r="N280">
        <f t="shared" si="51"/>
        <v>0</v>
      </c>
      <c r="O280">
        <f t="shared" si="52"/>
        <v>-7.2499999999997726</v>
      </c>
    </row>
    <row r="281" spans="1:15">
      <c r="A281" s="6">
        <v>44820</v>
      </c>
      <c r="B281" s="1" t="s">
        <v>222</v>
      </c>
      <c r="C281">
        <v>14</v>
      </c>
      <c r="D281">
        <v>77.95</v>
      </c>
      <c r="E281">
        <v>90</v>
      </c>
      <c r="F281">
        <v>75</v>
      </c>
      <c r="G281" s="21">
        <f t="shared" si="46"/>
        <v>5.0847457627118597</v>
      </c>
      <c r="H281" s="6">
        <v>44823</v>
      </c>
      <c r="I281" s="16">
        <v>75.66</v>
      </c>
      <c r="J281" s="25">
        <f t="shared" si="47"/>
        <v>-2.9377806286080888E-2</v>
      </c>
      <c r="K281" s="36">
        <f t="shared" si="48"/>
        <v>-32.059999999999945</v>
      </c>
      <c r="L281" s="21">
        <f t="shared" si="53"/>
        <v>3</v>
      </c>
      <c r="M281" s="9">
        <f t="shared" si="50"/>
        <v>0</v>
      </c>
      <c r="N281">
        <f t="shared" si="51"/>
        <v>0</v>
      </c>
      <c r="O281">
        <f t="shared" si="52"/>
        <v>-32.059999999999945</v>
      </c>
    </row>
    <row r="282" spans="1:15">
      <c r="A282" s="6">
        <v>44819</v>
      </c>
      <c r="B282" t="s">
        <v>58</v>
      </c>
      <c r="C282">
        <v>170</v>
      </c>
      <c r="D282">
        <v>6.8</v>
      </c>
      <c r="E282">
        <v>8</v>
      </c>
      <c r="F282">
        <v>6.44</v>
      </c>
      <c r="G282" s="21">
        <f t="shared" si="46"/>
        <v>4.3333333333333393</v>
      </c>
      <c r="H282" s="6">
        <v>44820</v>
      </c>
      <c r="I282" s="16">
        <v>6.43</v>
      </c>
      <c r="J282" s="25">
        <f t="shared" si="47"/>
        <v>-5.4411764705882382E-2</v>
      </c>
      <c r="K282" s="36">
        <f t="shared" si="48"/>
        <v>-62.900000000000091</v>
      </c>
      <c r="L282" s="21">
        <f t="shared" si="53"/>
        <v>1</v>
      </c>
      <c r="M282" s="9">
        <f t="shared" si="50"/>
        <v>0</v>
      </c>
      <c r="N282">
        <f t="shared" si="51"/>
        <v>0</v>
      </c>
      <c r="O282">
        <f t="shared" si="52"/>
        <v>-62.900000000000091</v>
      </c>
    </row>
    <row r="283" spans="1:15">
      <c r="A283" s="6">
        <v>44819</v>
      </c>
      <c r="B283" t="s">
        <v>227</v>
      </c>
      <c r="C283">
        <v>32</v>
      </c>
      <c r="D283">
        <v>323.52</v>
      </c>
      <c r="E283">
        <v>400</v>
      </c>
      <c r="F283">
        <v>300</v>
      </c>
      <c r="G283" s="21">
        <f t="shared" ref="G283:G346" si="54" xml:space="preserve"> (E283 - F283)/(D283-F283)</f>
        <v>4.251700680272112</v>
      </c>
      <c r="H283" s="6">
        <v>44820</v>
      </c>
      <c r="I283" s="16">
        <v>297.5</v>
      </c>
      <c r="J283" s="25">
        <f t="shared" si="47"/>
        <v>-8.0427794263105756E-2</v>
      </c>
      <c r="K283" s="36">
        <f t="shared" si="48"/>
        <v>-832.63999999999942</v>
      </c>
      <c r="L283" s="21">
        <f t="shared" si="53"/>
        <v>1</v>
      </c>
      <c r="M283" s="9">
        <f t="shared" si="50"/>
        <v>0</v>
      </c>
      <c r="N283">
        <f t="shared" si="51"/>
        <v>0</v>
      </c>
      <c r="O283">
        <f t="shared" si="52"/>
        <v>-832.63999999999942</v>
      </c>
    </row>
    <row r="284" spans="1:15">
      <c r="A284" s="6">
        <v>44818</v>
      </c>
      <c r="B284" s="1" t="s">
        <v>18</v>
      </c>
      <c r="C284">
        <v>23</v>
      </c>
      <c r="D284">
        <v>53.64</v>
      </c>
      <c r="E284" s="1">
        <v>60</v>
      </c>
      <c r="F284" s="1">
        <v>50</v>
      </c>
      <c r="G284" s="21">
        <f t="shared" si="54"/>
        <v>2.7472527472527468</v>
      </c>
      <c r="H284" s="6">
        <v>44826</v>
      </c>
      <c r="I284" s="16">
        <v>49.95</v>
      </c>
      <c r="J284" s="25">
        <f t="shared" si="47"/>
        <v>-6.8791946308724761E-2</v>
      </c>
      <c r="K284" s="36">
        <f t="shared" si="48"/>
        <v>-84.869999999999891</v>
      </c>
      <c r="L284" s="21">
        <f t="shared" si="53"/>
        <v>8</v>
      </c>
      <c r="M284" s="9">
        <f t="shared" si="50"/>
        <v>0</v>
      </c>
      <c r="N284">
        <f t="shared" si="51"/>
        <v>0</v>
      </c>
      <c r="O284">
        <f t="shared" si="52"/>
        <v>-84.869999999999891</v>
      </c>
    </row>
    <row r="285" spans="1:15">
      <c r="A285" s="6">
        <v>44818</v>
      </c>
      <c r="B285" s="1" t="s">
        <v>93</v>
      </c>
      <c r="C285">
        <v>41</v>
      </c>
      <c r="D285">
        <v>29.58</v>
      </c>
      <c r="E285" s="1">
        <v>33.76</v>
      </c>
      <c r="F285" s="1">
        <v>27.61</v>
      </c>
      <c r="G285" s="21">
        <f t="shared" si="54"/>
        <v>3.1218274111675139</v>
      </c>
      <c r="H285" s="6">
        <v>44826</v>
      </c>
      <c r="I285" s="16">
        <v>27.74</v>
      </c>
      <c r="J285" s="25">
        <f t="shared" si="47"/>
        <v>-6.2204192021636184E-2</v>
      </c>
      <c r="K285" s="36">
        <f t="shared" si="48"/>
        <v>-75.440000000000055</v>
      </c>
      <c r="L285" s="21">
        <f t="shared" si="53"/>
        <v>8</v>
      </c>
      <c r="M285" s="9">
        <f t="shared" si="50"/>
        <v>0</v>
      </c>
      <c r="N285">
        <f t="shared" si="51"/>
        <v>0</v>
      </c>
      <c r="O285">
        <f t="shared" si="52"/>
        <v>-75.440000000000055</v>
      </c>
    </row>
    <row r="286" spans="1:15">
      <c r="A286" s="6">
        <v>44818</v>
      </c>
      <c r="B286" s="1" t="s">
        <v>94</v>
      </c>
      <c r="C286">
        <v>8</v>
      </c>
      <c r="D286">
        <v>156.22</v>
      </c>
      <c r="E286" s="1">
        <v>170</v>
      </c>
      <c r="F286" s="1">
        <v>150</v>
      </c>
      <c r="G286" s="21">
        <f t="shared" si="54"/>
        <v>3.2154340836012869</v>
      </c>
      <c r="H286" s="6">
        <v>44820</v>
      </c>
      <c r="I286" s="16">
        <v>150.01</v>
      </c>
      <c r="J286" s="25">
        <f t="shared" ref="J286:J349" si="55">I286/D286 -1</f>
        <v>-3.9751632313404173E-2</v>
      </c>
      <c r="K286" s="36">
        <f t="shared" ref="K286:K349" si="56">(C286*I286) - (C286*D286)</f>
        <v>-49.680000000000064</v>
      </c>
      <c r="L286" s="21">
        <f t="shared" si="53"/>
        <v>2</v>
      </c>
      <c r="M286" s="9">
        <f t="shared" si="50"/>
        <v>0</v>
      </c>
      <c r="N286">
        <f t="shared" si="51"/>
        <v>0</v>
      </c>
      <c r="O286">
        <f t="shared" si="52"/>
        <v>-49.680000000000064</v>
      </c>
    </row>
    <row r="287" spans="1:15">
      <c r="A287" s="6">
        <v>44818</v>
      </c>
      <c r="B287" s="1" t="s">
        <v>17</v>
      </c>
      <c r="C287">
        <v>17</v>
      </c>
      <c r="D287">
        <v>67.64</v>
      </c>
      <c r="E287" s="1">
        <v>75.5</v>
      </c>
      <c r="F287" s="1">
        <v>64.069999999999993</v>
      </c>
      <c r="G287" s="21">
        <f t="shared" si="54"/>
        <v>3.2016806722689028</v>
      </c>
      <c r="H287" s="6">
        <v>44820</v>
      </c>
      <c r="I287" s="16">
        <v>64.069999999999993</v>
      </c>
      <c r="J287" s="25">
        <f t="shared" si="55"/>
        <v>-5.2779420461265603E-2</v>
      </c>
      <c r="K287" s="36">
        <f t="shared" si="56"/>
        <v>-60.690000000000282</v>
      </c>
      <c r="L287" s="21">
        <f t="shared" si="53"/>
        <v>2</v>
      </c>
      <c r="M287" s="9">
        <f t="shared" si="50"/>
        <v>0</v>
      </c>
      <c r="N287">
        <f t="shared" si="51"/>
        <v>0</v>
      </c>
      <c r="O287">
        <f t="shared" si="52"/>
        <v>-60.690000000000282</v>
      </c>
    </row>
    <row r="288" spans="1:15">
      <c r="A288" s="6">
        <v>44818</v>
      </c>
      <c r="B288" s="1" t="s">
        <v>165</v>
      </c>
      <c r="C288">
        <v>80</v>
      </c>
      <c r="D288">
        <v>15.94</v>
      </c>
      <c r="E288" s="1">
        <v>17.77</v>
      </c>
      <c r="F288" s="1">
        <v>14.9</v>
      </c>
      <c r="G288" s="21">
        <f t="shared" si="54"/>
        <v>2.7596153846153859</v>
      </c>
      <c r="H288" s="6">
        <v>44820</v>
      </c>
      <c r="I288" s="16">
        <v>14.9</v>
      </c>
      <c r="J288" s="25">
        <f t="shared" si="55"/>
        <v>-6.5244667503136733E-2</v>
      </c>
      <c r="K288" s="36">
        <f t="shared" si="56"/>
        <v>-83.200000000000045</v>
      </c>
      <c r="L288" s="21">
        <f t="shared" si="53"/>
        <v>2</v>
      </c>
      <c r="M288" s="9">
        <f t="shared" si="50"/>
        <v>0</v>
      </c>
      <c r="N288">
        <f t="shared" si="51"/>
        <v>0</v>
      </c>
      <c r="O288">
        <f t="shared" si="52"/>
        <v>-83.200000000000045</v>
      </c>
    </row>
    <row r="289" spans="1:15">
      <c r="A289" s="6">
        <v>44818</v>
      </c>
      <c r="B289" s="1" t="s">
        <v>137</v>
      </c>
      <c r="C289">
        <v>350</v>
      </c>
      <c r="D289">
        <v>27.07</v>
      </c>
      <c r="E289" s="1">
        <v>34.74</v>
      </c>
      <c r="F289" s="1">
        <v>26</v>
      </c>
      <c r="G289" s="21">
        <f t="shared" si="54"/>
        <v>8.1682242990654199</v>
      </c>
      <c r="H289" s="6">
        <v>44825</v>
      </c>
      <c r="I289" s="16">
        <v>26</v>
      </c>
      <c r="J289" s="25">
        <f t="shared" si="55"/>
        <v>-3.9527151828592566E-2</v>
      </c>
      <c r="K289" s="36">
        <f t="shared" si="56"/>
        <v>-374.5</v>
      </c>
      <c r="L289" s="21">
        <f t="shared" si="53"/>
        <v>7</v>
      </c>
      <c r="M289" s="9">
        <f t="shared" si="50"/>
        <v>0</v>
      </c>
      <c r="N289">
        <f t="shared" si="51"/>
        <v>0</v>
      </c>
      <c r="O289">
        <f t="shared" si="52"/>
        <v>-374.5</v>
      </c>
    </row>
    <row r="290" spans="1:15">
      <c r="A290" s="6">
        <v>44818</v>
      </c>
      <c r="B290" s="1" t="s">
        <v>217</v>
      </c>
      <c r="C290">
        <v>104</v>
      </c>
      <c r="D290">
        <v>86.89</v>
      </c>
      <c r="E290" s="1">
        <v>117</v>
      </c>
      <c r="F290" s="1">
        <v>82.43</v>
      </c>
      <c r="G290" s="21">
        <f t="shared" si="54"/>
        <v>7.7511210762331935</v>
      </c>
      <c r="H290" s="6">
        <v>44825</v>
      </c>
      <c r="I290" s="29">
        <v>92.3</v>
      </c>
      <c r="J290" s="30">
        <f t="shared" si="55"/>
        <v>6.2262630912648165E-2</v>
      </c>
      <c r="K290" s="35">
        <f t="shared" si="56"/>
        <v>562.63999999999942</v>
      </c>
      <c r="L290" s="21">
        <f t="shared" si="53"/>
        <v>7</v>
      </c>
      <c r="M290" s="9">
        <f t="shared" si="50"/>
        <v>1</v>
      </c>
      <c r="N290">
        <f t="shared" si="51"/>
        <v>562.63999999999942</v>
      </c>
      <c r="O290">
        <f t="shared" si="52"/>
        <v>0</v>
      </c>
    </row>
    <row r="291" spans="1:15">
      <c r="A291" s="6">
        <v>44817</v>
      </c>
      <c r="B291" s="1" t="s">
        <v>117</v>
      </c>
      <c r="C291">
        <v>125</v>
      </c>
      <c r="D291">
        <v>65.819999999999993</v>
      </c>
      <c r="E291">
        <v>76.62</v>
      </c>
      <c r="F291">
        <v>64.25</v>
      </c>
      <c r="G291" s="21">
        <f t="shared" si="54"/>
        <v>7.8789808917197828</v>
      </c>
      <c r="H291" s="6">
        <v>44820</v>
      </c>
      <c r="I291" s="16">
        <v>64.05</v>
      </c>
      <c r="J291" s="25">
        <f t="shared" si="55"/>
        <v>-2.6891522333637119E-2</v>
      </c>
      <c r="K291" s="36">
        <f t="shared" si="56"/>
        <v>-221.25</v>
      </c>
      <c r="L291" s="21">
        <f t="shared" si="53"/>
        <v>3</v>
      </c>
      <c r="M291" s="9">
        <f t="shared" si="50"/>
        <v>0</v>
      </c>
      <c r="N291">
        <f t="shared" si="51"/>
        <v>0</v>
      </c>
      <c r="O291">
        <f t="shared" si="52"/>
        <v>-221.25</v>
      </c>
    </row>
    <row r="292" spans="1:15">
      <c r="A292" s="6">
        <v>44817</v>
      </c>
      <c r="B292" s="1" t="s">
        <v>148</v>
      </c>
      <c r="C292">
        <v>860</v>
      </c>
      <c r="D292">
        <v>9.7200000000000006</v>
      </c>
      <c r="E292">
        <v>11.27</v>
      </c>
      <c r="F292">
        <v>9.23</v>
      </c>
      <c r="G292" s="21">
        <f t="shared" si="54"/>
        <v>4.1632653061224456</v>
      </c>
      <c r="H292" s="6">
        <v>44823</v>
      </c>
      <c r="I292" s="16">
        <v>9.2100000000000009</v>
      </c>
      <c r="J292" s="25">
        <f t="shared" si="55"/>
        <v>-5.2469135802469147E-2</v>
      </c>
      <c r="K292" s="36">
        <f t="shared" si="56"/>
        <v>-438.60000000000036</v>
      </c>
      <c r="L292" s="21">
        <f t="shared" si="53"/>
        <v>6</v>
      </c>
      <c r="M292" s="9">
        <f t="shared" si="50"/>
        <v>0</v>
      </c>
      <c r="N292">
        <f t="shared" si="51"/>
        <v>0</v>
      </c>
      <c r="O292">
        <f t="shared" si="52"/>
        <v>-438.60000000000036</v>
      </c>
    </row>
    <row r="293" spans="1:15">
      <c r="A293" s="6">
        <v>44817</v>
      </c>
      <c r="B293" s="1" t="s">
        <v>13</v>
      </c>
      <c r="C293">
        <v>1310</v>
      </c>
      <c r="D293">
        <v>6.55</v>
      </c>
      <c r="E293">
        <v>7.59</v>
      </c>
      <c r="F293">
        <v>6.11</v>
      </c>
      <c r="G293" s="21">
        <f t="shared" si="54"/>
        <v>3.3636363636363664</v>
      </c>
      <c r="H293" s="6">
        <v>44824</v>
      </c>
      <c r="I293" s="16">
        <v>6.11</v>
      </c>
      <c r="J293" s="25">
        <f t="shared" si="55"/>
        <v>-6.7175572519083904E-2</v>
      </c>
      <c r="K293" s="36">
        <f t="shared" si="56"/>
        <v>-576.39999999999964</v>
      </c>
      <c r="L293" s="21">
        <f t="shared" si="53"/>
        <v>7</v>
      </c>
      <c r="M293" s="9">
        <f t="shared" si="50"/>
        <v>0</v>
      </c>
      <c r="N293">
        <f t="shared" si="51"/>
        <v>0</v>
      </c>
      <c r="O293">
        <f t="shared" si="52"/>
        <v>-576.39999999999964</v>
      </c>
    </row>
    <row r="294" spans="1:15">
      <c r="A294" s="6">
        <v>44817</v>
      </c>
      <c r="B294" t="s">
        <v>87</v>
      </c>
      <c r="C294">
        <v>26</v>
      </c>
      <c r="D294">
        <v>296.94</v>
      </c>
      <c r="E294">
        <v>350</v>
      </c>
      <c r="F294">
        <v>291</v>
      </c>
      <c r="G294" s="21">
        <f t="shared" si="54"/>
        <v>9.9326599326599361</v>
      </c>
      <c r="H294" s="6">
        <v>44817</v>
      </c>
      <c r="I294" s="16">
        <v>291.8</v>
      </c>
      <c r="J294" s="25">
        <f t="shared" si="55"/>
        <v>-1.7309894254731506E-2</v>
      </c>
      <c r="K294" s="36">
        <f t="shared" si="56"/>
        <v>-133.63999999999942</v>
      </c>
      <c r="L294" s="21">
        <f t="shared" si="53"/>
        <v>0</v>
      </c>
      <c r="M294" s="9">
        <f t="shared" si="50"/>
        <v>0</v>
      </c>
      <c r="N294">
        <f t="shared" si="51"/>
        <v>0</v>
      </c>
      <c r="O294">
        <f t="shared" si="52"/>
        <v>-133.63999999999942</v>
      </c>
    </row>
    <row r="295" spans="1:15">
      <c r="A295" s="6">
        <v>44816</v>
      </c>
      <c r="B295" t="s">
        <v>122</v>
      </c>
      <c r="C295">
        <v>464</v>
      </c>
      <c r="D295">
        <v>2.2999999999999998</v>
      </c>
      <c r="E295" s="1">
        <v>3.3</v>
      </c>
      <c r="F295" s="1">
        <v>2.15</v>
      </c>
      <c r="G295" s="21">
        <f t="shared" si="54"/>
        <v>7.6666666666666705</v>
      </c>
      <c r="H295" s="6">
        <v>44819</v>
      </c>
      <c r="I295" s="16">
        <v>2.15</v>
      </c>
      <c r="J295" s="25">
        <f t="shared" si="55"/>
        <v>-6.5217391304347783E-2</v>
      </c>
      <c r="K295" s="36">
        <f t="shared" si="56"/>
        <v>-69.599999999999909</v>
      </c>
      <c r="L295" s="21">
        <f t="shared" si="53"/>
        <v>3</v>
      </c>
      <c r="M295" s="9">
        <f t="shared" si="50"/>
        <v>0</v>
      </c>
      <c r="N295">
        <f t="shared" si="51"/>
        <v>0</v>
      </c>
      <c r="O295">
        <f t="shared" si="52"/>
        <v>-69.599999999999909</v>
      </c>
    </row>
    <row r="296" spans="1:15">
      <c r="A296" s="6">
        <v>44816</v>
      </c>
      <c r="B296" t="s">
        <v>124</v>
      </c>
      <c r="C296">
        <v>197</v>
      </c>
      <c r="D296">
        <v>38.049999999999997</v>
      </c>
      <c r="E296">
        <v>50</v>
      </c>
      <c r="F296">
        <v>35</v>
      </c>
      <c r="G296" s="21">
        <f t="shared" si="54"/>
        <v>4.9180327868852505</v>
      </c>
      <c r="H296" s="6">
        <v>44820</v>
      </c>
      <c r="I296" s="16">
        <v>34.75</v>
      </c>
      <c r="J296" s="25">
        <f t="shared" si="55"/>
        <v>-8.6727989487516366E-2</v>
      </c>
      <c r="K296" s="36">
        <f t="shared" si="56"/>
        <v>-650.09999999999945</v>
      </c>
      <c r="L296" s="21">
        <f t="shared" si="53"/>
        <v>4</v>
      </c>
      <c r="M296" s="9">
        <f t="shared" si="50"/>
        <v>0</v>
      </c>
      <c r="N296">
        <f t="shared" si="51"/>
        <v>0</v>
      </c>
      <c r="O296">
        <f t="shared" si="52"/>
        <v>-650.09999999999945</v>
      </c>
    </row>
    <row r="297" spans="1:15">
      <c r="A297" s="6">
        <v>44813</v>
      </c>
      <c r="B297" t="s">
        <v>168</v>
      </c>
      <c r="C297">
        <v>77</v>
      </c>
      <c r="D297">
        <v>85.4</v>
      </c>
      <c r="E297">
        <v>108</v>
      </c>
      <c r="F297">
        <v>81.5</v>
      </c>
      <c r="G297" s="21">
        <f t="shared" si="54"/>
        <v>6.7948717948717849</v>
      </c>
      <c r="H297" s="6">
        <v>44817</v>
      </c>
      <c r="I297" s="29">
        <v>86.09</v>
      </c>
      <c r="J297" s="30">
        <f t="shared" si="55"/>
        <v>8.0796252927399781E-3</v>
      </c>
      <c r="K297" s="35">
        <f t="shared" si="56"/>
        <v>53.130000000000109</v>
      </c>
      <c r="L297" s="21">
        <f t="shared" si="53"/>
        <v>4</v>
      </c>
      <c r="M297" s="9">
        <f t="shared" si="50"/>
        <v>1</v>
      </c>
      <c r="N297">
        <f t="shared" si="51"/>
        <v>53.130000000000109</v>
      </c>
      <c r="O297">
        <f t="shared" si="52"/>
        <v>0</v>
      </c>
    </row>
    <row r="298" spans="1:15">
      <c r="A298" s="6">
        <v>44812</v>
      </c>
      <c r="B298" t="s">
        <v>217</v>
      </c>
      <c r="C298">
        <v>14</v>
      </c>
      <c r="D298">
        <v>90.69</v>
      </c>
      <c r="E298" s="1">
        <v>117</v>
      </c>
      <c r="F298" s="1">
        <v>89</v>
      </c>
      <c r="G298" s="21">
        <f t="shared" si="54"/>
        <v>16.568047337278127</v>
      </c>
      <c r="H298" s="6">
        <v>44817</v>
      </c>
      <c r="I298" s="16">
        <v>88</v>
      </c>
      <c r="J298" s="25">
        <f t="shared" si="55"/>
        <v>-2.9661484176866204E-2</v>
      </c>
      <c r="K298" s="36">
        <f t="shared" si="56"/>
        <v>-37.659999999999854</v>
      </c>
      <c r="L298" s="21">
        <f t="shared" si="53"/>
        <v>5</v>
      </c>
      <c r="M298" s="9">
        <f t="shared" si="50"/>
        <v>0</v>
      </c>
      <c r="N298">
        <f t="shared" si="51"/>
        <v>0</v>
      </c>
      <c r="O298">
        <f t="shared" si="52"/>
        <v>-37.659999999999854</v>
      </c>
    </row>
    <row r="299" spans="1:15">
      <c r="A299" s="6">
        <v>44811</v>
      </c>
      <c r="B299" s="1" t="s">
        <v>185</v>
      </c>
      <c r="C299">
        <v>53</v>
      </c>
      <c r="D299">
        <v>20.67</v>
      </c>
      <c r="E299" s="1">
        <v>24</v>
      </c>
      <c r="F299" s="1">
        <v>20</v>
      </c>
      <c r="G299" s="21">
        <f t="shared" si="54"/>
        <v>5.9701492537313277</v>
      </c>
      <c r="H299" s="6">
        <v>44817</v>
      </c>
      <c r="I299" s="29">
        <v>23.85</v>
      </c>
      <c r="J299" s="30">
        <f t="shared" si="55"/>
        <v>0.15384615384615374</v>
      </c>
      <c r="K299" s="35">
        <f t="shared" si="56"/>
        <v>168.54000000000019</v>
      </c>
      <c r="L299" s="21">
        <f t="shared" si="53"/>
        <v>6</v>
      </c>
      <c r="M299" s="9">
        <f t="shared" si="50"/>
        <v>1</v>
      </c>
      <c r="N299">
        <f t="shared" si="51"/>
        <v>168.54000000000019</v>
      </c>
      <c r="O299">
        <f t="shared" si="52"/>
        <v>0</v>
      </c>
    </row>
    <row r="300" spans="1:15">
      <c r="A300" s="6">
        <v>44811</v>
      </c>
      <c r="B300" s="1" t="s">
        <v>51</v>
      </c>
      <c r="C300">
        <v>32</v>
      </c>
      <c r="D300">
        <v>39.81</v>
      </c>
      <c r="E300" s="1">
        <v>45</v>
      </c>
      <c r="F300" s="1">
        <v>38.31</v>
      </c>
      <c r="G300" s="21">
        <f t="shared" si="54"/>
        <v>4.4599999999999982</v>
      </c>
      <c r="H300" s="6">
        <v>44817</v>
      </c>
      <c r="I300" s="29">
        <v>40.35</v>
      </c>
      <c r="J300" s="30">
        <f t="shared" si="55"/>
        <v>1.35644310474754E-2</v>
      </c>
      <c r="K300" s="35">
        <f t="shared" si="56"/>
        <v>17.279999999999973</v>
      </c>
      <c r="L300" s="21">
        <f t="shared" si="53"/>
        <v>6</v>
      </c>
      <c r="M300" s="9">
        <f t="shared" si="50"/>
        <v>1</v>
      </c>
      <c r="N300">
        <f t="shared" si="51"/>
        <v>17.279999999999973</v>
      </c>
      <c r="O300">
        <f t="shared" si="52"/>
        <v>0</v>
      </c>
    </row>
    <row r="301" spans="1:15">
      <c r="A301" s="6">
        <v>44811</v>
      </c>
      <c r="B301" s="1" t="s">
        <v>193</v>
      </c>
      <c r="C301">
        <v>44</v>
      </c>
      <c r="D301">
        <v>25.55</v>
      </c>
      <c r="E301" s="1">
        <v>27.36</v>
      </c>
      <c r="F301" s="1">
        <v>25</v>
      </c>
      <c r="G301" s="21">
        <f t="shared" si="54"/>
        <v>4.2909090909090839</v>
      </c>
      <c r="H301" s="6">
        <v>44817</v>
      </c>
      <c r="I301" s="29">
        <v>26</v>
      </c>
      <c r="J301" s="30">
        <f t="shared" si="55"/>
        <v>1.7612524461839474E-2</v>
      </c>
      <c r="K301" s="35">
        <f t="shared" si="56"/>
        <v>19.799999999999955</v>
      </c>
      <c r="L301" s="21">
        <f t="shared" si="53"/>
        <v>6</v>
      </c>
      <c r="M301" s="9">
        <f t="shared" si="50"/>
        <v>1</v>
      </c>
      <c r="N301">
        <f t="shared" si="51"/>
        <v>19.799999999999955</v>
      </c>
      <c r="O301">
        <f t="shared" si="52"/>
        <v>0</v>
      </c>
    </row>
    <row r="302" spans="1:15">
      <c r="A302" s="6">
        <v>44811</v>
      </c>
      <c r="B302" s="1" t="s">
        <v>94</v>
      </c>
      <c r="C302">
        <v>8</v>
      </c>
      <c r="D302">
        <v>155.34</v>
      </c>
      <c r="E302" s="1">
        <v>170</v>
      </c>
      <c r="F302" s="1">
        <v>150</v>
      </c>
      <c r="G302" s="21">
        <f t="shared" si="54"/>
        <v>3.7453183520599227</v>
      </c>
      <c r="H302" s="6">
        <v>44817</v>
      </c>
      <c r="I302" s="29">
        <v>159.72999999999999</v>
      </c>
      <c r="J302" s="30">
        <f t="shared" si="55"/>
        <v>2.8260589674262926E-2</v>
      </c>
      <c r="K302" s="35">
        <f t="shared" si="56"/>
        <v>35.119999999999891</v>
      </c>
      <c r="L302" s="21">
        <f t="shared" si="53"/>
        <v>6</v>
      </c>
      <c r="M302" s="9">
        <f t="shared" si="50"/>
        <v>1</v>
      </c>
      <c r="N302">
        <f t="shared" si="51"/>
        <v>35.119999999999891</v>
      </c>
      <c r="O302">
        <f t="shared" si="52"/>
        <v>0</v>
      </c>
    </row>
    <row r="303" spans="1:15">
      <c r="A303" s="6">
        <v>44811</v>
      </c>
      <c r="B303" s="1" t="s">
        <v>222</v>
      </c>
      <c r="C303">
        <v>80</v>
      </c>
      <c r="D303">
        <v>77</v>
      </c>
      <c r="E303" s="1">
        <v>85</v>
      </c>
      <c r="F303" s="1">
        <v>70</v>
      </c>
      <c r="G303" s="21">
        <f t="shared" si="54"/>
        <v>2.1428571428571428</v>
      </c>
      <c r="H303" s="6">
        <v>44816</v>
      </c>
      <c r="I303" s="29">
        <v>78.59</v>
      </c>
      <c r="J303" s="30">
        <f t="shared" si="55"/>
        <v>2.0649350649350584E-2</v>
      </c>
      <c r="K303" s="35">
        <f t="shared" si="56"/>
        <v>127.20000000000073</v>
      </c>
      <c r="L303" s="21">
        <f t="shared" si="53"/>
        <v>5</v>
      </c>
      <c r="M303" s="9">
        <f t="shared" si="50"/>
        <v>1</v>
      </c>
      <c r="N303">
        <f t="shared" si="51"/>
        <v>127.20000000000073</v>
      </c>
      <c r="O303">
        <f t="shared" si="52"/>
        <v>0</v>
      </c>
    </row>
    <row r="304" spans="1:15">
      <c r="A304" s="6">
        <v>44810</v>
      </c>
      <c r="B304" t="s">
        <v>22</v>
      </c>
      <c r="C304">
        <v>320</v>
      </c>
      <c r="D304">
        <v>28.65</v>
      </c>
      <c r="E304">
        <v>32.42</v>
      </c>
      <c r="F304">
        <v>27.29</v>
      </c>
      <c r="G304" s="21">
        <f t="shared" si="54"/>
        <v>3.7720588235294152</v>
      </c>
      <c r="H304" s="6">
        <v>44817</v>
      </c>
      <c r="I304" s="29">
        <v>29.31</v>
      </c>
      <c r="J304" s="30">
        <f t="shared" si="55"/>
        <v>2.3036649214659644E-2</v>
      </c>
      <c r="K304" s="35">
        <f t="shared" si="56"/>
        <v>211.19999999999891</v>
      </c>
      <c r="L304" s="21">
        <f t="shared" si="53"/>
        <v>7</v>
      </c>
      <c r="M304" s="9">
        <f t="shared" si="50"/>
        <v>1</v>
      </c>
      <c r="N304">
        <f t="shared" si="51"/>
        <v>211.19999999999891</v>
      </c>
      <c r="O304">
        <f t="shared" si="52"/>
        <v>0</v>
      </c>
    </row>
    <row r="305" spans="1:15">
      <c r="A305" s="6">
        <v>44810</v>
      </c>
      <c r="B305" t="s">
        <v>179</v>
      </c>
      <c r="C305">
        <v>44</v>
      </c>
      <c r="D305">
        <v>197.22</v>
      </c>
      <c r="E305">
        <v>222</v>
      </c>
      <c r="F305">
        <v>193</v>
      </c>
      <c r="G305" s="21">
        <f t="shared" si="54"/>
        <v>6.872037914691945</v>
      </c>
      <c r="H305" s="6">
        <v>44817</v>
      </c>
      <c r="I305" s="29">
        <v>206.16</v>
      </c>
      <c r="J305" s="30">
        <f t="shared" si="55"/>
        <v>4.5330088226346099E-2</v>
      </c>
      <c r="K305" s="35">
        <f t="shared" si="56"/>
        <v>393.35999999999876</v>
      </c>
      <c r="L305" s="21">
        <f t="shared" si="53"/>
        <v>7</v>
      </c>
      <c r="M305" s="9">
        <f t="shared" si="50"/>
        <v>1</v>
      </c>
      <c r="N305">
        <f t="shared" si="51"/>
        <v>393.35999999999876</v>
      </c>
      <c r="O305">
        <f t="shared" si="52"/>
        <v>0</v>
      </c>
    </row>
    <row r="306" spans="1:15">
      <c r="A306" s="6">
        <v>44806</v>
      </c>
      <c r="B306" s="1" t="s">
        <v>153</v>
      </c>
      <c r="C306">
        <v>80</v>
      </c>
      <c r="D306">
        <v>14.55</v>
      </c>
      <c r="E306">
        <v>25</v>
      </c>
      <c r="F306">
        <v>12</v>
      </c>
      <c r="G306" s="21">
        <f t="shared" si="54"/>
        <v>5.0980392156862733</v>
      </c>
      <c r="H306" s="6">
        <v>44820</v>
      </c>
      <c r="I306" s="16">
        <v>12.01</v>
      </c>
      <c r="J306" s="25">
        <f t="shared" si="55"/>
        <v>-0.17457044673539523</v>
      </c>
      <c r="K306" s="36">
        <f t="shared" si="56"/>
        <v>-203.20000000000005</v>
      </c>
      <c r="L306" s="21">
        <f t="shared" si="53"/>
        <v>14</v>
      </c>
      <c r="M306" s="9">
        <f t="shared" si="50"/>
        <v>0</v>
      </c>
      <c r="N306">
        <f t="shared" si="51"/>
        <v>0</v>
      </c>
      <c r="O306">
        <f t="shared" si="52"/>
        <v>-203.20000000000005</v>
      </c>
    </row>
    <row r="307" spans="1:15">
      <c r="A307" s="6">
        <v>44806</v>
      </c>
      <c r="B307" s="1" t="s">
        <v>75</v>
      </c>
      <c r="C307">
        <v>176</v>
      </c>
      <c r="D307">
        <v>6.32</v>
      </c>
      <c r="E307" s="1">
        <v>7.4</v>
      </c>
      <c r="F307" s="1">
        <v>6.08</v>
      </c>
      <c r="G307" s="21">
        <f t="shared" si="54"/>
        <v>5.4999999999999964</v>
      </c>
      <c r="H307" s="6">
        <v>44816</v>
      </c>
      <c r="I307" s="16">
        <v>6.14</v>
      </c>
      <c r="J307" s="25">
        <f t="shared" si="55"/>
        <v>-2.8481012658227889E-2</v>
      </c>
      <c r="K307" s="36">
        <f t="shared" si="56"/>
        <v>-31.680000000000291</v>
      </c>
      <c r="L307" s="21">
        <f t="shared" si="53"/>
        <v>10</v>
      </c>
      <c r="M307" s="9">
        <f t="shared" si="50"/>
        <v>0</v>
      </c>
      <c r="N307">
        <f t="shared" si="51"/>
        <v>0</v>
      </c>
      <c r="O307">
        <f t="shared" si="52"/>
        <v>-31.680000000000291</v>
      </c>
    </row>
    <row r="308" spans="1:15">
      <c r="A308" s="6">
        <v>44806</v>
      </c>
      <c r="B308" s="1" t="s">
        <v>137</v>
      </c>
      <c r="C308">
        <v>350</v>
      </c>
      <c r="D308">
        <v>28.24</v>
      </c>
      <c r="E308" s="1">
        <v>34.47</v>
      </c>
      <c r="F308" s="1">
        <v>27.5</v>
      </c>
      <c r="G308" s="21">
        <f t="shared" si="54"/>
        <v>9.4189189189189371</v>
      </c>
      <c r="H308" s="6">
        <v>44810</v>
      </c>
      <c r="I308" s="16">
        <v>27.5</v>
      </c>
      <c r="J308" s="25">
        <f t="shared" si="55"/>
        <v>-2.6203966005665658E-2</v>
      </c>
      <c r="K308" s="36">
        <f t="shared" si="56"/>
        <v>-259</v>
      </c>
      <c r="L308" s="21">
        <f t="shared" si="53"/>
        <v>4</v>
      </c>
      <c r="M308" s="9">
        <f t="shared" si="50"/>
        <v>0</v>
      </c>
      <c r="N308">
        <f t="shared" si="51"/>
        <v>0</v>
      </c>
      <c r="O308">
        <f t="shared" si="52"/>
        <v>-259</v>
      </c>
    </row>
    <row r="309" spans="1:15">
      <c r="A309" s="6">
        <v>44806</v>
      </c>
      <c r="B309" s="1" t="s">
        <v>180</v>
      </c>
      <c r="C309">
        <v>260</v>
      </c>
      <c r="D309">
        <v>33.35</v>
      </c>
      <c r="E309" s="1">
        <v>37</v>
      </c>
      <c r="F309" s="1">
        <v>31.82</v>
      </c>
      <c r="G309" s="21">
        <f t="shared" si="54"/>
        <v>3.385620915032677</v>
      </c>
      <c r="H309" s="6">
        <v>44817</v>
      </c>
      <c r="I309" s="29">
        <v>33.49</v>
      </c>
      <c r="J309" s="30">
        <f t="shared" si="55"/>
        <v>4.1979010494752611E-3</v>
      </c>
      <c r="K309" s="35">
        <f t="shared" si="56"/>
        <v>36.399999999999636</v>
      </c>
      <c r="L309" s="21">
        <f t="shared" si="53"/>
        <v>11</v>
      </c>
      <c r="M309" s="9">
        <f t="shared" si="50"/>
        <v>1</v>
      </c>
      <c r="N309">
        <f t="shared" si="51"/>
        <v>36.399999999999636</v>
      </c>
      <c r="O309">
        <f t="shared" si="52"/>
        <v>0</v>
      </c>
    </row>
    <row r="310" spans="1:15">
      <c r="A310" s="6">
        <v>44806</v>
      </c>
      <c r="B310" s="1" t="s">
        <v>75</v>
      </c>
      <c r="C310">
        <v>176</v>
      </c>
      <c r="D310">
        <v>6.32</v>
      </c>
      <c r="E310" s="1">
        <v>7.4</v>
      </c>
      <c r="F310" s="1">
        <v>6.08</v>
      </c>
      <c r="G310" s="21">
        <f t="shared" si="54"/>
        <v>5.4999999999999964</v>
      </c>
      <c r="H310" s="6">
        <v>44816</v>
      </c>
      <c r="I310" s="16">
        <v>6.08</v>
      </c>
      <c r="J310" s="25">
        <f t="shared" si="55"/>
        <v>-3.7974683544303778E-2</v>
      </c>
      <c r="K310" s="36">
        <f t="shared" si="56"/>
        <v>-42.240000000000236</v>
      </c>
      <c r="L310" s="21">
        <f t="shared" si="53"/>
        <v>10</v>
      </c>
      <c r="M310" s="9">
        <f t="shared" si="50"/>
        <v>0</v>
      </c>
      <c r="N310">
        <f t="shared" si="51"/>
        <v>0</v>
      </c>
      <c r="O310">
        <f t="shared" si="52"/>
        <v>-42.240000000000236</v>
      </c>
    </row>
    <row r="311" spans="1:15">
      <c r="A311" s="6">
        <v>44805</v>
      </c>
      <c r="B311" s="1" t="s">
        <v>137</v>
      </c>
      <c r="C311">
        <v>41</v>
      </c>
      <c r="D311">
        <v>28.29</v>
      </c>
      <c r="E311" s="1">
        <v>34.47</v>
      </c>
      <c r="F311" s="1">
        <v>26</v>
      </c>
      <c r="G311" s="21">
        <f t="shared" si="54"/>
        <v>3.6986899563318785</v>
      </c>
      <c r="H311" s="6">
        <v>44817</v>
      </c>
      <c r="I311" s="16">
        <v>27.36</v>
      </c>
      <c r="J311" s="25">
        <f t="shared" si="55"/>
        <v>-3.2873806998939492E-2</v>
      </c>
      <c r="K311" s="36">
        <f t="shared" si="56"/>
        <v>-38.129999999999882</v>
      </c>
      <c r="L311" s="21">
        <f t="shared" si="53"/>
        <v>12</v>
      </c>
      <c r="M311" s="9">
        <f t="shared" si="50"/>
        <v>0</v>
      </c>
      <c r="N311">
        <f t="shared" si="51"/>
        <v>0</v>
      </c>
      <c r="O311">
        <f t="shared" si="52"/>
        <v>-38.129999999999882</v>
      </c>
    </row>
    <row r="312" spans="1:15">
      <c r="A312" s="6">
        <v>44805</v>
      </c>
      <c r="B312" s="1" t="s">
        <v>163</v>
      </c>
      <c r="C312">
        <v>95</v>
      </c>
      <c r="D312">
        <v>87.9</v>
      </c>
      <c r="E312" s="1">
        <v>104.2</v>
      </c>
      <c r="F312" s="1">
        <v>80</v>
      </c>
      <c r="G312" s="21">
        <f t="shared" si="54"/>
        <v>3.0632911392405044</v>
      </c>
      <c r="H312" s="6">
        <v>44819</v>
      </c>
      <c r="I312" s="29">
        <v>90.73</v>
      </c>
      <c r="J312" s="30">
        <f t="shared" si="55"/>
        <v>3.2195676905574455E-2</v>
      </c>
      <c r="K312" s="35">
        <f t="shared" si="56"/>
        <v>268.85000000000036</v>
      </c>
      <c r="L312" s="21">
        <f t="shared" si="53"/>
        <v>14</v>
      </c>
      <c r="M312" s="9">
        <f t="shared" si="50"/>
        <v>1</v>
      </c>
      <c r="N312">
        <f t="shared" si="51"/>
        <v>268.85000000000036</v>
      </c>
      <c r="O312">
        <f t="shared" si="52"/>
        <v>0</v>
      </c>
    </row>
    <row r="313" spans="1:15">
      <c r="A313" s="6">
        <v>44805</v>
      </c>
      <c r="B313" s="1" t="s">
        <v>131</v>
      </c>
      <c r="C313">
        <v>62</v>
      </c>
      <c r="D313">
        <v>129.57</v>
      </c>
      <c r="E313" s="1">
        <v>139</v>
      </c>
      <c r="F313" s="1">
        <v>125</v>
      </c>
      <c r="G313" s="21">
        <f t="shared" si="54"/>
        <v>3.0634573304157593</v>
      </c>
      <c r="H313" s="6">
        <v>44819</v>
      </c>
      <c r="I313" s="16">
        <v>124.93</v>
      </c>
      <c r="J313" s="25">
        <f t="shared" si="55"/>
        <v>-3.581075866327077E-2</v>
      </c>
      <c r="K313" s="36">
        <f t="shared" si="56"/>
        <v>-287.67999999999847</v>
      </c>
      <c r="L313" s="21">
        <f t="shared" si="53"/>
        <v>14</v>
      </c>
      <c r="M313" s="9">
        <f t="shared" si="50"/>
        <v>0</v>
      </c>
      <c r="N313">
        <f t="shared" si="51"/>
        <v>0</v>
      </c>
      <c r="O313">
        <f t="shared" si="52"/>
        <v>-287.67999999999847</v>
      </c>
    </row>
    <row r="314" spans="1:15">
      <c r="A314" s="6">
        <v>44805</v>
      </c>
      <c r="B314" s="1" t="s">
        <v>88</v>
      </c>
      <c r="C314">
        <v>1130</v>
      </c>
      <c r="D314">
        <v>7.36</v>
      </c>
      <c r="E314" s="1">
        <v>9.6</v>
      </c>
      <c r="F314" s="1">
        <v>6.38</v>
      </c>
      <c r="G314" s="21">
        <f t="shared" si="54"/>
        <v>3.2857142857142838</v>
      </c>
      <c r="H314" s="6">
        <v>44819</v>
      </c>
      <c r="I314" s="29">
        <v>7.73</v>
      </c>
      <c r="J314" s="30">
        <f t="shared" si="55"/>
        <v>5.0271739130434812E-2</v>
      </c>
      <c r="K314" s="35">
        <f t="shared" si="56"/>
        <v>418.09999999999854</v>
      </c>
      <c r="L314" s="21">
        <f t="shared" si="53"/>
        <v>14</v>
      </c>
      <c r="M314" s="9">
        <f t="shared" si="50"/>
        <v>1</v>
      </c>
      <c r="N314">
        <f t="shared" si="51"/>
        <v>418.09999999999854</v>
      </c>
      <c r="O314">
        <f t="shared" si="52"/>
        <v>0</v>
      </c>
    </row>
    <row r="315" spans="1:15">
      <c r="A315" s="6">
        <v>44803</v>
      </c>
      <c r="B315" s="1" t="s">
        <v>13</v>
      </c>
      <c r="C315">
        <v>170</v>
      </c>
      <c r="D315">
        <v>7.02</v>
      </c>
      <c r="E315" s="1">
        <v>8.4</v>
      </c>
      <c r="F315" s="1">
        <v>6.21</v>
      </c>
      <c r="G315" s="21">
        <f t="shared" si="54"/>
        <v>2.7037037037037055</v>
      </c>
      <c r="H315" s="6">
        <v>44811</v>
      </c>
      <c r="I315" s="16">
        <v>6.21</v>
      </c>
      <c r="J315" s="25">
        <f t="shared" si="55"/>
        <v>-0.11538461538461531</v>
      </c>
      <c r="K315" s="36">
        <f t="shared" si="56"/>
        <v>-137.69999999999982</v>
      </c>
      <c r="L315" s="21">
        <f t="shared" si="53"/>
        <v>8</v>
      </c>
      <c r="M315" s="9">
        <f t="shared" si="50"/>
        <v>0</v>
      </c>
      <c r="N315">
        <f t="shared" si="51"/>
        <v>0</v>
      </c>
      <c r="O315">
        <f t="shared" si="52"/>
        <v>-137.69999999999982</v>
      </c>
    </row>
    <row r="316" spans="1:15">
      <c r="A316" s="6">
        <v>44803</v>
      </c>
      <c r="B316" s="1" t="s">
        <v>124</v>
      </c>
      <c r="C316">
        <v>32</v>
      </c>
      <c r="D316">
        <v>40.67</v>
      </c>
      <c r="E316" s="1">
        <v>50</v>
      </c>
      <c r="F316" s="1">
        <v>36.5</v>
      </c>
      <c r="G316" s="21">
        <f t="shared" si="54"/>
        <v>3.2374100719424446</v>
      </c>
      <c r="H316" s="6">
        <v>44811</v>
      </c>
      <c r="I316" s="16">
        <v>36.42</v>
      </c>
      <c r="J316" s="25">
        <f t="shared" si="55"/>
        <v>-0.10449963117777228</v>
      </c>
      <c r="K316" s="36">
        <f t="shared" si="56"/>
        <v>-136</v>
      </c>
      <c r="L316" s="21">
        <f t="shared" si="53"/>
        <v>8</v>
      </c>
      <c r="M316" s="9">
        <f t="shared" si="50"/>
        <v>0</v>
      </c>
      <c r="N316">
        <f t="shared" si="51"/>
        <v>0</v>
      </c>
      <c r="O316">
        <f t="shared" si="52"/>
        <v>-136</v>
      </c>
    </row>
    <row r="317" spans="1:15">
      <c r="A317" s="6">
        <v>44803</v>
      </c>
      <c r="B317" s="1" t="s">
        <v>117</v>
      </c>
      <c r="C317">
        <v>17</v>
      </c>
      <c r="D317">
        <v>72.47</v>
      </c>
      <c r="E317" s="1">
        <v>80</v>
      </c>
      <c r="F317" s="1">
        <v>67.3</v>
      </c>
      <c r="G317" s="21">
        <f t="shared" si="54"/>
        <v>2.4564796905222432</v>
      </c>
      <c r="H317" s="6">
        <v>44812</v>
      </c>
      <c r="I317" s="16">
        <v>67.290000000000006</v>
      </c>
      <c r="J317" s="25">
        <f t="shared" si="55"/>
        <v>-7.1477852904650141E-2</v>
      </c>
      <c r="K317" s="36">
        <f t="shared" si="56"/>
        <v>-88.059999999999945</v>
      </c>
      <c r="L317" s="21">
        <f t="shared" si="53"/>
        <v>9</v>
      </c>
      <c r="M317" s="9">
        <f t="shared" si="50"/>
        <v>0</v>
      </c>
      <c r="N317">
        <f t="shared" si="51"/>
        <v>0</v>
      </c>
      <c r="O317">
        <f t="shared" si="52"/>
        <v>-88.059999999999945</v>
      </c>
    </row>
    <row r="318" spans="1:15">
      <c r="A318" s="6">
        <v>44803</v>
      </c>
      <c r="B318" s="1" t="s">
        <v>157</v>
      </c>
      <c r="C318">
        <v>44</v>
      </c>
      <c r="D318" s="1">
        <v>175.88</v>
      </c>
      <c r="E318" s="1">
        <v>193</v>
      </c>
      <c r="F318" s="1">
        <v>171</v>
      </c>
      <c r="G318" s="21">
        <f t="shared" si="54"/>
        <v>4.5081967213114797</v>
      </c>
      <c r="H318" s="6">
        <v>44805</v>
      </c>
      <c r="I318" s="19">
        <v>170.98</v>
      </c>
      <c r="J318" s="25">
        <f t="shared" si="55"/>
        <v>-2.7859904480327491E-2</v>
      </c>
      <c r="K318" s="36">
        <f t="shared" si="56"/>
        <v>-215.59999999999945</v>
      </c>
      <c r="L318" s="21">
        <f t="shared" si="53"/>
        <v>2</v>
      </c>
      <c r="M318" s="9">
        <f t="shared" si="50"/>
        <v>0</v>
      </c>
      <c r="N318">
        <f t="shared" si="51"/>
        <v>0</v>
      </c>
      <c r="O318">
        <f t="shared" si="52"/>
        <v>-215.59999999999945</v>
      </c>
    </row>
    <row r="319" spans="1:15">
      <c r="A319" s="6">
        <v>44803</v>
      </c>
      <c r="B319" s="1" t="s">
        <v>115</v>
      </c>
      <c r="C319">
        <v>440</v>
      </c>
      <c r="D319" s="1">
        <v>17.850000000000001</v>
      </c>
      <c r="E319" s="1">
        <v>21.75</v>
      </c>
      <c r="F319" s="1">
        <v>17</v>
      </c>
      <c r="G319" s="21">
        <f t="shared" si="54"/>
        <v>5.5882352941176379</v>
      </c>
      <c r="H319" s="6">
        <v>44820</v>
      </c>
      <c r="I319" s="16">
        <v>17</v>
      </c>
      <c r="J319" s="25">
        <f t="shared" si="55"/>
        <v>-4.7619047619047672E-2</v>
      </c>
      <c r="K319" s="36">
        <f t="shared" si="56"/>
        <v>-374.00000000000091</v>
      </c>
      <c r="L319" s="21">
        <f t="shared" si="53"/>
        <v>17</v>
      </c>
      <c r="M319" s="9">
        <f t="shared" si="50"/>
        <v>0</v>
      </c>
      <c r="N319">
        <f t="shared" si="51"/>
        <v>0</v>
      </c>
      <c r="O319">
        <f t="shared" si="52"/>
        <v>-374.00000000000091</v>
      </c>
    </row>
    <row r="320" spans="1:15">
      <c r="A320" s="6">
        <v>44803</v>
      </c>
      <c r="B320" s="1" t="s">
        <v>151</v>
      </c>
      <c r="C320">
        <v>854</v>
      </c>
      <c r="D320">
        <v>9.3800000000000008</v>
      </c>
      <c r="E320" s="1">
        <v>10.119999999999999</v>
      </c>
      <c r="F320" s="1">
        <v>9</v>
      </c>
      <c r="G320" s="21">
        <f t="shared" si="54"/>
        <v>2.9473684210526234</v>
      </c>
      <c r="H320" s="6">
        <v>44810</v>
      </c>
      <c r="I320" s="16">
        <v>9</v>
      </c>
      <c r="J320" s="25">
        <f t="shared" si="55"/>
        <v>-4.0511727078891391E-2</v>
      </c>
      <c r="K320" s="36">
        <f t="shared" si="56"/>
        <v>-324.52000000000044</v>
      </c>
      <c r="L320" s="24">
        <f t="shared" si="53"/>
        <v>7</v>
      </c>
      <c r="M320" s="9">
        <f t="shared" si="50"/>
        <v>0</v>
      </c>
      <c r="N320">
        <f t="shared" si="51"/>
        <v>0</v>
      </c>
      <c r="O320">
        <f t="shared" si="52"/>
        <v>-324.52000000000044</v>
      </c>
    </row>
    <row r="321" spans="1:15">
      <c r="A321" s="6">
        <v>44802</v>
      </c>
      <c r="B321" s="1" t="s">
        <v>46</v>
      </c>
      <c r="C321">
        <v>23</v>
      </c>
      <c r="D321">
        <v>67.47</v>
      </c>
      <c r="E321">
        <v>73.47</v>
      </c>
      <c r="F321">
        <v>66.47</v>
      </c>
      <c r="G321" s="21">
        <f t="shared" si="54"/>
        <v>7</v>
      </c>
      <c r="H321" s="6">
        <v>44817</v>
      </c>
      <c r="I321" s="29">
        <v>68</v>
      </c>
      <c r="J321" s="30">
        <f t="shared" si="55"/>
        <v>7.8553431154586573E-3</v>
      </c>
      <c r="K321" s="35">
        <f t="shared" si="56"/>
        <v>12.190000000000055</v>
      </c>
      <c r="L321" s="21">
        <f t="shared" si="53"/>
        <v>15</v>
      </c>
      <c r="M321" s="9">
        <f t="shared" si="50"/>
        <v>1</v>
      </c>
      <c r="N321">
        <f t="shared" si="51"/>
        <v>12.190000000000055</v>
      </c>
      <c r="O321">
        <f t="shared" si="52"/>
        <v>0</v>
      </c>
    </row>
    <row r="322" spans="1:15">
      <c r="A322" s="6">
        <v>44802</v>
      </c>
      <c r="B322" s="1" t="s">
        <v>204</v>
      </c>
      <c r="C322">
        <v>35</v>
      </c>
      <c r="D322">
        <v>37.17</v>
      </c>
      <c r="E322" s="1">
        <v>39.26</v>
      </c>
      <c r="F322" s="1">
        <v>35.71</v>
      </c>
      <c r="G322" s="21">
        <f t="shared" si="54"/>
        <v>2.4315068493150651</v>
      </c>
      <c r="H322" s="6">
        <v>44810</v>
      </c>
      <c r="I322" s="16">
        <v>35.76</v>
      </c>
      <c r="J322" s="25">
        <f t="shared" si="55"/>
        <v>-3.7933817594834607E-2</v>
      </c>
      <c r="K322" s="36">
        <f t="shared" si="56"/>
        <v>-49.350000000000136</v>
      </c>
      <c r="L322" s="21">
        <f t="shared" si="53"/>
        <v>8</v>
      </c>
      <c r="M322" s="9">
        <f t="shared" si="50"/>
        <v>0</v>
      </c>
      <c r="N322">
        <f t="shared" si="51"/>
        <v>0</v>
      </c>
      <c r="O322">
        <f t="shared" si="52"/>
        <v>-49.350000000000136</v>
      </c>
    </row>
    <row r="323" spans="1:15">
      <c r="A323" s="6">
        <v>44802</v>
      </c>
      <c r="B323" t="s">
        <v>75</v>
      </c>
      <c r="C323">
        <v>1052</v>
      </c>
      <c r="D323">
        <v>7.4</v>
      </c>
      <c r="E323">
        <v>8</v>
      </c>
      <c r="F323">
        <v>7</v>
      </c>
      <c r="G323" s="21">
        <f t="shared" si="54"/>
        <v>2.4999999999999978</v>
      </c>
      <c r="H323" s="6">
        <v>44803</v>
      </c>
      <c r="I323" s="16">
        <v>7</v>
      </c>
      <c r="J323" s="25">
        <f t="shared" si="55"/>
        <v>-5.4054054054054057E-2</v>
      </c>
      <c r="K323" s="36">
        <f t="shared" si="56"/>
        <v>-420.80000000000018</v>
      </c>
      <c r="L323" s="21">
        <f t="shared" si="53"/>
        <v>1</v>
      </c>
      <c r="M323" s="9">
        <f t="shared" si="50"/>
        <v>0</v>
      </c>
      <c r="N323">
        <f t="shared" si="51"/>
        <v>0</v>
      </c>
      <c r="O323">
        <f t="shared" si="52"/>
        <v>-420.80000000000018</v>
      </c>
    </row>
    <row r="324" spans="1:15">
      <c r="A324" s="6">
        <v>44799</v>
      </c>
      <c r="B324" t="s">
        <v>195</v>
      </c>
      <c r="C324">
        <v>50</v>
      </c>
      <c r="D324">
        <v>139.33000000000001</v>
      </c>
      <c r="E324">
        <v>160</v>
      </c>
      <c r="F324">
        <v>130</v>
      </c>
      <c r="G324" s="21">
        <f t="shared" si="54"/>
        <v>3.215434083601282</v>
      </c>
      <c r="H324" s="6">
        <v>44817</v>
      </c>
      <c r="I324" s="16">
        <v>138.25</v>
      </c>
      <c r="J324" s="25">
        <f t="shared" si="55"/>
        <v>-7.7513816120003964E-3</v>
      </c>
      <c r="K324" s="36">
        <f t="shared" si="56"/>
        <v>-54.000000000000909</v>
      </c>
      <c r="L324" s="21">
        <f t="shared" si="53"/>
        <v>18</v>
      </c>
      <c r="M324" s="9">
        <f t="shared" si="50"/>
        <v>0</v>
      </c>
      <c r="N324">
        <f t="shared" si="51"/>
        <v>0</v>
      </c>
      <c r="O324">
        <f t="shared" si="52"/>
        <v>-54.000000000000909</v>
      </c>
    </row>
    <row r="325" spans="1:15">
      <c r="A325" s="6">
        <v>44799</v>
      </c>
      <c r="B325" s="1" t="s">
        <v>132</v>
      </c>
      <c r="C325">
        <v>275</v>
      </c>
      <c r="D325">
        <v>4.4000000000000004</v>
      </c>
      <c r="E325" s="1">
        <v>5.7</v>
      </c>
      <c r="F325" s="1">
        <v>4</v>
      </c>
      <c r="G325" s="21">
        <f t="shared" si="54"/>
        <v>4.2499999999999964</v>
      </c>
      <c r="H325" s="6">
        <v>44803</v>
      </c>
      <c r="I325" s="16">
        <v>3.65</v>
      </c>
      <c r="J325" s="25">
        <f t="shared" si="55"/>
        <v>-0.17045454545454553</v>
      </c>
      <c r="K325" s="36">
        <f t="shared" si="56"/>
        <v>-206.25</v>
      </c>
      <c r="L325" s="21">
        <f t="shared" si="53"/>
        <v>4</v>
      </c>
      <c r="M325" s="9">
        <f t="shared" si="50"/>
        <v>0</v>
      </c>
      <c r="N325">
        <f t="shared" si="51"/>
        <v>0</v>
      </c>
      <c r="O325">
        <f t="shared" si="52"/>
        <v>-206.25</v>
      </c>
    </row>
    <row r="326" spans="1:15">
      <c r="A326" s="6">
        <v>44799</v>
      </c>
      <c r="B326" s="1" t="s">
        <v>168</v>
      </c>
      <c r="C326">
        <v>14</v>
      </c>
      <c r="D326">
        <v>95.26</v>
      </c>
      <c r="E326" s="1">
        <v>108</v>
      </c>
      <c r="F326" s="1">
        <v>90</v>
      </c>
      <c r="G326" s="21">
        <f t="shared" si="54"/>
        <v>3.4220532319391603</v>
      </c>
      <c r="H326" s="6">
        <v>44805</v>
      </c>
      <c r="I326" s="16">
        <v>90</v>
      </c>
      <c r="J326" s="25">
        <f t="shared" si="55"/>
        <v>-5.521730002099523E-2</v>
      </c>
      <c r="K326" s="36">
        <f t="shared" si="56"/>
        <v>-73.6400000000001</v>
      </c>
      <c r="L326" s="21">
        <f t="shared" si="53"/>
        <v>6</v>
      </c>
      <c r="M326" s="9">
        <f t="shared" ref="M326:M389" si="57">IF(J326&gt;0,1,0)</f>
        <v>0</v>
      </c>
      <c r="N326">
        <f t="shared" ref="N326:N389" si="58">IF(K326&gt;0, K326, 0)</f>
        <v>0</v>
      </c>
      <c r="O326">
        <f t="shared" ref="O326:O389" si="59">IF(K326&lt;0, K326, 0)</f>
        <v>-73.6400000000001</v>
      </c>
    </row>
    <row r="327" spans="1:15">
      <c r="A327" s="6">
        <v>44798</v>
      </c>
      <c r="B327" t="s">
        <v>195</v>
      </c>
      <c r="C327">
        <v>50</v>
      </c>
      <c r="D327">
        <v>142.28</v>
      </c>
      <c r="E327">
        <v>160</v>
      </c>
      <c r="F327">
        <v>139.1</v>
      </c>
      <c r="G327" s="21">
        <f t="shared" si="54"/>
        <v>6.5723270440251449</v>
      </c>
      <c r="H327" s="6">
        <v>44799</v>
      </c>
      <c r="I327" s="16">
        <v>139.22</v>
      </c>
      <c r="J327" s="25">
        <f t="shared" si="55"/>
        <v>-2.150688782682042E-2</v>
      </c>
      <c r="K327" s="36">
        <f t="shared" si="56"/>
        <v>-153</v>
      </c>
      <c r="L327" s="21">
        <f t="shared" si="53"/>
        <v>1</v>
      </c>
      <c r="M327" s="9">
        <f t="shared" si="57"/>
        <v>0</v>
      </c>
      <c r="N327">
        <f t="shared" si="58"/>
        <v>0</v>
      </c>
      <c r="O327">
        <f t="shared" si="59"/>
        <v>-153</v>
      </c>
    </row>
    <row r="328" spans="1:15">
      <c r="A328" s="6">
        <v>44797</v>
      </c>
      <c r="B328" s="1" t="s">
        <v>163</v>
      </c>
      <c r="C328">
        <v>12</v>
      </c>
      <c r="D328">
        <v>102.51</v>
      </c>
      <c r="E328">
        <v>113</v>
      </c>
      <c r="F328">
        <v>100</v>
      </c>
      <c r="G328" s="21">
        <f t="shared" si="54"/>
        <v>5.1792828685258856</v>
      </c>
      <c r="H328" s="6">
        <v>44799</v>
      </c>
      <c r="I328" s="16">
        <v>100</v>
      </c>
      <c r="J328" s="25">
        <f t="shared" si="55"/>
        <v>-2.4485416056970077E-2</v>
      </c>
      <c r="K328" s="36">
        <f t="shared" si="56"/>
        <v>-30.120000000000118</v>
      </c>
      <c r="L328" s="21">
        <f t="shared" si="53"/>
        <v>2</v>
      </c>
      <c r="M328" s="9">
        <f t="shared" si="57"/>
        <v>0</v>
      </c>
      <c r="N328">
        <f t="shared" si="58"/>
        <v>0</v>
      </c>
      <c r="O328">
        <f t="shared" si="59"/>
        <v>-30.120000000000118</v>
      </c>
    </row>
    <row r="329" spans="1:15">
      <c r="A329" s="6">
        <v>44797</v>
      </c>
      <c r="B329" s="1" t="s">
        <v>114</v>
      </c>
      <c r="C329">
        <v>41</v>
      </c>
      <c r="D329">
        <v>30.77</v>
      </c>
      <c r="E329" s="1">
        <v>33.5</v>
      </c>
      <c r="F329" s="1">
        <v>30.07</v>
      </c>
      <c r="G329" s="21">
        <f t="shared" si="54"/>
        <v>4.9000000000000048</v>
      </c>
      <c r="H329" s="6">
        <v>44802</v>
      </c>
      <c r="I329" s="16">
        <v>30.32</v>
      </c>
      <c r="J329" s="25">
        <f t="shared" si="55"/>
        <v>-1.4624634384140411E-2</v>
      </c>
      <c r="K329" s="36">
        <f t="shared" si="56"/>
        <v>-18.449999999999818</v>
      </c>
      <c r="L329" s="21">
        <f t="shared" si="53"/>
        <v>5</v>
      </c>
      <c r="M329" s="9">
        <f t="shared" si="57"/>
        <v>0</v>
      </c>
      <c r="N329">
        <f t="shared" si="58"/>
        <v>0</v>
      </c>
      <c r="O329">
        <f t="shared" si="59"/>
        <v>-18.449999999999818</v>
      </c>
    </row>
    <row r="330" spans="1:15">
      <c r="A330" s="6">
        <v>44796</v>
      </c>
      <c r="B330" t="s">
        <v>159</v>
      </c>
      <c r="C330">
        <v>323</v>
      </c>
      <c r="D330">
        <v>19.2</v>
      </c>
      <c r="E330">
        <v>25.5</v>
      </c>
      <c r="F330">
        <v>16.75</v>
      </c>
      <c r="G330" s="21">
        <f t="shared" si="54"/>
        <v>3.5714285714285725</v>
      </c>
      <c r="H330" s="6">
        <v>44813</v>
      </c>
      <c r="I330" s="29">
        <v>20.54</v>
      </c>
      <c r="J330" s="30">
        <f t="shared" si="55"/>
        <v>6.9791666666666696E-2</v>
      </c>
      <c r="K330" s="35">
        <f t="shared" si="56"/>
        <v>432.82000000000062</v>
      </c>
      <c r="L330" s="21">
        <f t="shared" si="53"/>
        <v>17</v>
      </c>
      <c r="M330" s="9">
        <f t="shared" si="57"/>
        <v>1</v>
      </c>
      <c r="N330">
        <f t="shared" si="58"/>
        <v>432.82000000000062</v>
      </c>
      <c r="O330">
        <f t="shared" si="59"/>
        <v>0</v>
      </c>
    </row>
    <row r="331" spans="1:15">
      <c r="A331" s="6">
        <v>44796</v>
      </c>
      <c r="B331" t="s">
        <v>188</v>
      </c>
      <c r="C331">
        <v>503</v>
      </c>
      <c r="D331">
        <v>10.06</v>
      </c>
      <c r="E331">
        <v>11.49</v>
      </c>
      <c r="F331">
        <v>9.5</v>
      </c>
      <c r="G331" s="21">
        <f t="shared" si="54"/>
        <v>3.5535714285714257</v>
      </c>
      <c r="H331" s="6">
        <v>44805</v>
      </c>
      <c r="I331" s="16">
        <v>9.49</v>
      </c>
      <c r="J331" s="25">
        <f t="shared" si="55"/>
        <v>-5.6660039761431413E-2</v>
      </c>
      <c r="K331" s="36">
        <f t="shared" si="56"/>
        <v>-286.71000000000004</v>
      </c>
      <c r="L331" s="21">
        <f t="shared" si="53"/>
        <v>9</v>
      </c>
      <c r="M331" s="9">
        <f t="shared" si="57"/>
        <v>0</v>
      </c>
      <c r="N331">
        <f t="shared" si="58"/>
        <v>0</v>
      </c>
      <c r="O331">
        <f t="shared" si="59"/>
        <v>-286.71000000000004</v>
      </c>
    </row>
    <row r="332" spans="1:15">
      <c r="A332" s="6">
        <v>44796</v>
      </c>
      <c r="B332" t="s">
        <v>148</v>
      </c>
      <c r="C332">
        <v>620</v>
      </c>
      <c r="D332">
        <v>10.45</v>
      </c>
      <c r="E332">
        <v>11.27</v>
      </c>
      <c r="F332">
        <v>9.75</v>
      </c>
      <c r="G332" s="21">
        <f t="shared" si="54"/>
        <v>2.171428571428573</v>
      </c>
      <c r="H332" s="6">
        <v>44805</v>
      </c>
      <c r="I332" s="16">
        <v>9.75</v>
      </c>
      <c r="J332" s="25">
        <f t="shared" si="55"/>
        <v>-6.698564593301426E-2</v>
      </c>
      <c r="K332" s="36">
        <f t="shared" si="56"/>
        <v>-434</v>
      </c>
      <c r="L332" s="21">
        <f t="shared" si="53"/>
        <v>9</v>
      </c>
      <c r="M332" s="9">
        <f t="shared" si="57"/>
        <v>0</v>
      </c>
      <c r="N332">
        <f t="shared" si="58"/>
        <v>0</v>
      </c>
      <c r="O332">
        <f t="shared" si="59"/>
        <v>-434</v>
      </c>
    </row>
    <row r="333" spans="1:15">
      <c r="A333" s="6">
        <v>44796</v>
      </c>
      <c r="B333" t="s">
        <v>118</v>
      </c>
      <c r="C333">
        <v>1670</v>
      </c>
      <c r="D333">
        <v>2.7</v>
      </c>
      <c r="E333">
        <v>3.64</v>
      </c>
      <c r="F333">
        <v>2</v>
      </c>
      <c r="G333" s="21">
        <f t="shared" si="54"/>
        <v>2.3428571428571425</v>
      </c>
      <c r="H333" s="6">
        <v>44817</v>
      </c>
      <c r="I333" s="16">
        <v>2.59</v>
      </c>
      <c r="J333" s="25">
        <f t="shared" si="55"/>
        <v>-4.0740740740740855E-2</v>
      </c>
      <c r="K333" s="36">
        <f t="shared" si="56"/>
        <v>-183.69999999999982</v>
      </c>
      <c r="L333" s="21">
        <f t="shared" si="53"/>
        <v>21</v>
      </c>
      <c r="M333" s="9">
        <f t="shared" si="57"/>
        <v>0</v>
      </c>
      <c r="N333">
        <f t="shared" si="58"/>
        <v>0</v>
      </c>
      <c r="O333">
        <f t="shared" si="59"/>
        <v>-183.69999999999982</v>
      </c>
    </row>
    <row r="334" spans="1:15">
      <c r="A334" s="6">
        <v>44792</v>
      </c>
      <c r="B334" t="s">
        <v>115</v>
      </c>
      <c r="C334">
        <v>59</v>
      </c>
      <c r="D334">
        <v>19.41</v>
      </c>
      <c r="E334">
        <v>21.75</v>
      </c>
      <c r="F334">
        <v>18.739999999999998</v>
      </c>
      <c r="G334" s="21">
        <f t="shared" si="54"/>
        <v>4.4925373134328268</v>
      </c>
      <c r="H334" s="6">
        <v>44797</v>
      </c>
      <c r="I334" s="16">
        <v>18.72</v>
      </c>
      <c r="J334" s="25">
        <f t="shared" si="55"/>
        <v>-3.5548686244204042E-2</v>
      </c>
      <c r="K334" s="36">
        <f t="shared" si="56"/>
        <v>-40.710000000000036</v>
      </c>
      <c r="L334" s="21">
        <f t="shared" si="53"/>
        <v>5</v>
      </c>
      <c r="M334" s="9">
        <f t="shared" si="57"/>
        <v>0</v>
      </c>
      <c r="N334">
        <f t="shared" si="58"/>
        <v>0</v>
      </c>
      <c r="O334">
        <f t="shared" si="59"/>
        <v>-40.710000000000036</v>
      </c>
    </row>
    <row r="335" spans="1:15">
      <c r="A335" s="6">
        <v>44791</v>
      </c>
      <c r="B335" t="s">
        <v>118</v>
      </c>
      <c r="C335">
        <v>1670</v>
      </c>
      <c r="D335">
        <v>3.52</v>
      </c>
      <c r="E335">
        <v>4.38</v>
      </c>
      <c r="F335">
        <v>3.3</v>
      </c>
      <c r="G335" s="21">
        <f t="shared" si="54"/>
        <v>4.9090909090909047</v>
      </c>
      <c r="H335" s="6">
        <v>44796</v>
      </c>
      <c r="I335" s="16">
        <v>2.63</v>
      </c>
      <c r="J335" s="25">
        <f t="shared" si="55"/>
        <v>-0.25284090909090917</v>
      </c>
      <c r="K335" s="36">
        <f t="shared" si="56"/>
        <v>-1486.3000000000002</v>
      </c>
      <c r="L335" s="21">
        <f t="shared" si="53"/>
        <v>5</v>
      </c>
      <c r="M335" s="9">
        <f t="shared" si="57"/>
        <v>0</v>
      </c>
      <c r="N335">
        <f t="shared" si="58"/>
        <v>0</v>
      </c>
      <c r="O335">
        <f t="shared" si="59"/>
        <v>-1486.3000000000002</v>
      </c>
    </row>
    <row r="336" spans="1:15">
      <c r="A336" s="6">
        <v>44788</v>
      </c>
      <c r="B336" t="s">
        <v>122</v>
      </c>
      <c r="C336">
        <v>440</v>
      </c>
      <c r="D336">
        <v>2.72</v>
      </c>
      <c r="E336">
        <v>3.3</v>
      </c>
      <c r="F336">
        <v>2.6</v>
      </c>
      <c r="G336" s="21">
        <f t="shared" si="54"/>
        <v>5.8333333333333259</v>
      </c>
      <c r="H336" s="6">
        <v>44799</v>
      </c>
      <c r="I336" s="16">
        <v>2.5099999999999998</v>
      </c>
      <c r="J336" s="25">
        <f t="shared" si="55"/>
        <v>-7.7205882352941346E-2</v>
      </c>
      <c r="K336" s="36">
        <f t="shared" si="56"/>
        <v>-92.400000000000318</v>
      </c>
      <c r="L336" s="21">
        <f t="shared" si="53"/>
        <v>11</v>
      </c>
      <c r="M336" s="9">
        <f t="shared" si="57"/>
        <v>0</v>
      </c>
      <c r="N336">
        <f t="shared" si="58"/>
        <v>0</v>
      </c>
      <c r="O336">
        <f t="shared" si="59"/>
        <v>-92.400000000000318</v>
      </c>
    </row>
    <row r="337" spans="1:15">
      <c r="A337" s="6">
        <v>44788</v>
      </c>
      <c r="B337" t="s">
        <v>126</v>
      </c>
      <c r="C337">
        <v>32</v>
      </c>
      <c r="D337">
        <v>41.33</v>
      </c>
      <c r="E337">
        <v>45.37</v>
      </c>
      <c r="F337">
        <v>40</v>
      </c>
      <c r="G337" s="21">
        <f t="shared" si="54"/>
        <v>4.0375939849624096</v>
      </c>
      <c r="H337" s="6">
        <v>44796</v>
      </c>
      <c r="I337" s="16">
        <v>39.53</v>
      </c>
      <c r="J337" s="25">
        <f t="shared" si="55"/>
        <v>-4.3551899346721434E-2</v>
      </c>
      <c r="K337" s="36">
        <f t="shared" si="56"/>
        <v>-57.599999999999909</v>
      </c>
      <c r="L337" s="21">
        <f t="shared" si="53"/>
        <v>8</v>
      </c>
      <c r="M337" s="9">
        <f t="shared" si="57"/>
        <v>0</v>
      </c>
      <c r="N337">
        <f t="shared" si="58"/>
        <v>0</v>
      </c>
      <c r="O337">
        <f t="shared" si="59"/>
        <v>-57.599999999999909</v>
      </c>
    </row>
    <row r="338" spans="1:15">
      <c r="A338" s="6">
        <v>44785</v>
      </c>
      <c r="B338" t="s">
        <v>190</v>
      </c>
      <c r="C338">
        <v>134</v>
      </c>
      <c r="D338">
        <v>44</v>
      </c>
      <c r="E338">
        <v>48</v>
      </c>
      <c r="F338">
        <v>42</v>
      </c>
      <c r="G338" s="21">
        <f t="shared" si="54"/>
        <v>3</v>
      </c>
      <c r="H338" s="6">
        <v>44798</v>
      </c>
      <c r="I338" s="29">
        <v>44.11</v>
      </c>
      <c r="J338" s="30">
        <f t="shared" si="55"/>
        <v>2.4999999999999467E-3</v>
      </c>
      <c r="K338" s="35">
        <f t="shared" si="56"/>
        <v>14.739999999999782</v>
      </c>
      <c r="L338" s="21">
        <f t="shared" si="53"/>
        <v>13</v>
      </c>
      <c r="M338" s="9">
        <f t="shared" si="57"/>
        <v>1</v>
      </c>
      <c r="N338">
        <f t="shared" si="58"/>
        <v>14.739999999999782</v>
      </c>
      <c r="O338">
        <f t="shared" si="59"/>
        <v>0</v>
      </c>
    </row>
    <row r="339" spans="1:15">
      <c r="A339" s="6">
        <v>44784</v>
      </c>
      <c r="B339" t="s">
        <v>126</v>
      </c>
      <c r="C339">
        <v>32</v>
      </c>
      <c r="D339">
        <v>42.76</v>
      </c>
      <c r="E339">
        <v>45.37</v>
      </c>
      <c r="F339">
        <v>41.12</v>
      </c>
      <c r="G339" s="21">
        <f t="shared" si="54"/>
        <v>2.5914634146341453</v>
      </c>
      <c r="H339" s="6">
        <v>44785</v>
      </c>
      <c r="I339" s="16">
        <v>41.13</v>
      </c>
      <c r="J339" s="25">
        <f t="shared" si="55"/>
        <v>-3.8119738072965315E-2</v>
      </c>
      <c r="K339" s="36">
        <f t="shared" si="56"/>
        <v>-52.159999999999854</v>
      </c>
      <c r="L339" s="21">
        <f t="shared" ref="L339:L402" si="60">H339-A339</f>
        <v>1</v>
      </c>
      <c r="M339" s="9">
        <f t="shared" si="57"/>
        <v>0</v>
      </c>
      <c r="N339">
        <f t="shared" si="58"/>
        <v>0</v>
      </c>
      <c r="O339">
        <f t="shared" si="59"/>
        <v>-52.159999999999854</v>
      </c>
    </row>
    <row r="340" spans="1:15">
      <c r="A340" s="6">
        <v>44784</v>
      </c>
      <c r="B340" t="s">
        <v>124</v>
      </c>
      <c r="C340">
        <v>134</v>
      </c>
      <c r="D340">
        <v>39.29</v>
      </c>
      <c r="E340">
        <v>45</v>
      </c>
      <c r="F340">
        <v>36.5</v>
      </c>
      <c r="G340" s="21">
        <f t="shared" si="54"/>
        <v>3.046594982078854</v>
      </c>
      <c r="H340" s="6">
        <v>44796</v>
      </c>
      <c r="I340" s="29">
        <v>46.38</v>
      </c>
      <c r="J340" s="30">
        <f t="shared" si="55"/>
        <v>0.18045304148638341</v>
      </c>
      <c r="K340" s="35">
        <f t="shared" si="56"/>
        <v>950.0600000000004</v>
      </c>
      <c r="L340" s="21">
        <f t="shared" si="60"/>
        <v>12</v>
      </c>
      <c r="M340" s="9">
        <f t="shared" si="57"/>
        <v>1</v>
      </c>
      <c r="N340">
        <f t="shared" si="58"/>
        <v>950.0600000000004</v>
      </c>
      <c r="O340">
        <f t="shared" si="59"/>
        <v>0</v>
      </c>
    </row>
    <row r="341" spans="1:15">
      <c r="A341" s="6">
        <v>44784</v>
      </c>
      <c r="B341" t="s">
        <v>124</v>
      </c>
      <c r="C341">
        <v>26</v>
      </c>
      <c r="D341">
        <v>39.29</v>
      </c>
      <c r="E341">
        <v>45</v>
      </c>
      <c r="F341">
        <v>36.5</v>
      </c>
      <c r="G341" s="21">
        <f t="shared" si="54"/>
        <v>3.046594982078854</v>
      </c>
      <c r="H341" s="6">
        <v>44795</v>
      </c>
      <c r="I341" s="29">
        <v>47.21</v>
      </c>
      <c r="J341" s="30">
        <f t="shared" si="55"/>
        <v>0.20157800967167216</v>
      </c>
      <c r="K341" s="35">
        <f t="shared" si="56"/>
        <v>205.92000000000007</v>
      </c>
      <c r="L341" s="21">
        <f t="shared" si="60"/>
        <v>11</v>
      </c>
      <c r="M341" s="9">
        <f t="shared" si="57"/>
        <v>1</v>
      </c>
      <c r="N341">
        <f t="shared" si="58"/>
        <v>205.92000000000007</v>
      </c>
      <c r="O341">
        <f t="shared" si="59"/>
        <v>0</v>
      </c>
    </row>
    <row r="342" spans="1:15">
      <c r="A342" s="6">
        <v>44783</v>
      </c>
      <c r="B342" s="1" t="s">
        <v>185</v>
      </c>
      <c r="C342">
        <v>212</v>
      </c>
      <c r="D342">
        <v>21.31</v>
      </c>
      <c r="E342" s="1">
        <v>24</v>
      </c>
      <c r="F342" s="1">
        <v>20</v>
      </c>
      <c r="G342" s="21">
        <f t="shared" si="54"/>
        <v>3.0534351145038197</v>
      </c>
      <c r="H342" s="6">
        <v>44805</v>
      </c>
      <c r="I342" s="29">
        <v>21.31</v>
      </c>
      <c r="J342" s="7">
        <f t="shared" si="55"/>
        <v>0</v>
      </c>
      <c r="K342" s="21">
        <f t="shared" si="56"/>
        <v>0</v>
      </c>
      <c r="L342" s="21">
        <f t="shared" si="60"/>
        <v>22</v>
      </c>
      <c r="M342" s="9">
        <f t="shared" si="57"/>
        <v>0</v>
      </c>
      <c r="N342">
        <f t="shared" si="58"/>
        <v>0</v>
      </c>
      <c r="O342">
        <f t="shared" si="59"/>
        <v>0</v>
      </c>
    </row>
    <row r="343" spans="1:15">
      <c r="A343" s="6">
        <v>44783</v>
      </c>
      <c r="B343" t="s">
        <v>169</v>
      </c>
      <c r="C343">
        <v>86</v>
      </c>
      <c r="D343">
        <v>12.32</v>
      </c>
      <c r="E343">
        <v>14.45</v>
      </c>
      <c r="F343">
        <v>11.4</v>
      </c>
      <c r="G343" s="21">
        <f t="shared" si="54"/>
        <v>3.3152173913043468</v>
      </c>
      <c r="H343" s="6">
        <v>44797</v>
      </c>
      <c r="I343" s="29">
        <v>14.69</v>
      </c>
      <c r="J343" s="30">
        <f t="shared" si="55"/>
        <v>0.19237012987012969</v>
      </c>
      <c r="K343" s="35">
        <f t="shared" si="56"/>
        <v>203.81999999999994</v>
      </c>
      <c r="L343" s="21">
        <f t="shared" si="60"/>
        <v>14</v>
      </c>
      <c r="M343" s="9">
        <f t="shared" si="57"/>
        <v>1</v>
      </c>
      <c r="N343">
        <f t="shared" si="58"/>
        <v>203.81999999999994</v>
      </c>
      <c r="O343">
        <f t="shared" si="59"/>
        <v>0</v>
      </c>
    </row>
    <row r="344" spans="1:15">
      <c r="A344" s="6">
        <v>44782</v>
      </c>
      <c r="B344" s="1" t="s">
        <v>85</v>
      </c>
      <c r="C344">
        <v>53</v>
      </c>
      <c r="D344">
        <v>88.63</v>
      </c>
      <c r="E344">
        <v>96</v>
      </c>
      <c r="F344">
        <v>86</v>
      </c>
      <c r="G344" s="21">
        <f t="shared" si="54"/>
        <v>3.8022813688212995</v>
      </c>
      <c r="H344" s="6">
        <v>44811</v>
      </c>
      <c r="I344" s="29">
        <v>89.54</v>
      </c>
      <c r="J344" s="30">
        <f t="shared" si="55"/>
        <v>1.0267403813607245E-2</v>
      </c>
      <c r="K344" s="35">
        <f t="shared" si="56"/>
        <v>48.230000000000473</v>
      </c>
      <c r="L344" s="21">
        <f t="shared" si="60"/>
        <v>29</v>
      </c>
      <c r="M344" s="9">
        <f t="shared" si="57"/>
        <v>1</v>
      </c>
      <c r="N344">
        <f t="shared" si="58"/>
        <v>48.230000000000473</v>
      </c>
      <c r="O344">
        <f t="shared" si="59"/>
        <v>0</v>
      </c>
    </row>
    <row r="345" spans="1:15">
      <c r="A345" s="6">
        <v>44782</v>
      </c>
      <c r="B345" t="s">
        <v>62</v>
      </c>
      <c r="C345">
        <v>17</v>
      </c>
      <c r="D345">
        <v>304.45999999999998</v>
      </c>
      <c r="E345">
        <v>330</v>
      </c>
      <c r="F345">
        <v>290</v>
      </c>
      <c r="G345" s="21">
        <f t="shared" si="54"/>
        <v>2.7662517289073345</v>
      </c>
      <c r="H345" s="6">
        <v>44796</v>
      </c>
      <c r="I345" s="29">
        <v>314.01</v>
      </c>
      <c r="J345" s="30">
        <f t="shared" si="55"/>
        <v>3.1367010444721899E-2</v>
      </c>
      <c r="K345" s="35">
        <f t="shared" si="56"/>
        <v>162.35000000000036</v>
      </c>
      <c r="L345" s="21">
        <f t="shared" si="60"/>
        <v>14</v>
      </c>
      <c r="M345" s="9">
        <f t="shared" si="57"/>
        <v>1</v>
      </c>
      <c r="N345">
        <f t="shared" si="58"/>
        <v>162.35000000000036</v>
      </c>
      <c r="O345">
        <f t="shared" si="59"/>
        <v>0</v>
      </c>
    </row>
    <row r="346" spans="1:15">
      <c r="A346" s="6">
        <v>44782</v>
      </c>
      <c r="B346" t="s">
        <v>187</v>
      </c>
      <c r="C346">
        <v>242</v>
      </c>
      <c r="D346">
        <v>3.1</v>
      </c>
      <c r="E346">
        <v>3.74</v>
      </c>
      <c r="F346">
        <v>2.8</v>
      </c>
      <c r="G346" s="21">
        <f t="shared" si="54"/>
        <v>3.133333333333332</v>
      </c>
      <c r="H346" s="6">
        <v>44792</v>
      </c>
      <c r="I346" s="29">
        <v>3.2</v>
      </c>
      <c r="J346" s="30">
        <f t="shared" si="55"/>
        <v>3.2258064516129004E-2</v>
      </c>
      <c r="K346" s="35">
        <f t="shared" si="56"/>
        <v>24.200000000000045</v>
      </c>
      <c r="L346" s="21">
        <f t="shared" si="60"/>
        <v>10</v>
      </c>
      <c r="M346" s="9">
        <f t="shared" si="57"/>
        <v>1</v>
      </c>
      <c r="N346">
        <f t="shared" si="58"/>
        <v>24.200000000000045</v>
      </c>
      <c r="O346">
        <f t="shared" si="59"/>
        <v>0</v>
      </c>
    </row>
    <row r="347" spans="1:15">
      <c r="A347" s="6">
        <v>44781</v>
      </c>
      <c r="B347" t="s">
        <v>151</v>
      </c>
      <c r="C347">
        <v>555</v>
      </c>
      <c r="D347">
        <v>10.54</v>
      </c>
      <c r="E347">
        <v>11.34</v>
      </c>
      <c r="F347">
        <v>10</v>
      </c>
      <c r="G347" s="21">
        <f t="shared" ref="G347:G387" si="61" xml:space="preserve"> (E347 - F347)/(D347-F347)</f>
        <v>2.481481481481485</v>
      </c>
      <c r="H347" s="6">
        <v>44803</v>
      </c>
      <c r="I347" s="16">
        <v>9.44</v>
      </c>
      <c r="J347" s="25">
        <f t="shared" si="55"/>
        <v>-0.10436432637571158</v>
      </c>
      <c r="K347" s="36">
        <f t="shared" si="56"/>
        <v>-610.5</v>
      </c>
      <c r="L347" s="21">
        <f t="shared" si="60"/>
        <v>22</v>
      </c>
      <c r="M347" s="9">
        <f t="shared" si="57"/>
        <v>0</v>
      </c>
      <c r="N347">
        <f t="shared" si="58"/>
        <v>0</v>
      </c>
      <c r="O347">
        <f t="shared" si="59"/>
        <v>-610.5</v>
      </c>
    </row>
    <row r="348" spans="1:15">
      <c r="A348" s="6">
        <v>44781</v>
      </c>
      <c r="B348" t="s">
        <v>153</v>
      </c>
      <c r="C348">
        <v>44</v>
      </c>
      <c r="D348">
        <v>23.24</v>
      </c>
      <c r="E348">
        <v>25</v>
      </c>
      <c r="F348">
        <v>18.8</v>
      </c>
      <c r="G348" s="21">
        <f t="shared" si="61"/>
        <v>1.396396396396397</v>
      </c>
      <c r="H348" s="6">
        <v>44797</v>
      </c>
      <c r="I348" s="16">
        <v>18.82</v>
      </c>
      <c r="J348" s="25">
        <f t="shared" si="55"/>
        <v>-0.19018932874354555</v>
      </c>
      <c r="K348" s="36">
        <f t="shared" si="56"/>
        <v>-194.4799999999999</v>
      </c>
      <c r="L348" s="21">
        <f t="shared" si="60"/>
        <v>16</v>
      </c>
      <c r="M348" s="9">
        <f t="shared" si="57"/>
        <v>0</v>
      </c>
      <c r="N348">
        <f t="shared" si="58"/>
        <v>0</v>
      </c>
      <c r="O348">
        <f t="shared" si="59"/>
        <v>-194.4799999999999</v>
      </c>
    </row>
    <row r="349" spans="1:15">
      <c r="A349" s="6">
        <v>44781</v>
      </c>
      <c r="B349" t="s">
        <v>60</v>
      </c>
      <c r="C349">
        <v>2</v>
      </c>
      <c r="D349">
        <v>32.64</v>
      </c>
      <c r="E349">
        <v>34</v>
      </c>
      <c r="F349">
        <v>31.4</v>
      </c>
      <c r="G349" s="21">
        <f t="shared" si="61"/>
        <v>2.0967741935483848</v>
      </c>
      <c r="H349" s="6">
        <v>44790</v>
      </c>
      <c r="I349" s="29">
        <v>34.42</v>
      </c>
      <c r="J349" s="30">
        <f t="shared" si="55"/>
        <v>5.4534313725490335E-2</v>
      </c>
      <c r="K349" s="35">
        <f t="shared" si="56"/>
        <v>3.5600000000000023</v>
      </c>
      <c r="L349" s="21">
        <f t="shared" si="60"/>
        <v>9</v>
      </c>
      <c r="M349" s="9">
        <f t="shared" si="57"/>
        <v>1</v>
      </c>
      <c r="N349">
        <f t="shared" si="58"/>
        <v>3.5600000000000023</v>
      </c>
      <c r="O349">
        <f t="shared" si="59"/>
        <v>0</v>
      </c>
    </row>
    <row r="350" spans="1:15">
      <c r="A350" s="6">
        <v>44781</v>
      </c>
      <c r="B350" t="s">
        <v>60</v>
      </c>
      <c r="C350">
        <v>33</v>
      </c>
      <c r="D350">
        <v>32.64</v>
      </c>
      <c r="E350">
        <v>34</v>
      </c>
      <c r="F350">
        <v>31.4</v>
      </c>
      <c r="G350" s="21">
        <f t="shared" si="61"/>
        <v>2.0967741935483848</v>
      </c>
      <c r="H350" s="6">
        <v>44803</v>
      </c>
      <c r="I350" s="29">
        <v>34.46</v>
      </c>
      <c r="J350" s="30">
        <f t="shared" ref="J350:J413" si="62">I350/D350 -1</f>
        <v>5.575980392156854E-2</v>
      </c>
      <c r="K350" s="35">
        <f t="shared" ref="K350:K413" si="63">(C350*I350) - (C350*D350)</f>
        <v>60.059999999999945</v>
      </c>
      <c r="L350" s="21">
        <f t="shared" si="60"/>
        <v>22</v>
      </c>
      <c r="M350" s="9">
        <f t="shared" si="57"/>
        <v>1</v>
      </c>
      <c r="N350">
        <f t="shared" si="58"/>
        <v>60.059999999999945</v>
      </c>
      <c r="O350">
        <f t="shared" si="59"/>
        <v>0</v>
      </c>
    </row>
    <row r="351" spans="1:15">
      <c r="A351" s="6">
        <v>44778</v>
      </c>
      <c r="B351" t="s">
        <v>24</v>
      </c>
      <c r="C351">
        <v>55</v>
      </c>
      <c r="D351">
        <v>73.400000000000006</v>
      </c>
      <c r="E351">
        <v>80</v>
      </c>
      <c r="F351">
        <v>70</v>
      </c>
      <c r="G351" s="21">
        <f t="shared" si="61"/>
        <v>2.9411764705882302</v>
      </c>
      <c r="H351" s="6">
        <v>44778</v>
      </c>
      <c r="I351" s="29">
        <v>74</v>
      </c>
      <c r="J351" s="30">
        <f t="shared" si="62"/>
        <v>8.1743869209809361E-3</v>
      </c>
      <c r="K351" s="35">
        <f t="shared" si="63"/>
        <v>32.999999999999545</v>
      </c>
      <c r="L351" s="21">
        <f t="shared" si="60"/>
        <v>0</v>
      </c>
      <c r="M351" s="9">
        <f t="shared" si="57"/>
        <v>1</v>
      </c>
      <c r="N351">
        <f t="shared" si="58"/>
        <v>32.999999999999545</v>
      </c>
      <c r="O351">
        <f t="shared" si="59"/>
        <v>0</v>
      </c>
    </row>
    <row r="352" spans="1:15">
      <c r="A352" s="6">
        <v>44778</v>
      </c>
      <c r="B352" t="s">
        <v>180</v>
      </c>
      <c r="C352">
        <v>36</v>
      </c>
      <c r="D352">
        <v>29.09</v>
      </c>
      <c r="E352">
        <v>35</v>
      </c>
      <c r="F352">
        <v>26</v>
      </c>
      <c r="G352" s="21">
        <f t="shared" si="61"/>
        <v>2.912621359223301</v>
      </c>
      <c r="H352" s="6">
        <v>44797</v>
      </c>
      <c r="I352" s="29">
        <v>36.56</v>
      </c>
      <c r="J352" s="30">
        <f t="shared" si="62"/>
        <v>0.25678927466483326</v>
      </c>
      <c r="K352" s="35">
        <f t="shared" si="63"/>
        <v>268.92000000000007</v>
      </c>
      <c r="L352" s="21">
        <f t="shared" si="60"/>
        <v>19</v>
      </c>
      <c r="M352" s="9">
        <f t="shared" si="57"/>
        <v>1</v>
      </c>
      <c r="N352">
        <f t="shared" si="58"/>
        <v>268.92000000000007</v>
      </c>
      <c r="O352">
        <f t="shared" si="59"/>
        <v>0</v>
      </c>
    </row>
    <row r="353" spans="1:15">
      <c r="A353" s="6">
        <v>44778</v>
      </c>
      <c r="B353" t="s">
        <v>180</v>
      </c>
      <c r="C353">
        <v>149</v>
      </c>
      <c r="D353">
        <v>29.09</v>
      </c>
      <c r="E353">
        <v>35</v>
      </c>
      <c r="F353">
        <v>26</v>
      </c>
      <c r="G353" s="21">
        <f t="shared" si="61"/>
        <v>2.912621359223301</v>
      </c>
      <c r="H353" s="6">
        <v>44802</v>
      </c>
      <c r="I353" s="29">
        <v>35.659999999999997</v>
      </c>
      <c r="J353" s="30">
        <f t="shared" si="62"/>
        <v>0.2258508078377448</v>
      </c>
      <c r="K353" s="35">
        <f t="shared" si="63"/>
        <v>978.92999999999938</v>
      </c>
      <c r="L353" s="21">
        <f t="shared" si="60"/>
        <v>24</v>
      </c>
      <c r="M353" s="9">
        <f t="shared" si="57"/>
        <v>1</v>
      </c>
      <c r="N353">
        <f t="shared" si="58"/>
        <v>978.92999999999938</v>
      </c>
      <c r="O353">
        <f t="shared" si="59"/>
        <v>0</v>
      </c>
    </row>
    <row r="354" spans="1:15">
      <c r="A354" s="6">
        <v>44777</v>
      </c>
      <c r="B354" s="1" t="s">
        <v>117</v>
      </c>
      <c r="C354">
        <v>17</v>
      </c>
      <c r="D354">
        <v>60.96</v>
      </c>
      <c r="E354">
        <v>65</v>
      </c>
      <c r="F354">
        <v>57</v>
      </c>
      <c r="G354" s="21">
        <f t="shared" si="61"/>
        <v>2.0202020202020199</v>
      </c>
      <c r="H354" s="6">
        <v>44784</v>
      </c>
      <c r="I354" s="29">
        <v>68.53</v>
      </c>
      <c r="J354" s="30">
        <f t="shared" si="62"/>
        <v>0.12417979002624668</v>
      </c>
      <c r="K354" s="35">
        <f t="shared" si="63"/>
        <v>128.69000000000005</v>
      </c>
      <c r="L354" s="21">
        <f t="shared" si="60"/>
        <v>7</v>
      </c>
      <c r="M354" s="9">
        <f t="shared" si="57"/>
        <v>1</v>
      </c>
      <c r="N354">
        <f t="shared" si="58"/>
        <v>128.69000000000005</v>
      </c>
      <c r="O354">
        <f t="shared" si="59"/>
        <v>0</v>
      </c>
    </row>
    <row r="355" spans="1:15">
      <c r="A355" s="6">
        <v>44777</v>
      </c>
      <c r="B355" s="1" t="s">
        <v>178</v>
      </c>
      <c r="C355">
        <v>14</v>
      </c>
      <c r="D355">
        <v>75.98</v>
      </c>
      <c r="E355">
        <v>82</v>
      </c>
      <c r="F355">
        <v>70</v>
      </c>
      <c r="G355" s="21">
        <f t="shared" si="61"/>
        <v>2.006688963210701</v>
      </c>
      <c r="H355" s="6">
        <v>44805</v>
      </c>
      <c r="I355" s="29">
        <v>77</v>
      </c>
      <c r="J355" s="30">
        <f t="shared" si="62"/>
        <v>1.3424585417215029E-2</v>
      </c>
      <c r="K355" s="35">
        <f t="shared" si="63"/>
        <v>14.279999999999973</v>
      </c>
      <c r="L355" s="21">
        <f t="shared" si="60"/>
        <v>28</v>
      </c>
      <c r="M355" s="9">
        <f t="shared" si="57"/>
        <v>1</v>
      </c>
      <c r="N355">
        <f t="shared" si="58"/>
        <v>14.279999999999973</v>
      </c>
      <c r="O355">
        <f t="shared" si="59"/>
        <v>0</v>
      </c>
    </row>
    <row r="356" spans="1:15">
      <c r="A356" s="6">
        <v>44777</v>
      </c>
      <c r="B356" t="s">
        <v>119</v>
      </c>
      <c r="C356">
        <v>1700</v>
      </c>
      <c r="D356">
        <v>2.95</v>
      </c>
      <c r="E356">
        <v>3.8</v>
      </c>
      <c r="F356">
        <v>2.5</v>
      </c>
      <c r="G356" s="21">
        <f t="shared" si="61"/>
        <v>2.8888888888888875</v>
      </c>
      <c r="H356" s="6">
        <v>44804</v>
      </c>
      <c r="I356" s="16">
        <v>2.8</v>
      </c>
      <c r="J356" s="25">
        <f t="shared" si="62"/>
        <v>-5.0847457627118731E-2</v>
      </c>
      <c r="K356" s="36">
        <f t="shared" si="63"/>
        <v>-255</v>
      </c>
      <c r="L356" s="21">
        <f t="shared" si="60"/>
        <v>27</v>
      </c>
      <c r="M356" s="9">
        <f t="shared" si="57"/>
        <v>0</v>
      </c>
      <c r="N356">
        <f t="shared" si="58"/>
        <v>0</v>
      </c>
      <c r="O356">
        <f t="shared" si="59"/>
        <v>-255</v>
      </c>
    </row>
    <row r="357" spans="1:15">
      <c r="A357" s="6">
        <v>44777</v>
      </c>
      <c r="B357" t="s">
        <v>94</v>
      </c>
      <c r="C357">
        <v>35</v>
      </c>
      <c r="D357">
        <v>166.83</v>
      </c>
      <c r="E357">
        <v>178</v>
      </c>
      <c r="F357">
        <v>160</v>
      </c>
      <c r="G357" s="21">
        <f t="shared" si="61"/>
        <v>2.6354319180087797</v>
      </c>
      <c r="H357" s="6">
        <v>44803</v>
      </c>
      <c r="I357" s="16">
        <v>159.77000000000001</v>
      </c>
      <c r="J357" s="25">
        <f t="shared" si="62"/>
        <v>-4.2318527842714171E-2</v>
      </c>
      <c r="K357" s="36">
        <f t="shared" si="63"/>
        <v>-247.09999999999945</v>
      </c>
      <c r="L357" s="21">
        <f t="shared" si="60"/>
        <v>26</v>
      </c>
      <c r="M357" s="9">
        <f t="shared" si="57"/>
        <v>0</v>
      </c>
      <c r="N357">
        <f t="shared" si="58"/>
        <v>0</v>
      </c>
      <c r="O357">
        <f t="shared" si="59"/>
        <v>-247.09999999999945</v>
      </c>
    </row>
    <row r="358" spans="1:15">
      <c r="A358" s="6">
        <v>44776</v>
      </c>
      <c r="B358" t="s">
        <v>123</v>
      </c>
      <c r="C358">
        <v>26</v>
      </c>
      <c r="D358">
        <v>54.19</v>
      </c>
      <c r="E358">
        <v>60</v>
      </c>
      <c r="F358">
        <v>50</v>
      </c>
      <c r="G358" s="21">
        <f t="shared" si="61"/>
        <v>2.3866348448687362</v>
      </c>
      <c r="H358" s="6">
        <v>44799</v>
      </c>
      <c r="I358" s="29">
        <v>55</v>
      </c>
      <c r="J358" s="30">
        <f t="shared" si="62"/>
        <v>1.4947407270714086E-2</v>
      </c>
      <c r="K358" s="35">
        <f t="shared" si="63"/>
        <v>21.059999999999945</v>
      </c>
      <c r="L358" s="21">
        <f t="shared" si="60"/>
        <v>23</v>
      </c>
      <c r="M358" s="9">
        <f t="shared" si="57"/>
        <v>1</v>
      </c>
      <c r="N358">
        <f t="shared" si="58"/>
        <v>21.059999999999945</v>
      </c>
      <c r="O358">
        <f t="shared" si="59"/>
        <v>0</v>
      </c>
    </row>
    <row r="359" spans="1:15">
      <c r="A359" s="6">
        <v>44776</v>
      </c>
      <c r="B359" t="s">
        <v>73</v>
      </c>
      <c r="C359">
        <v>221</v>
      </c>
      <c r="D359">
        <v>21.97</v>
      </c>
      <c r="E359">
        <v>24.62</v>
      </c>
      <c r="F359">
        <v>21.2</v>
      </c>
      <c r="G359" s="21">
        <f t="shared" si="61"/>
        <v>4.4415584415584464</v>
      </c>
      <c r="H359" s="6">
        <v>44782</v>
      </c>
      <c r="I359" s="16">
        <v>21.18</v>
      </c>
      <c r="J359" s="25">
        <f t="shared" si="62"/>
        <v>-3.5958124715521178E-2</v>
      </c>
      <c r="K359" s="36">
        <f t="shared" si="63"/>
        <v>-174.59000000000015</v>
      </c>
      <c r="L359" s="21">
        <f t="shared" si="60"/>
        <v>6</v>
      </c>
      <c r="M359" s="9">
        <f t="shared" si="57"/>
        <v>0</v>
      </c>
      <c r="N359">
        <f t="shared" si="58"/>
        <v>0</v>
      </c>
      <c r="O359">
        <f t="shared" si="59"/>
        <v>-174.59000000000015</v>
      </c>
    </row>
    <row r="360" spans="1:15">
      <c r="A360" s="6">
        <v>44774</v>
      </c>
      <c r="B360" t="s">
        <v>21</v>
      </c>
      <c r="C360">
        <v>44</v>
      </c>
      <c r="D360">
        <v>124.01</v>
      </c>
      <c r="E360">
        <v>140</v>
      </c>
      <c r="F360">
        <v>118</v>
      </c>
      <c r="G360" s="21">
        <f t="shared" si="61"/>
        <v>3.660565723793674</v>
      </c>
      <c r="H360" s="6">
        <v>44777</v>
      </c>
      <c r="I360" s="16">
        <v>118</v>
      </c>
      <c r="J360" s="25">
        <f t="shared" si="62"/>
        <v>-4.8463833561809611E-2</v>
      </c>
      <c r="K360" s="36">
        <f t="shared" si="63"/>
        <v>-264.44000000000051</v>
      </c>
      <c r="L360" s="21">
        <f t="shared" si="60"/>
        <v>3</v>
      </c>
      <c r="M360" s="9">
        <f t="shared" si="57"/>
        <v>0</v>
      </c>
      <c r="N360">
        <f t="shared" si="58"/>
        <v>0</v>
      </c>
      <c r="O360">
        <f t="shared" si="59"/>
        <v>-264.44000000000051</v>
      </c>
    </row>
    <row r="361" spans="1:15">
      <c r="A361" s="6">
        <v>44774</v>
      </c>
      <c r="B361" t="s">
        <v>153</v>
      </c>
      <c r="C361">
        <v>77</v>
      </c>
      <c r="D361">
        <v>17.05</v>
      </c>
      <c r="E361">
        <v>22.35</v>
      </c>
      <c r="F361">
        <v>15</v>
      </c>
      <c r="G361" s="21">
        <f t="shared" si="61"/>
        <v>3.5853658536585362</v>
      </c>
      <c r="H361" s="6">
        <v>44778</v>
      </c>
      <c r="I361" s="29">
        <v>22.34</v>
      </c>
      <c r="J361" s="30">
        <f t="shared" si="62"/>
        <v>0.31026392961876836</v>
      </c>
      <c r="K361" s="35">
        <f t="shared" si="63"/>
        <v>407.32999999999993</v>
      </c>
      <c r="L361" s="21">
        <f t="shared" si="60"/>
        <v>4</v>
      </c>
      <c r="M361" s="9">
        <f t="shared" si="57"/>
        <v>1</v>
      </c>
      <c r="N361">
        <f t="shared" si="58"/>
        <v>407.32999999999993</v>
      </c>
      <c r="O361">
        <f t="shared" si="59"/>
        <v>0</v>
      </c>
    </row>
    <row r="362" spans="1:15">
      <c r="A362" s="6">
        <v>44774</v>
      </c>
      <c r="B362" t="s">
        <v>153</v>
      </c>
      <c r="C362">
        <v>77</v>
      </c>
      <c r="D362">
        <v>18.29</v>
      </c>
      <c r="E362">
        <v>22.35</v>
      </c>
      <c r="F362">
        <v>17</v>
      </c>
      <c r="G362" s="21">
        <f t="shared" si="61"/>
        <v>4.1472868217054302</v>
      </c>
      <c r="H362" s="6">
        <v>44774</v>
      </c>
      <c r="I362" s="16">
        <v>17</v>
      </c>
      <c r="J362" s="25">
        <f t="shared" si="62"/>
        <v>-7.0530344450519311E-2</v>
      </c>
      <c r="K362" s="36">
        <f t="shared" si="63"/>
        <v>-99.329999999999927</v>
      </c>
      <c r="L362" s="21">
        <f t="shared" si="60"/>
        <v>0</v>
      </c>
      <c r="M362" s="9">
        <f t="shared" si="57"/>
        <v>0</v>
      </c>
      <c r="N362">
        <f t="shared" si="58"/>
        <v>0</v>
      </c>
      <c r="O362">
        <f t="shared" si="59"/>
        <v>-99.329999999999927</v>
      </c>
    </row>
    <row r="363" spans="1:15">
      <c r="A363" s="6">
        <v>44771</v>
      </c>
      <c r="B363" t="s">
        <v>119</v>
      </c>
      <c r="C363">
        <v>413</v>
      </c>
      <c r="D363">
        <v>3.06</v>
      </c>
      <c r="E363">
        <v>3.8</v>
      </c>
      <c r="F363">
        <v>2.8</v>
      </c>
      <c r="G363" s="21">
        <f t="shared" si="61"/>
        <v>3.8461538461538427</v>
      </c>
      <c r="H363" s="6">
        <v>44775</v>
      </c>
      <c r="I363" s="16">
        <v>2.8</v>
      </c>
      <c r="J363" s="25">
        <f t="shared" si="62"/>
        <v>-8.496732026143794E-2</v>
      </c>
      <c r="K363" s="36">
        <f t="shared" si="63"/>
        <v>-107.38000000000011</v>
      </c>
      <c r="L363" s="21">
        <f t="shared" si="60"/>
        <v>4</v>
      </c>
      <c r="M363" s="9">
        <f t="shared" si="57"/>
        <v>0</v>
      </c>
      <c r="N363">
        <f t="shared" si="58"/>
        <v>0</v>
      </c>
      <c r="O363">
        <f t="shared" si="59"/>
        <v>-107.38000000000011</v>
      </c>
    </row>
    <row r="364" spans="1:15">
      <c r="A364" s="6">
        <v>44770</v>
      </c>
      <c r="B364" t="s">
        <v>129</v>
      </c>
      <c r="C364">
        <v>8</v>
      </c>
      <c r="D364">
        <v>522.74</v>
      </c>
      <c r="E364">
        <v>545</v>
      </c>
      <c r="F364">
        <v>508</v>
      </c>
      <c r="G364" s="21">
        <f t="shared" si="61"/>
        <v>2.5101763907734043</v>
      </c>
      <c r="H364" s="6">
        <v>44802</v>
      </c>
      <c r="I364" s="29">
        <v>526.74</v>
      </c>
      <c r="J364" s="30">
        <f t="shared" si="62"/>
        <v>7.6519876037801637E-3</v>
      </c>
      <c r="K364" s="35">
        <f t="shared" si="63"/>
        <v>32</v>
      </c>
      <c r="L364" s="21">
        <f t="shared" si="60"/>
        <v>32</v>
      </c>
      <c r="M364" s="9">
        <f t="shared" si="57"/>
        <v>1</v>
      </c>
      <c r="N364">
        <f t="shared" si="58"/>
        <v>32</v>
      </c>
      <c r="O364">
        <f t="shared" si="59"/>
        <v>0</v>
      </c>
    </row>
    <row r="365" spans="1:15">
      <c r="A365" s="6">
        <v>44770</v>
      </c>
      <c r="B365" t="s">
        <v>168</v>
      </c>
      <c r="C365">
        <v>50</v>
      </c>
      <c r="D365">
        <v>102.78</v>
      </c>
      <c r="E365">
        <v>116</v>
      </c>
      <c r="F365">
        <v>96</v>
      </c>
      <c r="G365" s="21">
        <f t="shared" si="61"/>
        <v>2.9498525073746307</v>
      </c>
      <c r="H365" s="6">
        <v>44778</v>
      </c>
      <c r="I365" s="16">
        <v>95.76</v>
      </c>
      <c r="J365" s="25">
        <f t="shared" si="62"/>
        <v>-6.8301225919439545E-2</v>
      </c>
      <c r="K365" s="36">
        <f t="shared" si="63"/>
        <v>-351</v>
      </c>
      <c r="L365" s="21">
        <f t="shared" si="60"/>
        <v>8</v>
      </c>
      <c r="M365" s="9">
        <f t="shared" si="57"/>
        <v>0</v>
      </c>
      <c r="N365">
        <f t="shared" si="58"/>
        <v>0</v>
      </c>
      <c r="O365">
        <f t="shared" si="59"/>
        <v>-351</v>
      </c>
    </row>
    <row r="366" spans="1:15">
      <c r="A366" s="6">
        <v>44770</v>
      </c>
      <c r="B366" t="s">
        <v>132</v>
      </c>
      <c r="C366">
        <v>260</v>
      </c>
      <c r="D366">
        <v>4.62</v>
      </c>
      <c r="E366">
        <v>7</v>
      </c>
      <c r="F366">
        <v>4.0999999999999996</v>
      </c>
      <c r="G366" s="21">
        <f t="shared" si="61"/>
        <v>5.5769230769230731</v>
      </c>
      <c r="H366" s="6">
        <v>44775</v>
      </c>
      <c r="I366" s="29">
        <v>4.93</v>
      </c>
      <c r="J366" s="30">
        <f t="shared" si="62"/>
        <v>6.7099567099567103E-2</v>
      </c>
      <c r="K366" s="35">
        <f t="shared" si="63"/>
        <v>80.599999999999909</v>
      </c>
      <c r="L366" s="21">
        <f t="shared" si="60"/>
        <v>5</v>
      </c>
      <c r="M366" s="9">
        <f t="shared" si="57"/>
        <v>1</v>
      </c>
      <c r="N366">
        <f t="shared" si="58"/>
        <v>80.599999999999909</v>
      </c>
      <c r="O366">
        <f t="shared" si="59"/>
        <v>0</v>
      </c>
    </row>
    <row r="367" spans="1:15">
      <c r="A367" s="6">
        <v>44769</v>
      </c>
      <c r="B367" t="s">
        <v>72</v>
      </c>
      <c r="C367">
        <v>35</v>
      </c>
      <c r="D367">
        <v>137.13</v>
      </c>
      <c r="E367">
        <v>144</v>
      </c>
      <c r="F367">
        <v>134</v>
      </c>
      <c r="G367" s="21">
        <f t="shared" si="61"/>
        <v>3.1948881789137427</v>
      </c>
      <c r="H367" s="6">
        <v>44778</v>
      </c>
      <c r="I367" s="16">
        <v>133.99</v>
      </c>
      <c r="J367" s="25">
        <f t="shared" si="62"/>
        <v>-2.289798001896004E-2</v>
      </c>
      <c r="K367" s="36">
        <f t="shared" si="63"/>
        <v>-109.89999999999964</v>
      </c>
      <c r="L367" s="21">
        <f t="shared" si="60"/>
        <v>9</v>
      </c>
      <c r="M367" s="9">
        <f t="shared" si="57"/>
        <v>0</v>
      </c>
      <c r="N367">
        <f t="shared" si="58"/>
        <v>0</v>
      </c>
      <c r="O367">
        <f t="shared" si="59"/>
        <v>-109.89999999999964</v>
      </c>
    </row>
    <row r="368" spans="1:15">
      <c r="A368" s="6">
        <v>44768</v>
      </c>
      <c r="B368" t="s">
        <v>153</v>
      </c>
      <c r="C368">
        <v>80</v>
      </c>
      <c r="D368">
        <v>17.170000000000002</v>
      </c>
      <c r="E368">
        <v>19</v>
      </c>
      <c r="F368">
        <v>16</v>
      </c>
      <c r="G368" s="21">
        <f t="shared" si="61"/>
        <v>2.5641025641025603</v>
      </c>
      <c r="H368" s="6">
        <v>44771</v>
      </c>
      <c r="I368" s="29">
        <v>19.989999999999998</v>
      </c>
      <c r="J368" s="30">
        <f t="shared" si="62"/>
        <v>0.16423995340710529</v>
      </c>
      <c r="K368" s="35">
        <f t="shared" si="63"/>
        <v>225.59999999999968</v>
      </c>
      <c r="L368" s="21">
        <f t="shared" si="60"/>
        <v>3</v>
      </c>
      <c r="M368" s="9">
        <f t="shared" si="57"/>
        <v>1</v>
      </c>
      <c r="N368">
        <f t="shared" si="58"/>
        <v>225.59999999999968</v>
      </c>
      <c r="O368">
        <f t="shared" si="59"/>
        <v>0</v>
      </c>
    </row>
    <row r="369" spans="1:15">
      <c r="A369" s="6">
        <v>44768</v>
      </c>
      <c r="B369" t="s">
        <v>65</v>
      </c>
      <c r="C369">
        <v>53</v>
      </c>
      <c r="D369">
        <v>91.61</v>
      </c>
      <c r="E369">
        <v>95</v>
      </c>
      <c r="F369">
        <v>89</v>
      </c>
      <c r="G369" s="21">
        <f t="shared" si="61"/>
        <v>2.298850574712644</v>
      </c>
      <c r="H369" s="6">
        <v>44770</v>
      </c>
      <c r="I369" s="16">
        <v>89</v>
      </c>
      <c r="J369" s="25">
        <f t="shared" si="62"/>
        <v>-2.8490339482589278E-2</v>
      </c>
      <c r="K369" s="36">
        <f t="shared" si="63"/>
        <v>-138.32999999999993</v>
      </c>
      <c r="L369" s="21">
        <f t="shared" si="60"/>
        <v>2</v>
      </c>
      <c r="M369" s="9">
        <f t="shared" si="57"/>
        <v>0</v>
      </c>
      <c r="N369">
        <f t="shared" si="58"/>
        <v>0</v>
      </c>
      <c r="O369">
        <f t="shared" si="59"/>
        <v>-138.32999999999993</v>
      </c>
    </row>
    <row r="370" spans="1:15">
      <c r="A370" s="6">
        <v>44767</v>
      </c>
      <c r="B370" t="s">
        <v>164</v>
      </c>
      <c r="C370">
        <v>83</v>
      </c>
      <c r="D370">
        <v>44.63</v>
      </c>
      <c r="E370">
        <v>46</v>
      </c>
      <c r="F370">
        <v>43.9</v>
      </c>
      <c r="G370" s="21">
        <f t="shared" si="61"/>
        <v>2.8767123287671095</v>
      </c>
      <c r="H370" s="6">
        <v>44777</v>
      </c>
      <c r="I370" s="29">
        <v>44.98</v>
      </c>
      <c r="J370" s="30">
        <f t="shared" si="62"/>
        <v>7.8422585704682746E-3</v>
      </c>
      <c r="K370" s="35">
        <f t="shared" si="63"/>
        <v>29.049999999999272</v>
      </c>
      <c r="L370" s="21">
        <f t="shared" si="60"/>
        <v>10</v>
      </c>
      <c r="M370" s="9">
        <f t="shared" si="57"/>
        <v>1</v>
      </c>
      <c r="N370">
        <f t="shared" si="58"/>
        <v>29.049999999999272</v>
      </c>
      <c r="O370">
        <f t="shared" si="59"/>
        <v>0</v>
      </c>
    </row>
    <row r="371" spans="1:15">
      <c r="A371" s="6">
        <v>44767</v>
      </c>
      <c r="B371" t="s">
        <v>164</v>
      </c>
      <c r="C371">
        <v>3</v>
      </c>
      <c r="D371">
        <v>44.63</v>
      </c>
      <c r="E371">
        <v>46</v>
      </c>
      <c r="F371">
        <v>43.9</v>
      </c>
      <c r="G371" s="21">
        <f t="shared" si="61"/>
        <v>2.8767123287671095</v>
      </c>
      <c r="H371" s="6">
        <v>44775</v>
      </c>
      <c r="I371" s="28">
        <v>45.8</v>
      </c>
      <c r="J371" s="30">
        <f t="shared" si="62"/>
        <v>2.6215550078422467E-2</v>
      </c>
      <c r="K371" s="35">
        <f t="shared" si="63"/>
        <v>3.5099999999999625</v>
      </c>
      <c r="L371" s="21">
        <f t="shared" si="60"/>
        <v>8</v>
      </c>
      <c r="M371" s="9">
        <f t="shared" si="57"/>
        <v>1</v>
      </c>
      <c r="N371">
        <f t="shared" si="58"/>
        <v>3.5099999999999625</v>
      </c>
      <c r="O371">
        <f t="shared" si="59"/>
        <v>0</v>
      </c>
    </row>
    <row r="372" spans="1:15">
      <c r="A372" s="6">
        <v>44764</v>
      </c>
      <c r="B372" t="s">
        <v>132</v>
      </c>
      <c r="C372">
        <v>140</v>
      </c>
      <c r="D372">
        <v>4.46</v>
      </c>
      <c r="E372">
        <v>7</v>
      </c>
      <c r="F372">
        <v>4.0999999999999996</v>
      </c>
      <c r="G372" s="21">
        <f t="shared" si="61"/>
        <v>8.05555555555555</v>
      </c>
      <c r="H372" s="6">
        <v>44764</v>
      </c>
      <c r="I372" s="16">
        <v>4.0599999999999996</v>
      </c>
      <c r="J372" s="25">
        <f t="shared" si="62"/>
        <v>-8.9686098654708557E-2</v>
      </c>
      <c r="K372" s="36">
        <f t="shared" si="63"/>
        <v>-56</v>
      </c>
      <c r="L372" s="21">
        <f t="shared" si="60"/>
        <v>0</v>
      </c>
      <c r="M372" s="9">
        <f t="shared" si="57"/>
        <v>0</v>
      </c>
      <c r="N372">
        <f t="shared" si="58"/>
        <v>0</v>
      </c>
      <c r="O372">
        <f t="shared" si="59"/>
        <v>-56</v>
      </c>
    </row>
    <row r="373" spans="1:15">
      <c r="A373" s="6">
        <v>44764</v>
      </c>
      <c r="B373" t="s">
        <v>133</v>
      </c>
      <c r="C373">
        <v>4</v>
      </c>
      <c r="D373">
        <v>38.92</v>
      </c>
      <c r="E373">
        <v>46.5</v>
      </c>
      <c r="F373">
        <v>37.4</v>
      </c>
      <c r="G373" s="21">
        <f t="shared" si="61"/>
        <v>5.9868421052631469</v>
      </c>
      <c r="H373" s="6">
        <v>44781</v>
      </c>
      <c r="I373" s="29">
        <v>54.125</v>
      </c>
      <c r="J373" s="30">
        <f t="shared" si="62"/>
        <v>0.39067317574511806</v>
      </c>
      <c r="K373" s="35">
        <f t="shared" si="63"/>
        <v>60.819999999999993</v>
      </c>
      <c r="L373" s="21">
        <f t="shared" si="60"/>
        <v>17</v>
      </c>
      <c r="M373" s="9">
        <f t="shared" si="57"/>
        <v>1</v>
      </c>
      <c r="N373">
        <f t="shared" si="58"/>
        <v>60.819999999999993</v>
      </c>
      <c r="O373">
        <f t="shared" si="59"/>
        <v>0</v>
      </c>
    </row>
    <row r="374" spans="1:15">
      <c r="A374" s="6">
        <v>44764</v>
      </c>
      <c r="B374" t="s">
        <v>133</v>
      </c>
      <c r="C374">
        <v>17</v>
      </c>
      <c r="D374">
        <v>38.92</v>
      </c>
      <c r="E374">
        <v>46.5</v>
      </c>
      <c r="F374">
        <v>37.4</v>
      </c>
      <c r="G374" s="21">
        <f t="shared" si="61"/>
        <v>5.9868421052631469</v>
      </c>
      <c r="H374" s="6">
        <v>44782</v>
      </c>
      <c r="I374" s="29">
        <v>52.14</v>
      </c>
      <c r="J374" s="30">
        <f t="shared" si="62"/>
        <v>0.3396711202466598</v>
      </c>
      <c r="K374" s="35">
        <f t="shared" si="63"/>
        <v>224.74</v>
      </c>
      <c r="L374" s="21">
        <f t="shared" si="60"/>
        <v>18</v>
      </c>
      <c r="M374" s="9">
        <f t="shared" si="57"/>
        <v>1</v>
      </c>
      <c r="N374">
        <f t="shared" si="58"/>
        <v>224.74</v>
      </c>
      <c r="O374">
        <f t="shared" si="59"/>
        <v>0</v>
      </c>
    </row>
    <row r="375" spans="1:15">
      <c r="A375" s="6">
        <v>44764</v>
      </c>
      <c r="B375" t="s">
        <v>165</v>
      </c>
      <c r="C375">
        <v>350</v>
      </c>
      <c r="D375">
        <v>15.97</v>
      </c>
      <c r="E375">
        <v>16.899999999999999</v>
      </c>
      <c r="F375">
        <v>14.2</v>
      </c>
      <c r="G375" s="21">
        <f t="shared" si="61"/>
        <v>1.5254237288135577</v>
      </c>
      <c r="H375" s="6">
        <v>44784</v>
      </c>
      <c r="I375" s="29">
        <v>16.64</v>
      </c>
      <c r="J375" s="30">
        <f t="shared" si="62"/>
        <v>4.1953663118346807E-2</v>
      </c>
      <c r="K375" s="35">
        <f t="shared" si="63"/>
        <v>234.5</v>
      </c>
      <c r="L375" s="21">
        <f t="shared" si="60"/>
        <v>20</v>
      </c>
      <c r="M375" s="9">
        <f t="shared" si="57"/>
        <v>1</v>
      </c>
      <c r="N375">
        <f t="shared" si="58"/>
        <v>234.5</v>
      </c>
      <c r="O375">
        <f t="shared" si="59"/>
        <v>0</v>
      </c>
    </row>
    <row r="376" spans="1:15">
      <c r="A376" s="6">
        <v>44763</v>
      </c>
      <c r="B376" t="s">
        <v>162</v>
      </c>
      <c r="C376">
        <v>320</v>
      </c>
      <c r="D376">
        <v>18.690000000000001</v>
      </c>
      <c r="E376">
        <v>20</v>
      </c>
      <c r="F376">
        <v>17.7</v>
      </c>
      <c r="G376" s="21">
        <f t="shared" si="61"/>
        <v>2.3232323232323191</v>
      </c>
      <c r="H376" s="6">
        <v>44791</v>
      </c>
      <c r="I376" s="16">
        <v>18.440000000000001</v>
      </c>
      <c r="J376" s="25">
        <f t="shared" si="62"/>
        <v>-1.3376136971642638E-2</v>
      </c>
      <c r="K376" s="36">
        <f t="shared" si="63"/>
        <v>-80</v>
      </c>
      <c r="L376" s="21">
        <f t="shared" si="60"/>
        <v>28</v>
      </c>
      <c r="M376" s="9">
        <f t="shared" si="57"/>
        <v>0</v>
      </c>
      <c r="N376">
        <f t="shared" si="58"/>
        <v>0</v>
      </c>
      <c r="O376">
        <f t="shared" si="59"/>
        <v>-80</v>
      </c>
    </row>
    <row r="377" spans="1:15">
      <c r="A377" s="6">
        <v>44762</v>
      </c>
      <c r="B377" t="s">
        <v>140</v>
      </c>
      <c r="C377">
        <v>350</v>
      </c>
      <c r="D377" s="1">
        <v>14.93</v>
      </c>
      <c r="E377" s="1">
        <v>16</v>
      </c>
      <c r="F377" s="1">
        <v>14</v>
      </c>
      <c r="G377" s="21">
        <f t="shared" si="61"/>
        <v>2.1505376344086029</v>
      </c>
      <c r="H377" s="6">
        <v>44767</v>
      </c>
      <c r="I377" s="19">
        <v>13.88</v>
      </c>
      <c r="J377" s="25">
        <f t="shared" si="62"/>
        <v>-7.0328198258539754E-2</v>
      </c>
      <c r="K377" s="36">
        <f t="shared" si="63"/>
        <v>-367.5</v>
      </c>
      <c r="L377" s="21">
        <f t="shared" si="60"/>
        <v>5</v>
      </c>
      <c r="M377" s="9">
        <f t="shared" si="57"/>
        <v>0</v>
      </c>
      <c r="N377">
        <f t="shared" si="58"/>
        <v>0</v>
      </c>
      <c r="O377">
        <f t="shared" si="59"/>
        <v>-367.5</v>
      </c>
    </row>
    <row r="378" spans="1:15">
      <c r="A378" s="6">
        <v>44762</v>
      </c>
      <c r="B378" t="s">
        <v>94</v>
      </c>
      <c r="C378">
        <v>35</v>
      </c>
      <c r="D378" s="1">
        <v>152.34</v>
      </c>
      <c r="E378" s="1">
        <v>166</v>
      </c>
      <c r="F378" s="1">
        <v>136</v>
      </c>
      <c r="G378" s="21">
        <f t="shared" si="61"/>
        <v>1.8359853121175027</v>
      </c>
      <c r="H378" s="6">
        <v>44767</v>
      </c>
      <c r="I378" s="31">
        <v>152.48500000000001</v>
      </c>
      <c r="J378" s="30">
        <f t="shared" si="62"/>
        <v>9.5181830116852773E-4</v>
      </c>
      <c r="K378" s="35">
        <f t="shared" si="63"/>
        <v>5.0749999999998181</v>
      </c>
      <c r="L378" s="21">
        <f t="shared" si="60"/>
        <v>5</v>
      </c>
      <c r="M378" s="9">
        <f t="shared" si="57"/>
        <v>1</v>
      </c>
      <c r="N378">
        <f t="shared" si="58"/>
        <v>5.0749999999998181</v>
      </c>
      <c r="O378">
        <f t="shared" si="59"/>
        <v>0</v>
      </c>
    </row>
    <row r="379" spans="1:15">
      <c r="A379" s="6">
        <v>44762</v>
      </c>
      <c r="B379" s="1" t="s">
        <v>119</v>
      </c>
      <c r="C379">
        <v>1400</v>
      </c>
      <c r="D379" s="1">
        <v>3.7</v>
      </c>
      <c r="E379" s="1">
        <v>5</v>
      </c>
      <c r="F379" s="1">
        <v>3.13</v>
      </c>
      <c r="G379" s="21">
        <f t="shared" si="61"/>
        <v>3.2807017543859636</v>
      </c>
      <c r="H379" s="6">
        <v>44767</v>
      </c>
      <c r="I379" s="19">
        <v>3.12</v>
      </c>
      <c r="J379" s="25">
        <f t="shared" si="62"/>
        <v>-0.15675675675675682</v>
      </c>
      <c r="K379" s="36">
        <f t="shared" si="63"/>
        <v>-812</v>
      </c>
      <c r="L379" s="21">
        <f t="shared" si="60"/>
        <v>5</v>
      </c>
      <c r="M379" s="9">
        <f t="shared" si="57"/>
        <v>0</v>
      </c>
      <c r="N379">
        <f t="shared" si="58"/>
        <v>0</v>
      </c>
      <c r="O379">
        <f t="shared" si="59"/>
        <v>-812</v>
      </c>
    </row>
    <row r="380" spans="1:15">
      <c r="A380" s="6">
        <v>44762</v>
      </c>
      <c r="B380" t="s">
        <v>153</v>
      </c>
      <c r="C380">
        <v>80</v>
      </c>
      <c r="D380" s="1">
        <v>14.09</v>
      </c>
      <c r="E380" s="1">
        <v>20</v>
      </c>
      <c r="F380" s="1">
        <v>13</v>
      </c>
      <c r="G380" s="21">
        <f t="shared" si="61"/>
        <v>6.4220183486238538</v>
      </c>
      <c r="H380" s="6">
        <v>44764</v>
      </c>
      <c r="I380" s="19">
        <v>13</v>
      </c>
      <c r="J380" s="25">
        <f t="shared" si="62"/>
        <v>-7.7359829666430069E-2</v>
      </c>
      <c r="K380" s="36">
        <f t="shared" si="63"/>
        <v>-87.200000000000045</v>
      </c>
      <c r="L380" s="21">
        <f t="shared" si="60"/>
        <v>2</v>
      </c>
      <c r="M380" s="9">
        <f t="shared" si="57"/>
        <v>0</v>
      </c>
      <c r="N380">
        <f t="shared" si="58"/>
        <v>0</v>
      </c>
      <c r="O380">
        <f t="shared" si="59"/>
        <v>-87.200000000000045</v>
      </c>
    </row>
    <row r="381" spans="1:15">
      <c r="A381" s="6">
        <v>44761</v>
      </c>
      <c r="B381" t="s">
        <v>131</v>
      </c>
      <c r="C381">
        <v>8</v>
      </c>
      <c r="D381" s="1">
        <v>128.91999999999999</v>
      </c>
      <c r="E381" s="1">
        <v>139</v>
      </c>
      <c r="F381" s="1">
        <v>123.35</v>
      </c>
      <c r="G381" s="21">
        <f t="shared" si="61"/>
        <v>2.8096947935368086</v>
      </c>
      <c r="H381" s="6">
        <v>44796</v>
      </c>
      <c r="I381" s="31">
        <v>135.52000000000001</v>
      </c>
      <c r="J381" s="30">
        <f t="shared" si="62"/>
        <v>5.1194539249146853E-2</v>
      </c>
      <c r="K381" s="35">
        <f t="shared" si="63"/>
        <v>52.800000000000182</v>
      </c>
      <c r="L381" s="21">
        <f t="shared" si="60"/>
        <v>35</v>
      </c>
      <c r="M381" s="9">
        <f t="shared" si="57"/>
        <v>1</v>
      </c>
      <c r="N381">
        <f t="shared" si="58"/>
        <v>52.800000000000182</v>
      </c>
      <c r="O381">
        <f t="shared" si="59"/>
        <v>0</v>
      </c>
    </row>
    <row r="382" spans="1:15">
      <c r="A382" s="6">
        <v>44761</v>
      </c>
      <c r="B382" t="s">
        <v>67</v>
      </c>
      <c r="C382">
        <v>53</v>
      </c>
      <c r="D382" s="1">
        <v>111.32</v>
      </c>
      <c r="E382" s="1">
        <v>120</v>
      </c>
      <c r="F382" s="1">
        <v>107</v>
      </c>
      <c r="G382" s="21">
        <f t="shared" si="61"/>
        <v>3.009259259259264</v>
      </c>
      <c r="H382" s="6">
        <v>44784</v>
      </c>
      <c r="I382" s="31">
        <v>120.71</v>
      </c>
      <c r="J382" s="30">
        <f t="shared" si="62"/>
        <v>8.4351419331656574E-2</v>
      </c>
      <c r="K382" s="35">
        <f t="shared" si="63"/>
        <v>497.67000000000007</v>
      </c>
      <c r="L382" s="21">
        <f t="shared" si="60"/>
        <v>23</v>
      </c>
      <c r="M382" s="9">
        <f t="shared" si="57"/>
        <v>1</v>
      </c>
      <c r="N382">
        <f t="shared" si="58"/>
        <v>497.67000000000007</v>
      </c>
      <c r="O382">
        <f t="shared" si="59"/>
        <v>0</v>
      </c>
    </row>
    <row r="383" spans="1:15">
      <c r="A383" s="6">
        <v>44761</v>
      </c>
      <c r="B383" t="s">
        <v>17</v>
      </c>
      <c r="C383">
        <v>86</v>
      </c>
      <c r="D383" s="1">
        <v>60.87</v>
      </c>
      <c r="E383" s="1">
        <v>70</v>
      </c>
      <c r="F383" s="1">
        <v>56</v>
      </c>
      <c r="G383" s="21">
        <f t="shared" si="61"/>
        <v>2.8747433264887077</v>
      </c>
      <c r="H383" s="6">
        <v>44777</v>
      </c>
      <c r="I383" s="19">
        <v>59.01</v>
      </c>
      <c r="J383" s="25">
        <f t="shared" si="62"/>
        <v>-3.0556924593395762E-2</v>
      </c>
      <c r="K383" s="36">
        <f t="shared" si="63"/>
        <v>-159.96000000000004</v>
      </c>
      <c r="L383" s="21">
        <f t="shared" si="60"/>
        <v>16</v>
      </c>
      <c r="M383" s="9">
        <f t="shared" si="57"/>
        <v>0</v>
      </c>
      <c r="N383">
        <f t="shared" si="58"/>
        <v>0</v>
      </c>
      <c r="O383">
        <f t="shared" si="59"/>
        <v>-159.96000000000004</v>
      </c>
    </row>
    <row r="384" spans="1:15">
      <c r="A384" s="6">
        <v>44761</v>
      </c>
      <c r="B384" t="s">
        <v>58</v>
      </c>
      <c r="C384">
        <v>800</v>
      </c>
      <c r="D384" s="1">
        <v>6.68</v>
      </c>
      <c r="E384" s="1">
        <v>7.51</v>
      </c>
      <c r="F384" s="1">
        <v>6.35</v>
      </c>
      <c r="G384" s="21">
        <f t="shared" si="61"/>
        <v>3.5151515151515147</v>
      </c>
      <c r="H384" s="6">
        <v>44763</v>
      </c>
      <c r="I384" s="19">
        <v>6.66</v>
      </c>
      <c r="J384" s="25">
        <f t="shared" si="62"/>
        <v>-2.9940119760478723E-3</v>
      </c>
      <c r="K384" s="36">
        <f t="shared" si="63"/>
        <v>-16</v>
      </c>
      <c r="L384" s="21">
        <f t="shared" si="60"/>
        <v>2</v>
      </c>
      <c r="M384" s="9">
        <f t="shared" si="57"/>
        <v>0</v>
      </c>
      <c r="N384">
        <f t="shared" si="58"/>
        <v>0</v>
      </c>
      <c r="O384">
        <f t="shared" si="59"/>
        <v>-16</v>
      </c>
    </row>
    <row r="385" spans="1:15">
      <c r="A385" s="6">
        <v>44760</v>
      </c>
      <c r="B385" t="s">
        <v>118</v>
      </c>
      <c r="C385">
        <v>45</v>
      </c>
      <c r="D385" s="1">
        <v>2.93</v>
      </c>
      <c r="E385" s="1">
        <v>3.64</v>
      </c>
      <c r="F385" s="1">
        <v>2.71</v>
      </c>
      <c r="G385" s="21">
        <f t="shared" si="61"/>
        <v>4.227272727272724</v>
      </c>
      <c r="H385" s="6">
        <v>44768</v>
      </c>
      <c r="I385" s="31">
        <v>3.49</v>
      </c>
      <c r="J385" s="30">
        <f t="shared" si="62"/>
        <v>0.19112627986348119</v>
      </c>
      <c r="K385" s="35">
        <f t="shared" si="63"/>
        <v>25.200000000000017</v>
      </c>
      <c r="L385" s="21">
        <f t="shared" si="60"/>
        <v>8</v>
      </c>
      <c r="M385" s="9">
        <f t="shared" si="57"/>
        <v>1</v>
      </c>
      <c r="N385">
        <f t="shared" si="58"/>
        <v>25.200000000000017</v>
      </c>
      <c r="O385">
        <f t="shared" si="59"/>
        <v>0</v>
      </c>
    </row>
    <row r="386" spans="1:15">
      <c r="A386" s="6">
        <v>44760</v>
      </c>
      <c r="B386" t="s">
        <v>118</v>
      </c>
      <c r="C386">
        <v>305</v>
      </c>
      <c r="D386" s="1">
        <v>2.93</v>
      </c>
      <c r="E386" s="1">
        <v>3.64</v>
      </c>
      <c r="F386" s="1">
        <v>2.71</v>
      </c>
      <c r="G386" s="21">
        <f t="shared" si="61"/>
        <v>4.227272727272724</v>
      </c>
      <c r="H386" s="6">
        <v>44769</v>
      </c>
      <c r="I386" s="31">
        <v>3.42</v>
      </c>
      <c r="J386" s="30">
        <f t="shared" si="62"/>
        <v>0.1672354948805459</v>
      </c>
      <c r="K386" s="35">
        <f t="shared" si="63"/>
        <v>149.44999999999982</v>
      </c>
      <c r="L386" s="21">
        <f t="shared" si="60"/>
        <v>9</v>
      </c>
      <c r="M386" s="9">
        <f t="shared" si="57"/>
        <v>1</v>
      </c>
      <c r="N386">
        <f t="shared" si="58"/>
        <v>149.44999999999982</v>
      </c>
      <c r="O386">
        <f t="shared" si="59"/>
        <v>0</v>
      </c>
    </row>
    <row r="387" spans="1:15">
      <c r="A387" s="6">
        <v>44760</v>
      </c>
      <c r="B387" t="s">
        <v>124</v>
      </c>
      <c r="C387">
        <v>153</v>
      </c>
      <c r="D387" s="1">
        <v>31.13</v>
      </c>
      <c r="E387" s="1">
        <v>47.3</v>
      </c>
      <c r="F387" s="1">
        <v>37.5</v>
      </c>
      <c r="G387" s="21">
        <f t="shared" si="61"/>
        <v>-1.5384615384615379</v>
      </c>
      <c r="H387" s="6">
        <v>44774</v>
      </c>
      <c r="I387" s="31">
        <v>43.41</v>
      </c>
      <c r="J387" s="30">
        <f t="shared" si="62"/>
        <v>0.39447478316736251</v>
      </c>
      <c r="K387" s="35">
        <f t="shared" si="63"/>
        <v>1878.8400000000001</v>
      </c>
      <c r="L387" s="21">
        <f t="shared" si="60"/>
        <v>14</v>
      </c>
      <c r="M387" s="9">
        <f t="shared" si="57"/>
        <v>1</v>
      </c>
      <c r="N387">
        <f t="shared" si="58"/>
        <v>1878.8400000000001</v>
      </c>
      <c r="O387">
        <f t="shared" si="59"/>
        <v>0</v>
      </c>
    </row>
    <row r="388" spans="1:15">
      <c r="A388" s="6">
        <v>44760</v>
      </c>
      <c r="B388" t="s">
        <v>124</v>
      </c>
      <c r="C388">
        <v>17</v>
      </c>
      <c r="D388" s="1">
        <v>31.13</v>
      </c>
      <c r="E388" s="1">
        <v>39.700000000000003</v>
      </c>
      <c r="F388" s="1">
        <v>35.5</v>
      </c>
      <c r="G388" s="20" t="s">
        <v>128</v>
      </c>
      <c r="H388" s="6">
        <v>44768</v>
      </c>
      <c r="I388" s="31">
        <v>41.11</v>
      </c>
      <c r="J388" s="30">
        <f t="shared" si="62"/>
        <v>0.32059106970767748</v>
      </c>
      <c r="K388" s="35">
        <f t="shared" si="63"/>
        <v>169.65999999999997</v>
      </c>
      <c r="L388" s="21">
        <f t="shared" si="60"/>
        <v>8</v>
      </c>
      <c r="M388" s="9">
        <f t="shared" si="57"/>
        <v>1</v>
      </c>
      <c r="N388">
        <f t="shared" si="58"/>
        <v>169.65999999999997</v>
      </c>
      <c r="O388">
        <f t="shared" si="59"/>
        <v>0</v>
      </c>
    </row>
    <row r="389" spans="1:15">
      <c r="A389" s="6">
        <v>44760</v>
      </c>
      <c r="B389" t="s">
        <v>124</v>
      </c>
      <c r="C389">
        <v>17</v>
      </c>
      <c r="D389" s="1">
        <v>31.13</v>
      </c>
      <c r="E389" s="1">
        <v>35</v>
      </c>
      <c r="F389" s="1">
        <v>29</v>
      </c>
      <c r="G389" s="20" t="s">
        <v>128</v>
      </c>
      <c r="H389" s="6">
        <v>44764</v>
      </c>
      <c r="I389" s="31">
        <v>38.380000000000003</v>
      </c>
      <c r="J389" s="30">
        <f t="shared" si="62"/>
        <v>0.23289431416639905</v>
      </c>
      <c r="K389" s="35">
        <f t="shared" si="63"/>
        <v>123.25</v>
      </c>
      <c r="L389" s="21">
        <f t="shared" si="60"/>
        <v>4</v>
      </c>
      <c r="M389" s="9">
        <f t="shared" si="57"/>
        <v>1</v>
      </c>
      <c r="N389">
        <f t="shared" si="58"/>
        <v>123.25</v>
      </c>
      <c r="O389">
        <f t="shared" si="59"/>
        <v>0</v>
      </c>
    </row>
    <row r="390" spans="1:15">
      <c r="A390" s="6">
        <v>44760</v>
      </c>
      <c r="B390" t="s">
        <v>140</v>
      </c>
      <c r="C390">
        <v>350</v>
      </c>
      <c r="D390">
        <v>14.88</v>
      </c>
      <c r="E390">
        <v>16</v>
      </c>
      <c r="F390">
        <v>14.3</v>
      </c>
      <c r="G390" s="20" t="s">
        <v>154</v>
      </c>
      <c r="H390" s="6">
        <v>44761</v>
      </c>
      <c r="I390" s="16">
        <v>14.26</v>
      </c>
      <c r="J390" s="25">
        <f t="shared" si="62"/>
        <v>-4.1666666666666741E-2</v>
      </c>
      <c r="K390" s="36">
        <f t="shared" si="63"/>
        <v>-217</v>
      </c>
      <c r="L390" s="21">
        <f t="shared" si="60"/>
        <v>1</v>
      </c>
      <c r="M390" s="9">
        <f t="shared" ref="M390:M432" si="64">IF(J390&gt;0,1,0)</f>
        <v>0</v>
      </c>
      <c r="N390">
        <f t="shared" ref="N390:N432" si="65">IF(K390&gt;0, K390, 0)</f>
        <v>0</v>
      </c>
      <c r="O390">
        <f t="shared" ref="O390:O432" si="66">IF(K390&lt;0, K390, 0)</f>
        <v>-217</v>
      </c>
    </row>
    <row r="391" spans="1:15">
      <c r="A391" s="6">
        <v>44760</v>
      </c>
      <c r="B391" t="s">
        <v>24</v>
      </c>
      <c r="C391">
        <v>104</v>
      </c>
      <c r="D391" s="1">
        <v>56.23</v>
      </c>
      <c r="E391" s="1">
        <v>59.8</v>
      </c>
      <c r="F391" s="1">
        <v>54</v>
      </c>
      <c r="G391" s="20" t="s">
        <v>128</v>
      </c>
      <c r="H391" s="6">
        <v>44762</v>
      </c>
      <c r="I391" s="16">
        <v>54</v>
      </c>
      <c r="J391" s="25">
        <f t="shared" si="62"/>
        <v>-3.9658545260537026E-2</v>
      </c>
      <c r="K391" s="36">
        <f t="shared" si="63"/>
        <v>-231.92000000000007</v>
      </c>
      <c r="L391" s="21">
        <f t="shared" si="60"/>
        <v>2</v>
      </c>
      <c r="M391" s="9">
        <f t="shared" si="64"/>
        <v>0</v>
      </c>
      <c r="N391">
        <f t="shared" si="65"/>
        <v>0</v>
      </c>
      <c r="O391">
        <f t="shared" si="66"/>
        <v>-231.92000000000007</v>
      </c>
    </row>
    <row r="392" spans="1:15">
      <c r="A392" s="6">
        <v>44760</v>
      </c>
      <c r="B392" t="s">
        <v>72</v>
      </c>
      <c r="C392">
        <v>8</v>
      </c>
      <c r="D392">
        <v>136.07</v>
      </c>
      <c r="E392">
        <v>142</v>
      </c>
      <c r="F392">
        <v>134</v>
      </c>
      <c r="G392" s="21">
        <f t="shared" ref="G392:G397" si="67" xml:space="preserve"> (E392 - F392)/(D392-F392)</f>
        <v>3.8647342995169209</v>
      </c>
      <c r="H392" s="6">
        <v>44760</v>
      </c>
      <c r="I392" s="16">
        <v>134</v>
      </c>
      <c r="J392" s="25">
        <f t="shared" si="62"/>
        <v>-1.5212758139192983E-2</v>
      </c>
      <c r="K392" s="36">
        <f t="shared" si="63"/>
        <v>-16.559999999999945</v>
      </c>
      <c r="L392" s="21">
        <f t="shared" si="60"/>
        <v>0</v>
      </c>
      <c r="M392" s="9">
        <f t="shared" si="64"/>
        <v>0</v>
      </c>
      <c r="N392">
        <f t="shared" si="65"/>
        <v>0</v>
      </c>
      <c r="O392">
        <f t="shared" si="66"/>
        <v>-16.559999999999945</v>
      </c>
    </row>
    <row r="393" spans="1:15">
      <c r="A393" s="6">
        <v>44757</v>
      </c>
      <c r="B393" t="s">
        <v>92</v>
      </c>
      <c r="C393">
        <v>17</v>
      </c>
      <c r="D393" s="1">
        <v>61.11</v>
      </c>
      <c r="E393" s="1">
        <v>66</v>
      </c>
      <c r="F393" s="1">
        <v>58</v>
      </c>
      <c r="G393" s="21">
        <f t="shared" si="67"/>
        <v>2.5723472668810294</v>
      </c>
      <c r="H393" s="6">
        <v>44782</v>
      </c>
      <c r="I393" s="16">
        <v>58.01</v>
      </c>
      <c r="J393" s="25">
        <f t="shared" si="62"/>
        <v>-5.0728195058092007E-2</v>
      </c>
      <c r="K393" s="36">
        <f t="shared" si="63"/>
        <v>-52.699999999999932</v>
      </c>
      <c r="L393" s="21">
        <f t="shared" si="60"/>
        <v>25</v>
      </c>
      <c r="M393" s="9">
        <f t="shared" si="64"/>
        <v>0</v>
      </c>
      <c r="N393">
        <f t="shared" si="65"/>
        <v>0</v>
      </c>
      <c r="O393">
        <f t="shared" si="66"/>
        <v>-52.699999999999932</v>
      </c>
    </row>
    <row r="394" spans="1:15">
      <c r="A394" s="6">
        <v>44757</v>
      </c>
      <c r="B394" t="s">
        <v>125</v>
      </c>
      <c r="C394">
        <v>32</v>
      </c>
      <c r="D394" s="1">
        <v>33.65</v>
      </c>
      <c r="E394" s="1">
        <v>36</v>
      </c>
      <c r="F394" s="1">
        <v>31.67</v>
      </c>
      <c r="G394" s="21">
        <f t="shared" si="67"/>
        <v>2.1868686868686895</v>
      </c>
      <c r="H394" s="6">
        <v>44776</v>
      </c>
      <c r="I394" s="29">
        <v>34</v>
      </c>
      <c r="J394" s="30">
        <f t="shared" si="62"/>
        <v>1.0401188707280795E-2</v>
      </c>
      <c r="K394" s="35">
        <f t="shared" si="63"/>
        <v>11.200000000000045</v>
      </c>
      <c r="L394" s="21">
        <f t="shared" si="60"/>
        <v>19</v>
      </c>
      <c r="M394" s="9">
        <f t="shared" si="64"/>
        <v>1</v>
      </c>
      <c r="N394">
        <f t="shared" si="65"/>
        <v>11.200000000000045</v>
      </c>
      <c r="O394">
        <f t="shared" si="66"/>
        <v>0</v>
      </c>
    </row>
    <row r="395" spans="1:15">
      <c r="A395" s="6">
        <v>44757</v>
      </c>
      <c r="B395" t="s">
        <v>89</v>
      </c>
      <c r="C395">
        <v>19</v>
      </c>
      <c r="D395" s="1">
        <v>204.56</v>
      </c>
      <c r="E395" s="1">
        <v>220</v>
      </c>
      <c r="F395" s="1">
        <v>197</v>
      </c>
      <c r="G395" s="21">
        <f t="shared" si="67"/>
        <v>3.0423280423280414</v>
      </c>
      <c r="H395" s="6">
        <v>44776</v>
      </c>
      <c r="I395" s="29">
        <v>214.73</v>
      </c>
      <c r="J395" s="30">
        <f t="shared" si="62"/>
        <v>4.9716464606961219E-2</v>
      </c>
      <c r="K395" s="35">
        <f t="shared" si="63"/>
        <v>193.23000000000002</v>
      </c>
      <c r="L395" s="21">
        <f t="shared" si="60"/>
        <v>19</v>
      </c>
      <c r="M395" s="9">
        <f t="shared" si="64"/>
        <v>1</v>
      </c>
      <c r="N395">
        <f t="shared" si="65"/>
        <v>193.23000000000002</v>
      </c>
      <c r="O395">
        <f t="shared" si="66"/>
        <v>0</v>
      </c>
    </row>
    <row r="396" spans="1:15">
      <c r="A396" s="6">
        <v>44757</v>
      </c>
      <c r="B396" t="s">
        <v>126</v>
      </c>
      <c r="C396">
        <v>23</v>
      </c>
      <c r="D396" s="1">
        <v>45.07</v>
      </c>
      <c r="E396" s="1">
        <v>48</v>
      </c>
      <c r="F396" s="1">
        <v>43.5</v>
      </c>
      <c r="G396" s="21">
        <f t="shared" si="67"/>
        <v>2.8662420382165599</v>
      </c>
      <c r="H396" s="6">
        <v>44768</v>
      </c>
      <c r="I396" s="16">
        <v>43.4</v>
      </c>
      <c r="J396" s="25">
        <f t="shared" si="62"/>
        <v>-3.705347237630352E-2</v>
      </c>
      <c r="K396" s="36">
        <f t="shared" si="63"/>
        <v>-38.409999999999968</v>
      </c>
      <c r="L396" s="21">
        <f t="shared" si="60"/>
        <v>11</v>
      </c>
      <c r="M396" s="9">
        <f t="shared" si="64"/>
        <v>0</v>
      </c>
      <c r="N396">
        <f t="shared" si="65"/>
        <v>0</v>
      </c>
      <c r="O396">
        <f t="shared" si="66"/>
        <v>-38.409999999999968</v>
      </c>
    </row>
    <row r="397" spans="1:15">
      <c r="A397" s="6">
        <v>44756</v>
      </c>
      <c r="B397" t="s">
        <v>129</v>
      </c>
      <c r="C397">
        <v>8</v>
      </c>
      <c r="D397" s="1">
        <v>503.77</v>
      </c>
      <c r="E397" s="1">
        <v>600</v>
      </c>
      <c r="F397" s="1">
        <v>513</v>
      </c>
      <c r="G397" s="21">
        <f t="shared" si="67"/>
        <v>-9.4257854821234925</v>
      </c>
      <c r="H397" s="6">
        <v>44768</v>
      </c>
      <c r="I397" s="29">
        <v>512.66</v>
      </c>
      <c r="J397" s="30">
        <f t="shared" si="62"/>
        <v>1.7646942056890991E-2</v>
      </c>
      <c r="K397" s="35">
        <f t="shared" si="63"/>
        <v>71.119999999999891</v>
      </c>
      <c r="L397" s="21">
        <f t="shared" si="60"/>
        <v>12</v>
      </c>
      <c r="M397" s="9">
        <f t="shared" si="64"/>
        <v>1</v>
      </c>
      <c r="N397">
        <f t="shared" si="65"/>
        <v>71.119999999999891</v>
      </c>
      <c r="O397">
        <f t="shared" si="66"/>
        <v>0</v>
      </c>
    </row>
    <row r="398" spans="1:15">
      <c r="A398" s="6">
        <v>44756</v>
      </c>
      <c r="B398" t="s">
        <v>83</v>
      </c>
      <c r="C398">
        <v>44</v>
      </c>
      <c r="D398">
        <v>84.65</v>
      </c>
      <c r="E398">
        <v>92.89</v>
      </c>
      <c r="F398">
        <v>80</v>
      </c>
      <c r="G398" s="20" t="s">
        <v>128</v>
      </c>
      <c r="H398" s="6">
        <v>44761</v>
      </c>
      <c r="I398" s="29">
        <v>85.08</v>
      </c>
      <c r="J398" s="30">
        <f t="shared" si="62"/>
        <v>5.0797401063200631E-3</v>
      </c>
      <c r="K398" s="35">
        <f t="shared" si="63"/>
        <v>18.919999999999618</v>
      </c>
      <c r="L398" s="21">
        <f t="shared" si="60"/>
        <v>5</v>
      </c>
      <c r="M398" s="9">
        <f t="shared" si="64"/>
        <v>1</v>
      </c>
      <c r="N398">
        <f t="shared" si="65"/>
        <v>18.919999999999618</v>
      </c>
      <c r="O398">
        <f t="shared" si="66"/>
        <v>0</v>
      </c>
    </row>
    <row r="399" spans="1:15">
      <c r="A399" s="6">
        <v>44754</v>
      </c>
      <c r="B399" t="s">
        <v>22</v>
      </c>
      <c r="C399">
        <v>35</v>
      </c>
      <c r="D399" s="1">
        <v>22.17</v>
      </c>
      <c r="E399" s="1">
        <v>32.619999999999997</v>
      </c>
      <c r="F399" s="1">
        <v>19</v>
      </c>
      <c r="G399" s="21">
        <f xml:space="preserve"> (E399 - F399)/(D399-F399)</f>
        <v>4.2965299684542559</v>
      </c>
      <c r="H399" s="6">
        <v>44781</v>
      </c>
      <c r="I399" s="29">
        <v>26.3</v>
      </c>
      <c r="J399" s="30">
        <f t="shared" si="62"/>
        <v>0.18628777627424431</v>
      </c>
      <c r="K399" s="35">
        <f t="shared" si="63"/>
        <v>144.54999999999995</v>
      </c>
      <c r="L399" s="21">
        <f t="shared" si="60"/>
        <v>27</v>
      </c>
      <c r="M399" s="9">
        <f t="shared" si="64"/>
        <v>1</v>
      </c>
      <c r="N399">
        <f t="shared" si="65"/>
        <v>144.54999999999995</v>
      </c>
      <c r="O399">
        <f t="shared" si="66"/>
        <v>0</v>
      </c>
    </row>
    <row r="400" spans="1:15">
      <c r="A400" s="6">
        <v>44753</v>
      </c>
      <c r="B400" t="s">
        <v>107</v>
      </c>
      <c r="C400">
        <v>431</v>
      </c>
      <c r="D400">
        <v>20.12</v>
      </c>
      <c r="E400">
        <v>24</v>
      </c>
      <c r="F400">
        <v>18</v>
      </c>
      <c r="G400" s="20" t="s">
        <v>128</v>
      </c>
      <c r="H400" s="6">
        <v>44762</v>
      </c>
      <c r="I400" s="29">
        <v>20.46</v>
      </c>
      <c r="J400" s="30">
        <f t="shared" si="62"/>
        <v>1.6898608349900535E-2</v>
      </c>
      <c r="K400" s="35">
        <f t="shared" si="63"/>
        <v>146.53999999999905</v>
      </c>
      <c r="L400" s="21">
        <f t="shared" si="60"/>
        <v>9</v>
      </c>
      <c r="M400" s="9">
        <f t="shared" si="64"/>
        <v>1</v>
      </c>
      <c r="N400">
        <f t="shared" si="65"/>
        <v>146.53999999999905</v>
      </c>
      <c r="O400">
        <f t="shared" si="66"/>
        <v>0</v>
      </c>
    </row>
    <row r="401" spans="1:15">
      <c r="A401" s="6">
        <v>44749</v>
      </c>
      <c r="B401" t="s">
        <v>60</v>
      </c>
      <c r="C401">
        <v>4</v>
      </c>
      <c r="D401">
        <v>30.76</v>
      </c>
      <c r="E401">
        <v>37.82</v>
      </c>
      <c r="F401">
        <v>29</v>
      </c>
      <c r="G401" s="21">
        <f xml:space="preserve"> (E401 - F401)/(D401-F401)</f>
        <v>5.0113636363636322</v>
      </c>
      <c r="H401" s="6">
        <v>44777</v>
      </c>
      <c r="I401" s="29">
        <v>32.200000000000003</v>
      </c>
      <c r="J401" s="30">
        <f t="shared" si="62"/>
        <v>4.6814044213264072E-2</v>
      </c>
      <c r="K401" s="35">
        <f t="shared" si="63"/>
        <v>5.7600000000000051</v>
      </c>
      <c r="L401" s="21">
        <f t="shared" si="60"/>
        <v>28</v>
      </c>
      <c r="M401" s="9">
        <f t="shared" si="64"/>
        <v>1</v>
      </c>
      <c r="N401">
        <f t="shared" si="65"/>
        <v>5.7600000000000051</v>
      </c>
      <c r="O401">
        <f t="shared" si="66"/>
        <v>0</v>
      </c>
    </row>
    <row r="402" spans="1:15">
      <c r="A402" s="6">
        <v>44749</v>
      </c>
      <c r="B402" t="s">
        <v>88</v>
      </c>
      <c r="C402">
        <v>1043</v>
      </c>
      <c r="D402">
        <v>6.12</v>
      </c>
      <c r="E402">
        <v>7.37</v>
      </c>
      <c r="F402">
        <v>5.67</v>
      </c>
      <c r="G402" s="20" t="s">
        <v>96</v>
      </c>
      <c r="H402" s="6">
        <v>44756</v>
      </c>
      <c r="I402" s="16">
        <v>5.61</v>
      </c>
      <c r="J402" s="25">
        <f t="shared" si="62"/>
        <v>-8.3333333333333259E-2</v>
      </c>
      <c r="K402" s="36">
        <f t="shared" si="63"/>
        <v>-531.92999999999938</v>
      </c>
      <c r="L402" s="21">
        <f t="shared" si="60"/>
        <v>7</v>
      </c>
      <c r="M402" s="9">
        <f t="shared" si="64"/>
        <v>0</v>
      </c>
      <c r="N402">
        <f t="shared" si="65"/>
        <v>0</v>
      </c>
      <c r="O402">
        <f t="shared" si="66"/>
        <v>-531.92999999999938</v>
      </c>
    </row>
    <row r="403" spans="1:15">
      <c r="A403" s="6">
        <v>44749</v>
      </c>
      <c r="B403" t="s">
        <v>40</v>
      </c>
      <c r="C403">
        <v>17</v>
      </c>
      <c r="D403">
        <v>82.07</v>
      </c>
      <c r="E403">
        <v>110.25</v>
      </c>
      <c r="F403">
        <v>78</v>
      </c>
      <c r="G403" s="20" t="s">
        <v>80</v>
      </c>
      <c r="H403" s="6">
        <v>44756</v>
      </c>
      <c r="I403" s="16">
        <v>77.05</v>
      </c>
      <c r="J403" s="25">
        <f t="shared" si="62"/>
        <v>-6.1167296210551947E-2</v>
      </c>
      <c r="K403" s="36">
        <f t="shared" si="63"/>
        <v>-85.339999999999918</v>
      </c>
      <c r="L403" s="21">
        <f t="shared" ref="L403:L432" si="68">H403-A403</f>
        <v>7</v>
      </c>
      <c r="M403" s="9">
        <f t="shared" si="64"/>
        <v>0</v>
      </c>
      <c r="N403">
        <f t="shared" si="65"/>
        <v>0</v>
      </c>
      <c r="O403">
        <f t="shared" si="66"/>
        <v>-85.339999999999918</v>
      </c>
    </row>
    <row r="404" spans="1:15">
      <c r="A404" s="6">
        <v>44749</v>
      </c>
      <c r="B404" t="s">
        <v>63</v>
      </c>
      <c r="C404">
        <v>14</v>
      </c>
      <c r="D404">
        <v>104.76</v>
      </c>
      <c r="E404">
        <v>125.55</v>
      </c>
      <c r="F404">
        <v>101.6</v>
      </c>
      <c r="G404" s="20" t="s">
        <v>96</v>
      </c>
      <c r="H404" s="6">
        <v>44755</v>
      </c>
      <c r="I404" s="16">
        <v>101.46</v>
      </c>
      <c r="J404" s="25">
        <f t="shared" si="62"/>
        <v>-3.150057273768625E-2</v>
      </c>
      <c r="K404" s="36">
        <f t="shared" si="63"/>
        <v>-46.200000000000273</v>
      </c>
      <c r="L404" s="21">
        <f t="shared" si="68"/>
        <v>6</v>
      </c>
      <c r="M404" s="9">
        <f t="shared" si="64"/>
        <v>0</v>
      </c>
      <c r="N404">
        <f t="shared" si="65"/>
        <v>0</v>
      </c>
      <c r="O404">
        <f t="shared" si="66"/>
        <v>-46.200000000000273</v>
      </c>
    </row>
    <row r="405" spans="1:15">
      <c r="A405" s="6">
        <v>44749</v>
      </c>
      <c r="B405" t="s">
        <v>95</v>
      </c>
      <c r="C405">
        <v>5</v>
      </c>
      <c r="D405">
        <v>472.51</v>
      </c>
      <c r="E405">
        <v>507.17</v>
      </c>
      <c r="F405">
        <v>467</v>
      </c>
      <c r="G405" s="20" t="s">
        <v>80</v>
      </c>
      <c r="H405" s="6">
        <v>44755</v>
      </c>
      <c r="I405" s="16">
        <v>462.87</v>
      </c>
      <c r="J405" s="25">
        <f t="shared" si="62"/>
        <v>-2.0401684620431237E-2</v>
      </c>
      <c r="K405" s="36">
        <f t="shared" si="63"/>
        <v>-48.200000000000273</v>
      </c>
      <c r="L405" s="21">
        <f t="shared" si="68"/>
        <v>6</v>
      </c>
      <c r="M405" s="9">
        <f t="shared" si="64"/>
        <v>0</v>
      </c>
      <c r="N405">
        <f t="shared" si="65"/>
        <v>0</v>
      </c>
      <c r="O405">
        <f t="shared" si="66"/>
        <v>-48.200000000000273</v>
      </c>
    </row>
    <row r="406" spans="1:15">
      <c r="A406" s="6">
        <v>44749</v>
      </c>
      <c r="B406" t="s">
        <v>19</v>
      </c>
      <c r="C406">
        <v>530</v>
      </c>
      <c r="D406">
        <v>12.23</v>
      </c>
      <c r="E406">
        <v>13.38</v>
      </c>
      <c r="F406">
        <v>11.6</v>
      </c>
      <c r="G406" s="20" t="s">
        <v>96</v>
      </c>
      <c r="H406" s="6">
        <v>44754</v>
      </c>
      <c r="I406" s="16">
        <v>11.45</v>
      </c>
      <c r="J406" s="25">
        <f t="shared" si="62"/>
        <v>-6.3777596075224929E-2</v>
      </c>
      <c r="K406" s="36">
        <f t="shared" si="63"/>
        <v>-413.40000000000055</v>
      </c>
      <c r="L406" s="21">
        <f t="shared" si="68"/>
        <v>5</v>
      </c>
      <c r="M406" s="9">
        <f t="shared" si="64"/>
        <v>0</v>
      </c>
      <c r="N406">
        <f t="shared" si="65"/>
        <v>0</v>
      </c>
      <c r="O406">
        <f t="shared" si="66"/>
        <v>-413.40000000000055</v>
      </c>
    </row>
    <row r="407" spans="1:15">
      <c r="A407" s="6">
        <v>44749</v>
      </c>
      <c r="B407" t="s">
        <v>22</v>
      </c>
      <c r="C407">
        <v>305</v>
      </c>
      <c r="D407">
        <v>21.41</v>
      </c>
      <c r="E407">
        <v>32.619999999999997</v>
      </c>
      <c r="F407">
        <v>20</v>
      </c>
      <c r="G407" s="20" t="s">
        <v>80</v>
      </c>
      <c r="H407" s="6">
        <v>44753</v>
      </c>
      <c r="I407" s="16">
        <v>19.84</v>
      </c>
      <c r="J407" s="25">
        <f t="shared" si="62"/>
        <v>-7.3330219523587092E-2</v>
      </c>
      <c r="K407" s="36">
        <f t="shared" si="63"/>
        <v>-478.85000000000036</v>
      </c>
      <c r="L407" s="21">
        <f t="shared" si="68"/>
        <v>4</v>
      </c>
      <c r="M407" s="9">
        <f t="shared" si="64"/>
        <v>0</v>
      </c>
      <c r="N407">
        <f t="shared" si="65"/>
        <v>0</v>
      </c>
      <c r="O407">
        <f t="shared" si="66"/>
        <v>-478.85000000000036</v>
      </c>
    </row>
    <row r="408" spans="1:15">
      <c r="A408" s="6">
        <v>44749</v>
      </c>
      <c r="B408" t="s">
        <v>56</v>
      </c>
      <c r="C408">
        <v>1007</v>
      </c>
      <c r="D408">
        <v>5.55</v>
      </c>
      <c r="E408">
        <v>6</v>
      </c>
      <c r="F408">
        <v>5.35</v>
      </c>
      <c r="G408" s="20" t="s">
        <v>96</v>
      </c>
      <c r="H408" s="6">
        <v>44750</v>
      </c>
      <c r="I408" s="16">
        <v>5.32</v>
      </c>
      <c r="J408" s="25">
        <f t="shared" si="62"/>
        <v>-4.1441441441441351E-2</v>
      </c>
      <c r="K408" s="36">
        <f t="shared" si="63"/>
        <v>-231.60999999999876</v>
      </c>
      <c r="L408" s="21">
        <f t="shared" si="68"/>
        <v>1</v>
      </c>
      <c r="M408" s="9">
        <f t="shared" si="64"/>
        <v>0</v>
      </c>
      <c r="N408">
        <f t="shared" si="65"/>
        <v>0</v>
      </c>
      <c r="O408">
        <f t="shared" si="66"/>
        <v>-231.60999999999876</v>
      </c>
    </row>
    <row r="409" spans="1:15">
      <c r="A409" s="6">
        <v>44748</v>
      </c>
      <c r="B409" t="s">
        <v>91</v>
      </c>
      <c r="C409">
        <v>8</v>
      </c>
      <c r="D409">
        <v>471.54</v>
      </c>
      <c r="E409">
        <v>488</v>
      </c>
      <c r="F409">
        <v>455.5</v>
      </c>
      <c r="G409" s="20" t="s">
        <v>128</v>
      </c>
      <c r="H409" s="6">
        <v>44756</v>
      </c>
      <c r="I409" s="16">
        <v>455.5</v>
      </c>
      <c r="J409" s="25">
        <f t="shared" si="62"/>
        <v>-3.4016202230987891E-2</v>
      </c>
      <c r="K409" s="36">
        <f t="shared" si="63"/>
        <v>-128.32000000000016</v>
      </c>
      <c r="L409" s="21">
        <f t="shared" si="68"/>
        <v>8</v>
      </c>
      <c r="M409" s="9">
        <f t="shared" si="64"/>
        <v>0</v>
      </c>
      <c r="N409">
        <f t="shared" si="65"/>
        <v>0</v>
      </c>
      <c r="O409">
        <f t="shared" si="66"/>
        <v>-128.32000000000016</v>
      </c>
    </row>
    <row r="410" spans="1:15">
      <c r="A410" s="6">
        <v>44748</v>
      </c>
      <c r="B410" t="s">
        <v>93</v>
      </c>
      <c r="C410">
        <v>26</v>
      </c>
      <c r="D410">
        <v>35.590000000000003</v>
      </c>
      <c r="E410">
        <v>41.41</v>
      </c>
      <c r="F410">
        <v>33</v>
      </c>
      <c r="G410" s="20" t="s">
        <v>120</v>
      </c>
      <c r="H410" s="6">
        <v>44755</v>
      </c>
      <c r="I410" s="29">
        <v>35.659999999999997</v>
      </c>
      <c r="J410" s="30">
        <f t="shared" si="62"/>
        <v>1.9668446192748767E-3</v>
      </c>
      <c r="K410" s="35">
        <f t="shared" si="63"/>
        <v>1.819999999999709</v>
      </c>
      <c r="L410" s="21">
        <f t="shared" si="68"/>
        <v>7</v>
      </c>
      <c r="M410" s="9">
        <f t="shared" si="64"/>
        <v>1</v>
      </c>
      <c r="N410">
        <f t="shared" si="65"/>
        <v>1.819999999999709</v>
      </c>
      <c r="O410">
        <f t="shared" si="66"/>
        <v>0</v>
      </c>
    </row>
    <row r="411" spans="1:15">
      <c r="A411" s="6">
        <v>44743</v>
      </c>
      <c r="B411" t="s">
        <v>23</v>
      </c>
      <c r="C411">
        <v>116</v>
      </c>
      <c r="D411">
        <v>77.61</v>
      </c>
      <c r="E411">
        <v>90</v>
      </c>
      <c r="F411">
        <v>70.77</v>
      </c>
      <c r="G411" s="20" t="s">
        <v>96</v>
      </c>
      <c r="H411" s="6">
        <v>44756</v>
      </c>
      <c r="I411" s="16">
        <v>70.790000000000006</v>
      </c>
      <c r="J411" s="25">
        <f t="shared" si="62"/>
        <v>-8.7875273804921994E-2</v>
      </c>
      <c r="K411" s="36">
        <f t="shared" si="63"/>
        <v>-791.11999999999898</v>
      </c>
      <c r="L411" s="21">
        <f t="shared" si="68"/>
        <v>13</v>
      </c>
      <c r="M411" s="9">
        <f t="shared" si="64"/>
        <v>0</v>
      </c>
      <c r="N411">
        <f t="shared" si="65"/>
        <v>0</v>
      </c>
      <c r="O411">
        <f t="shared" si="66"/>
        <v>-791.11999999999898</v>
      </c>
    </row>
    <row r="412" spans="1:15">
      <c r="A412" s="6">
        <v>44742</v>
      </c>
      <c r="B412" t="s">
        <v>50</v>
      </c>
      <c r="C412">
        <v>547</v>
      </c>
      <c r="D412">
        <v>0.57999999999999996</v>
      </c>
      <c r="E412">
        <v>0.9</v>
      </c>
      <c r="F412">
        <v>0.5</v>
      </c>
      <c r="G412" s="20" t="s">
        <v>120</v>
      </c>
      <c r="H412" s="6">
        <v>44757</v>
      </c>
      <c r="I412" s="16">
        <v>0.5</v>
      </c>
      <c r="J412" s="25">
        <f t="shared" si="62"/>
        <v>-0.13793103448275856</v>
      </c>
      <c r="K412" s="36">
        <f t="shared" si="63"/>
        <v>-43.759999999999991</v>
      </c>
      <c r="L412" s="21">
        <f t="shared" si="68"/>
        <v>15</v>
      </c>
      <c r="M412" s="9">
        <f t="shared" si="64"/>
        <v>0</v>
      </c>
      <c r="N412">
        <f t="shared" si="65"/>
        <v>0</v>
      </c>
      <c r="O412">
        <f t="shared" si="66"/>
        <v>-43.759999999999991</v>
      </c>
    </row>
    <row r="413" spans="1:15">
      <c r="A413" s="6">
        <v>44742</v>
      </c>
      <c r="B413" t="s">
        <v>24</v>
      </c>
      <c r="C413">
        <v>30</v>
      </c>
      <c r="D413">
        <v>55.1</v>
      </c>
      <c r="E413">
        <v>66.55</v>
      </c>
      <c r="F413">
        <v>52.8</v>
      </c>
      <c r="G413" s="20" t="s">
        <v>96</v>
      </c>
      <c r="H413" s="6">
        <v>44755</v>
      </c>
      <c r="I413" s="29">
        <v>59.82</v>
      </c>
      <c r="J413" s="30">
        <f t="shared" si="62"/>
        <v>8.5662431941923689E-2</v>
      </c>
      <c r="K413" s="35">
        <f t="shared" si="63"/>
        <v>141.59999999999991</v>
      </c>
      <c r="L413" s="21">
        <f t="shared" si="68"/>
        <v>13</v>
      </c>
      <c r="M413" s="9">
        <f t="shared" si="64"/>
        <v>1</v>
      </c>
      <c r="N413">
        <f t="shared" si="65"/>
        <v>141.59999999999991</v>
      </c>
      <c r="O413">
        <f t="shared" si="66"/>
        <v>0</v>
      </c>
    </row>
    <row r="414" spans="1:15">
      <c r="A414" s="6">
        <v>44740</v>
      </c>
      <c r="B414" t="s">
        <v>71</v>
      </c>
      <c r="C414">
        <v>248</v>
      </c>
      <c r="D414">
        <v>18.940000000000001</v>
      </c>
      <c r="E414">
        <v>20.69</v>
      </c>
      <c r="F414">
        <v>16.45</v>
      </c>
      <c r="G414" s="20" t="s">
        <v>96</v>
      </c>
      <c r="H414" s="6">
        <v>44756</v>
      </c>
      <c r="I414" s="16">
        <v>16.45</v>
      </c>
      <c r="J414" s="25">
        <f t="shared" ref="J414:J432" si="69">I414/D414 -1</f>
        <v>-0.13146779303062317</v>
      </c>
      <c r="K414" s="36">
        <f t="shared" ref="K414:K432" si="70">(C414*I414) - (C414*D414)</f>
        <v>-617.52</v>
      </c>
      <c r="L414" s="21">
        <f t="shared" si="68"/>
        <v>16</v>
      </c>
      <c r="M414" s="9">
        <f t="shared" si="64"/>
        <v>0</v>
      </c>
      <c r="N414">
        <f t="shared" si="65"/>
        <v>0</v>
      </c>
      <c r="O414">
        <f t="shared" si="66"/>
        <v>-617.52</v>
      </c>
    </row>
    <row r="415" spans="1:15">
      <c r="A415" s="6">
        <v>44736</v>
      </c>
      <c r="B415" t="s">
        <v>69</v>
      </c>
      <c r="C415">
        <v>17</v>
      </c>
      <c r="D415">
        <v>69.27</v>
      </c>
      <c r="E415">
        <v>90.6</v>
      </c>
      <c r="F415">
        <v>60</v>
      </c>
      <c r="G415" s="21">
        <f xml:space="preserve"> (E415 - F415)/(D415-F415)</f>
        <v>3.3009708737864085</v>
      </c>
      <c r="H415" s="6">
        <v>44776</v>
      </c>
      <c r="I415" s="29">
        <v>78</v>
      </c>
      <c r="J415" s="30">
        <f t="shared" si="69"/>
        <v>0.12602858380251192</v>
      </c>
      <c r="K415" s="35">
        <f t="shared" si="70"/>
        <v>148.41000000000008</v>
      </c>
      <c r="L415" s="21">
        <f t="shared" si="68"/>
        <v>40</v>
      </c>
      <c r="M415" s="9">
        <f t="shared" si="64"/>
        <v>1</v>
      </c>
      <c r="N415">
        <f t="shared" si="65"/>
        <v>148.41000000000008</v>
      </c>
      <c r="O415">
        <f t="shared" si="66"/>
        <v>0</v>
      </c>
    </row>
    <row r="416" spans="1:15">
      <c r="A416" s="6">
        <v>44735</v>
      </c>
      <c r="B416" t="s">
        <v>68</v>
      </c>
      <c r="C416">
        <v>31</v>
      </c>
      <c r="D416">
        <v>37.9</v>
      </c>
      <c r="E416">
        <v>46.85</v>
      </c>
      <c r="F416">
        <v>35.5</v>
      </c>
      <c r="G416" s="20" t="s">
        <v>155</v>
      </c>
      <c r="H416" s="6">
        <v>44761</v>
      </c>
      <c r="I416" s="16">
        <v>35.700000000000003</v>
      </c>
      <c r="J416" s="25">
        <f t="shared" si="69"/>
        <v>-5.8047493403693862E-2</v>
      </c>
      <c r="K416" s="36">
        <f t="shared" si="70"/>
        <v>-68.199999999999818</v>
      </c>
      <c r="L416" s="21">
        <f t="shared" si="68"/>
        <v>26</v>
      </c>
      <c r="M416" s="9">
        <f t="shared" si="64"/>
        <v>0</v>
      </c>
      <c r="N416">
        <f t="shared" si="65"/>
        <v>0</v>
      </c>
      <c r="O416">
        <f t="shared" si="66"/>
        <v>-68.199999999999818</v>
      </c>
    </row>
    <row r="417" spans="1:15">
      <c r="A417" s="6">
        <v>44735</v>
      </c>
      <c r="B417" t="s">
        <v>61</v>
      </c>
      <c r="C417">
        <v>3</v>
      </c>
      <c r="D417">
        <v>265.48</v>
      </c>
      <c r="E417">
        <v>314.68</v>
      </c>
      <c r="F417">
        <v>278</v>
      </c>
      <c r="G417" s="20" t="s">
        <v>96</v>
      </c>
      <c r="H417" s="6">
        <v>44750</v>
      </c>
      <c r="I417" s="29">
        <v>276.89</v>
      </c>
      <c r="J417" s="30">
        <f t="shared" si="69"/>
        <v>4.2978755461804852E-2</v>
      </c>
      <c r="K417" s="35">
        <f t="shared" si="70"/>
        <v>34.229999999999905</v>
      </c>
      <c r="L417" s="21">
        <f t="shared" si="68"/>
        <v>15</v>
      </c>
      <c r="M417" s="9">
        <f t="shared" si="64"/>
        <v>1</v>
      </c>
      <c r="N417">
        <f t="shared" si="65"/>
        <v>34.229999999999905</v>
      </c>
      <c r="O417">
        <f t="shared" si="66"/>
        <v>0</v>
      </c>
    </row>
    <row r="418" spans="1:15">
      <c r="A418" s="6">
        <v>44734</v>
      </c>
      <c r="B418" t="s">
        <v>52</v>
      </c>
      <c r="C418">
        <v>61</v>
      </c>
      <c r="D418">
        <v>17.88</v>
      </c>
      <c r="E418">
        <v>19.600000000000001</v>
      </c>
      <c r="F418">
        <v>12.61</v>
      </c>
      <c r="G418" s="21">
        <f xml:space="preserve"> (E418 - F418)/(D418-F418)</f>
        <v>1.326375711574953</v>
      </c>
      <c r="H418" s="6">
        <v>44811</v>
      </c>
      <c r="I418" s="16">
        <v>12.61</v>
      </c>
      <c r="J418" s="25">
        <f t="shared" si="69"/>
        <v>-0.29474272930648771</v>
      </c>
      <c r="K418" s="36">
        <f t="shared" si="70"/>
        <v>-321.46999999999991</v>
      </c>
      <c r="L418" s="21">
        <f t="shared" si="68"/>
        <v>77</v>
      </c>
      <c r="M418" s="9">
        <f t="shared" si="64"/>
        <v>0</v>
      </c>
      <c r="N418">
        <f t="shared" si="65"/>
        <v>0</v>
      </c>
      <c r="O418">
        <f t="shared" si="66"/>
        <v>-321.46999999999991</v>
      </c>
    </row>
    <row r="419" spans="1:15">
      <c r="A419" s="6">
        <v>44733</v>
      </c>
      <c r="B419" t="s">
        <v>60</v>
      </c>
      <c r="C419">
        <v>35</v>
      </c>
      <c r="D419">
        <v>31.05</v>
      </c>
      <c r="E419">
        <v>37.82</v>
      </c>
      <c r="F419">
        <v>29</v>
      </c>
      <c r="G419" s="21">
        <f xml:space="preserve"> (E419 - F419)/(D419-F419)</f>
        <v>4.3024390243902424</v>
      </c>
      <c r="H419" s="6">
        <v>44775</v>
      </c>
      <c r="I419" s="29">
        <v>33.200000000000003</v>
      </c>
      <c r="J419" s="30">
        <f t="shared" si="69"/>
        <v>6.9243156199678024E-2</v>
      </c>
      <c r="K419" s="35">
        <f t="shared" si="70"/>
        <v>75.25</v>
      </c>
      <c r="L419" s="21">
        <f t="shared" si="68"/>
        <v>42</v>
      </c>
      <c r="M419" s="9">
        <f t="shared" si="64"/>
        <v>1</v>
      </c>
      <c r="N419">
        <f t="shared" si="65"/>
        <v>75.25</v>
      </c>
      <c r="O419">
        <f t="shared" si="66"/>
        <v>0</v>
      </c>
    </row>
    <row r="420" spans="1:15">
      <c r="A420" s="6">
        <v>44729</v>
      </c>
      <c r="B420" t="s">
        <v>58</v>
      </c>
      <c r="C420">
        <v>422</v>
      </c>
      <c r="D420">
        <v>7.41</v>
      </c>
      <c r="E420">
        <v>8.5</v>
      </c>
      <c r="F420">
        <v>7.13</v>
      </c>
      <c r="G420" s="20" t="s">
        <v>80</v>
      </c>
      <c r="H420" s="6">
        <v>44755</v>
      </c>
      <c r="I420" s="16">
        <v>7.17</v>
      </c>
      <c r="J420" s="25">
        <f t="shared" si="69"/>
        <v>-3.238866396761142E-2</v>
      </c>
      <c r="K420" s="36">
        <f t="shared" si="70"/>
        <v>-101.2800000000002</v>
      </c>
      <c r="L420" s="21">
        <f t="shared" si="68"/>
        <v>26</v>
      </c>
      <c r="M420" s="9">
        <f t="shared" si="64"/>
        <v>0</v>
      </c>
      <c r="N420">
        <f t="shared" si="65"/>
        <v>0</v>
      </c>
      <c r="O420">
        <f t="shared" si="66"/>
        <v>-101.2800000000002</v>
      </c>
    </row>
    <row r="421" spans="1:15">
      <c r="A421" s="6">
        <v>44726</v>
      </c>
      <c r="B421" t="s">
        <v>45</v>
      </c>
      <c r="C421">
        <v>19</v>
      </c>
      <c r="D421">
        <v>29.71</v>
      </c>
      <c r="E421">
        <v>31.25</v>
      </c>
      <c r="F421">
        <v>22.5</v>
      </c>
      <c r="G421" s="21">
        <f xml:space="preserve"> (E421 - F421)/(D421-F421)</f>
        <v>1.2135922330097086</v>
      </c>
      <c r="H421" s="6">
        <v>44799</v>
      </c>
      <c r="I421" s="29">
        <v>30.46</v>
      </c>
      <c r="J421" s="30">
        <f t="shared" si="69"/>
        <v>2.5244025580612561E-2</v>
      </c>
      <c r="K421" s="35">
        <f t="shared" si="70"/>
        <v>14.25</v>
      </c>
      <c r="L421" s="21">
        <f t="shared" si="68"/>
        <v>73</v>
      </c>
      <c r="M421" s="9">
        <f t="shared" si="64"/>
        <v>1</v>
      </c>
      <c r="N421">
        <f t="shared" si="65"/>
        <v>14.25</v>
      </c>
      <c r="O421">
        <f t="shared" si="66"/>
        <v>0</v>
      </c>
    </row>
    <row r="422" spans="1:15">
      <c r="A422" s="6">
        <v>44718</v>
      </c>
      <c r="B422" t="s">
        <v>54</v>
      </c>
      <c r="C422">
        <v>5</v>
      </c>
      <c r="D422">
        <v>45.51</v>
      </c>
      <c r="E422">
        <v>53</v>
      </c>
      <c r="F422">
        <v>45</v>
      </c>
      <c r="G422" s="21">
        <f xml:space="preserve"> (E422 - F422)/(D422-F422)</f>
        <v>15.686274509803983</v>
      </c>
      <c r="H422" s="6">
        <v>44778</v>
      </c>
      <c r="I422" s="29">
        <v>48.61</v>
      </c>
      <c r="J422" s="30">
        <f t="shared" si="69"/>
        <v>6.8116897385190001E-2</v>
      </c>
      <c r="K422" s="35">
        <f t="shared" si="70"/>
        <v>15.500000000000028</v>
      </c>
      <c r="L422" s="21">
        <f t="shared" si="68"/>
        <v>60</v>
      </c>
      <c r="M422" s="9">
        <f t="shared" si="64"/>
        <v>1</v>
      </c>
      <c r="N422">
        <f t="shared" si="65"/>
        <v>15.500000000000028</v>
      </c>
      <c r="O422">
        <f t="shared" si="66"/>
        <v>0</v>
      </c>
    </row>
    <row r="423" spans="1:15">
      <c r="A423" s="6">
        <v>44712</v>
      </c>
      <c r="B423" t="s">
        <v>48</v>
      </c>
      <c r="C423">
        <v>8</v>
      </c>
      <c r="D423">
        <v>100</v>
      </c>
      <c r="H423" s="6">
        <v>44747</v>
      </c>
      <c r="I423" s="16">
        <v>83.174999999999997</v>
      </c>
      <c r="J423" s="25">
        <f t="shared" si="69"/>
        <v>-0.16825000000000001</v>
      </c>
      <c r="K423" s="36">
        <f t="shared" si="70"/>
        <v>-134.60000000000002</v>
      </c>
      <c r="L423" s="21">
        <f t="shared" si="68"/>
        <v>35</v>
      </c>
      <c r="M423" s="9">
        <f t="shared" si="64"/>
        <v>0</v>
      </c>
      <c r="N423">
        <f t="shared" si="65"/>
        <v>0</v>
      </c>
      <c r="O423">
        <f t="shared" si="66"/>
        <v>-134.60000000000002</v>
      </c>
    </row>
    <row r="424" spans="1:15">
      <c r="A424" s="6">
        <v>44700</v>
      </c>
      <c r="B424" t="s">
        <v>31</v>
      </c>
      <c r="C424">
        <v>68</v>
      </c>
      <c r="D424">
        <v>123.64</v>
      </c>
      <c r="E424">
        <v>131.37</v>
      </c>
      <c r="F424">
        <v>115</v>
      </c>
      <c r="G424" s="20" t="s">
        <v>127</v>
      </c>
      <c r="H424" s="6">
        <v>44756</v>
      </c>
      <c r="I424" s="16">
        <v>114.31</v>
      </c>
      <c r="J424" s="25">
        <f t="shared" si="69"/>
        <v>-7.5461015852474889E-2</v>
      </c>
      <c r="K424" s="36">
        <f t="shared" si="70"/>
        <v>-634.44000000000051</v>
      </c>
      <c r="L424" s="21">
        <f t="shared" si="68"/>
        <v>56</v>
      </c>
      <c r="M424" s="9">
        <f t="shared" si="64"/>
        <v>0</v>
      </c>
      <c r="N424">
        <f t="shared" si="65"/>
        <v>0</v>
      </c>
      <c r="O424">
        <f t="shared" si="66"/>
        <v>-634.44000000000051</v>
      </c>
    </row>
    <row r="425" spans="1:15">
      <c r="A425" s="6">
        <v>44698</v>
      </c>
      <c r="B425" s="6" t="s">
        <v>20</v>
      </c>
      <c r="C425">
        <v>19</v>
      </c>
      <c r="D425">
        <v>322.02</v>
      </c>
      <c r="H425" s="6">
        <v>44740</v>
      </c>
      <c r="I425" s="16">
        <v>247.94</v>
      </c>
      <c r="J425" s="25">
        <f t="shared" si="69"/>
        <v>-0.23004782311657657</v>
      </c>
      <c r="K425" s="36">
        <f t="shared" si="70"/>
        <v>-1407.5199999999995</v>
      </c>
      <c r="L425" s="21">
        <f t="shared" si="68"/>
        <v>42</v>
      </c>
      <c r="M425" s="9">
        <f t="shared" si="64"/>
        <v>0</v>
      </c>
      <c r="N425">
        <f t="shared" si="65"/>
        <v>0</v>
      </c>
      <c r="O425">
        <f t="shared" si="66"/>
        <v>-1407.5199999999995</v>
      </c>
    </row>
    <row r="426" spans="1:15">
      <c r="A426" s="6">
        <v>44692</v>
      </c>
      <c r="B426" t="s">
        <v>25</v>
      </c>
      <c r="C426">
        <v>169</v>
      </c>
      <c r="D426">
        <v>71.099999999999994</v>
      </c>
      <c r="E426">
        <v>92.28</v>
      </c>
      <c r="F426">
        <v>66</v>
      </c>
      <c r="G426" s="21">
        <f t="shared" ref="G426:G432" si="71" xml:space="preserve"> (E426 - F426)/(D426-F426)</f>
        <v>5.1529411764705939</v>
      </c>
      <c r="H426" s="6">
        <v>44756</v>
      </c>
      <c r="I426" s="16">
        <v>66</v>
      </c>
      <c r="J426" s="25">
        <f t="shared" si="69"/>
        <v>-7.1729957805907074E-2</v>
      </c>
      <c r="K426" s="36">
        <f t="shared" si="70"/>
        <v>-861.89999999999964</v>
      </c>
      <c r="L426" s="21">
        <f t="shared" si="68"/>
        <v>64</v>
      </c>
      <c r="M426" s="9">
        <f t="shared" si="64"/>
        <v>0</v>
      </c>
      <c r="N426">
        <f t="shared" si="65"/>
        <v>0</v>
      </c>
      <c r="O426">
        <f t="shared" si="66"/>
        <v>-861.89999999999964</v>
      </c>
    </row>
    <row r="427" spans="1:15">
      <c r="A427" s="6">
        <v>44692</v>
      </c>
      <c r="B427" t="s">
        <v>28</v>
      </c>
      <c r="C427">
        <v>39</v>
      </c>
      <c r="D427">
        <v>204.75</v>
      </c>
      <c r="E427">
        <v>208.3</v>
      </c>
      <c r="F427">
        <v>192.5</v>
      </c>
      <c r="G427" s="21">
        <f t="shared" si="71"/>
        <v>1.289795918367348</v>
      </c>
      <c r="H427" s="6">
        <v>44756</v>
      </c>
      <c r="I427" s="16">
        <v>192.4</v>
      </c>
      <c r="J427" s="25">
        <f t="shared" si="69"/>
        <v>-6.0317460317460325E-2</v>
      </c>
      <c r="K427" s="36">
        <f t="shared" si="70"/>
        <v>-481.64999999999964</v>
      </c>
      <c r="L427" s="21">
        <f t="shared" si="68"/>
        <v>64</v>
      </c>
      <c r="M427" s="9">
        <f t="shared" si="64"/>
        <v>0</v>
      </c>
      <c r="N427">
        <f t="shared" si="65"/>
        <v>0</v>
      </c>
      <c r="O427">
        <f t="shared" si="66"/>
        <v>-481.64999999999964</v>
      </c>
    </row>
    <row r="428" spans="1:15">
      <c r="A428" s="6">
        <v>44604</v>
      </c>
      <c r="B428" t="s">
        <v>32</v>
      </c>
      <c r="C428">
        <v>203</v>
      </c>
      <c r="D428">
        <v>46.65</v>
      </c>
      <c r="E428" s="1">
        <v>50</v>
      </c>
      <c r="F428" s="1">
        <v>42</v>
      </c>
      <c r="G428" s="21">
        <f t="shared" si="71"/>
        <v>1.7204301075268822</v>
      </c>
      <c r="H428" s="6">
        <v>44805</v>
      </c>
      <c r="I428" s="16">
        <v>41.96</v>
      </c>
      <c r="J428" s="25">
        <f t="shared" si="69"/>
        <v>-0.10053590568060022</v>
      </c>
      <c r="K428" s="36">
        <f t="shared" si="70"/>
        <v>-952.06999999999789</v>
      </c>
      <c r="L428" s="21">
        <f t="shared" si="68"/>
        <v>201</v>
      </c>
      <c r="M428" s="9">
        <f t="shared" si="64"/>
        <v>0</v>
      </c>
      <c r="N428">
        <f t="shared" si="65"/>
        <v>0</v>
      </c>
      <c r="O428">
        <f t="shared" si="66"/>
        <v>-952.06999999999789</v>
      </c>
    </row>
    <row r="429" spans="1:15">
      <c r="A429" s="6">
        <v>44603</v>
      </c>
      <c r="B429" t="s">
        <v>42</v>
      </c>
      <c r="C429">
        <v>149</v>
      </c>
      <c r="D429">
        <v>69.239999999999995</v>
      </c>
      <c r="E429" s="1">
        <v>73</v>
      </c>
      <c r="F429" s="1">
        <v>65.5</v>
      </c>
      <c r="G429" s="21">
        <f t="shared" si="71"/>
        <v>2.0053475935828904</v>
      </c>
      <c r="H429" s="6">
        <v>44805</v>
      </c>
      <c r="I429" s="16">
        <v>66</v>
      </c>
      <c r="J429" s="25">
        <f t="shared" si="69"/>
        <v>-4.679376083188902E-2</v>
      </c>
      <c r="K429" s="36">
        <f t="shared" si="70"/>
        <v>-482.7599999999984</v>
      </c>
      <c r="L429" s="21">
        <f t="shared" si="68"/>
        <v>202</v>
      </c>
      <c r="M429" s="9">
        <f t="shared" si="64"/>
        <v>0</v>
      </c>
      <c r="N429">
        <f t="shared" si="65"/>
        <v>0</v>
      </c>
      <c r="O429">
        <f t="shared" si="66"/>
        <v>-482.7599999999984</v>
      </c>
    </row>
    <row r="430" spans="1:15">
      <c r="A430" s="6">
        <v>44603</v>
      </c>
      <c r="B430" t="s">
        <v>26</v>
      </c>
      <c r="C430">
        <v>68</v>
      </c>
      <c r="D430">
        <v>75.36</v>
      </c>
      <c r="E430">
        <v>81</v>
      </c>
      <c r="F430">
        <v>72.650000000000006</v>
      </c>
      <c r="G430" s="21">
        <f t="shared" si="71"/>
        <v>3.0811808118081232</v>
      </c>
      <c r="H430" s="6">
        <v>44796</v>
      </c>
      <c r="I430" s="29">
        <v>75.5</v>
      </c>
      <c r="J430" s="30">
        <f t="shared" si="69"/>
        <v>1.8577494692144647E-3</v>
      </c>
      <c r="K430" s="35">
        <f t="shared" si="70"/>
        <v>9.5200000000004366</v>
      </c>
      <c r="L430" s="21">
        <f t="shared" si="68"/>
        <v>193</v>
      </c>
      <c r="M430" s="9">
        <f t="shared" si="64"/>
        <v>1</v>
      </c>
      <c r="N430">
        <f t="shared" si="65"/>
        <v>9.5200000000004366</v>
      </c>
      <c r="O430">
        <f t="shared" si="66"/>
        <v>0</v>
      </c>
    </row>
    <row r="431" spans="1:15">
      <c r="A431" s="6">
        <v>44603</v>
      </c>
      <c r="B431" t="s">
        <v>26</v>
      </c>
      <c r="C431">
        <v>69</v>
      </c>
      <c r="D431">
        <v>75.36</v>
      </c>
      <c r="E431">
        <v>81</v>
      </c>
      <c r="F431">
        <v>72.650000000000006</v>
      </c>
      <c r="G431" s="21">
        <f t="shared" si="71"/>
        <v>3.0811808118081232</v>
      </c>
      <c r="H431" s="6">
        <v>44783</v>
      </c>
      <c r="I431" s="16">
        <v>74.905000000000001</v>
      </c>
      <c r="J431" s="25">
        <f t="shared" si="69"/>
        <v>-6.0376857749468993E-3</v>
      </c>
      <c r="K431" s="36">
        <f t="shared" si="70"/>
        <v>-31.395000000000437</v>
      </c>
      <c r="L431" s="21">
        <f t="shared" si="68"/>
        <v>180</v>
      </c>
      <c r="M431" s="9">
        <f t="shared" si="64"/>
        <v>0</v>
      </c>
      <c r="N431">
        <f t="shared" si="65"/>
        <v>0</v>
      </c>
      <c r="O431">
        <f t="shared" si="66"/>
        <v>-31.395000000000437</v>
      </c>
    </row>
    <row r="432" spans="1:15">
      <c r="A432" s="6">
        <v>44603</v>
      </c>
      <c r="B432" t="s">
        <v>27</v>
      </c>
      <c r="C432">
        <v>23</v>
      </c>
      <c r="D432">
        <v>125.86</v>
      </c>
      <c r="E432" s="1">
        <v>170</v>
      </c>
      <c r="F432" s="1">
        <v>148.31</v>
      </c>
      <c r="G432" s="21">
        <f t="shared" si="71"/>
        <v>-0.9661469933184853</v>
      </c>
      <c r="H432" s="6">
        <v>44802</v>
      </c>
      <c r="I432" s="29">
        <v>147.91999999999999</v>
      </c>
      <c r="J432" s="30">
        <f t="shared" si="69"/>
        <v>0.17527411409502602</v>
      </c>
      <c r="K432" s="35">
        <f t="shared" si="70"/>
        <v>507.37999999999965</v>
      </c>
      <c r="L432" s="21">
        <f t="shared" si="68"/>
        <v>199</v>
      </c>
      <c r="M432" s="9">
        <f t="shared" si="64"/>
        <v>1</v>
      </c>
      <c r="N432">
        <f t="shared" si="65"/>
        <v>507.37999999999965</v>
      </c>
      <c r="O432">
        <f t="shared" si="66"/>
        <v>0</v>
      </c>
    </row>
  </sheetData>
  <conditionalFormatting sqref="R178:R180">
    <cfRule type="iconSet" priority="1">
      <iconSet iconSet="3Arrows">
        <cfvo type="percent" val="0"/>
        <cfvo type="percent" val="33"/>
        <cfvo type="percent" val="67"/>
      </iconSet>
    </cfRule>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C169-3428-4D9C-9CE3-59F5D42C8791}">
  <dimension ref="B1:K33"/>
  <sheetViews>
    <sheetView workbookViewId="0">
      <selection activeCell="E35" sqref="E35"/>
    </sheetView>
  </sheetViews>
  <sheetFormatPr defaultRowHeight="15"/>
  <cols>
    <col min="1" max="1" width="9.140625" customWidth="1"/>
    <col min="2" max="2" width="2.7109375" customWidth="1"/>
    <col min="9" max="9" width="24.42578125" customWidth="1"/>
  </cols>
  <sheetData>
    <row r="1" spans="2:11">
      <c r="C1" s="13" t="s">
        <v>37</v>
      </c>
      <c r="D1" s="13"/>
      <c r="E1" s="23"/>
      <c r="G1" s="21"/>
      <c r="H1" s="21"/>
      <c r="I1" s="21"/>
      <c r="J1" s="21"/>
      <c r="K1" s="21"/>
    </row>
    <row r="2" spans="2:11">
      <c r="B2" s="22"/>
      <c r="C2" s="1" t="s">
        <v>21</v>
      </c>
      <c r="D2" s="26" t="s">
        <v>97</v>
      </c>
      <c r="E2" s="21"/>
      <c r="G2" s="21"/>
      <c r="H2" s="21" t="s">
        <v>288</v>
      </c>
      <c r="I2" s="21" t="s">
        <v>291</v>
      </c>
      <c r="J2" s="21"/>
      <c r="K2" s="21"/>
    </row>
    <row r="3" spans="2:11">
      <c r="B3" s="22"/>
      <c r="C3" t="s">
        <v>13</v>
      </c>
      <c r="D3" s="27" t="s">
        <v>97</v>
      </c>
      <c r="E3" s="21"/>
      <c r="G3" s="21"/>
      <c r="H3" s="21" t="s">
        <v>289</v>
      </c>
      <c r="I3" s="21" t="s">
        <v>291</v>
      </c>
      <c r="J3" s="21"/>
      <c r="K3" s="21"/>
    </row>
    <row r="4" spans="2:11">
      <c r="B4" s="22"/>
      <c r="C4" t="s">
        <v>40</v>
      </c>
      <c r="D4" s="27" t="s">
        <v>97</v>
      </c>
      <c r="E4" s="21"/>
      <c r="G4" s="21"/>
      <c r="H4" s="21" t="s">
        <v>290</v>
      </c>
      <c r="I4" s="21" t="s">
        <v>292</v>
      </c>
      <c r="J4" s="21"/>
      <c r="K4" s="21"/>
    </row>
    <row r="5" spans="2:11">
      <c r="B5" s="22"/>
      <c r="C5" t="s">
        <v>88</v>
      </c>
      <c r="D5" s="27" t="s">
        <v>97</v>
      </c>
      <c r="E5" s="21"/>
      <c r="G5" s="21"/>
      <c r="H5" s="21"/>
      <c r="I5" s="21"/>
      <c r="J5" s="21"/>
      <c r="K5" s="21"/>
    </row>
    <row r="6" spans="2:11">
      <c r="C6" s="17" t="s">
        <v>53</v>
      </c>
      <c r="D6" s="17" t="s">
        <v>102</v>
      </c>
      <c r="E6" s="24"/>
      <c r="G6" s="21"/>
      <c r="H6" s="21"/>
      <c r="I6" s="21"/>
      <c r="J6" s="21"/>
      <c r="K6" s="21"/>
    </row>
    <row r="7" spans="2:11">
      <c r="C7" s="17" t="s">
        <v>38</v>
      </c>
      <c r="D7" s="17" t="s">
        <v>99</v>
      </c>
      <c r="E7" s="24"/>
      <c r="G7" s="21"/>
      <c r="H7" s="21"/>
      <c r="I7" s="21"/>
      <c r="J7" s="21"/>
      <c r="K7" s="21"/>
    </row>
    <row r="8" spans="2:11">
      <c r="C8" s="17" t="s">
        <v>43</v>
      </c>
      <c r="D8" s="17" t="s">
        <v>97</v>
      </c>
      <c r="E8" s="24"/>
      <c r="G8" s="21"/>
      <c r="H8" s="21"/>
      <c r="I8" s="21"/>
      <c r="J8" s="21"/>
      <c r="K8" s="21"/>
    </row>
    <row r="9" spans="2:11">
      <c r="C9" s="17" t="s">
        <v>49</v>
      </c>
      <c r="D9" s="17" t="s">
        <v>121</v>
      </c>
      <c r="E9" s="24">
        <v>0.88</v>
      </c>
      <c r="G9" s="21"/>
      <c r="H9" s="21"/>
      <c r="I9" s="21"/>
      <c r="J9" s="21"/>
      <c r="K9" s="21"/>
    </row>
    <row r="10" spans="2:11">
      <c r="C10" s="17" t="s">
        <v>59</v>
      </c>
      <c r="D10" s="17" t="s">
        <v>97</v>
      </c>
      <c r="E10" s="24"/>
      <c r="G10" s="21"/>
      <c r="H10" s="21"/>
      <c r="I10" s="21"/>
      <c r="J10" s="21"/>
      <c r="K10" s="21"/>
    </row>
    <row r="11" spans="2:11">
      <c r="C11" s="17" t="s">
        <v>55</v>
      </c>
      <c r="D11" s="17" t="s">
        <v>97</v>
      </c>
      <c r="E11" s="24"/>
      <c r="G11" s="21"/>
      <c r="H11" s="21"/>
      <c r="I11" s="21"/>
      <c r="J11" s="21"/>
      <c r="K11" s="21"/>
    </row>
    <row r="12" spans="2:11">
      <c r="C12" s="43" t="s">
        <v>47</v>
      </c>
      <c r="D12" s="17" t="s">
        <v>97</v>
      </c>
      <c r="E12" s="24"/>
      <c r="G12" s="21"/>
      <c r="H12" s="21"/>
      <c r="I12" s="21"/>
      <c r="J12" s="21"/>
      <c r="K12" s="21"/>
    </row>
    <row r="13" spans="2:11">
      <c r="C13" s="17" t="s">
        <v>39</v>
      </c>
      <c r="D13" s="17" t="s">
        <v>97</v>
      </c>
      <c r="E13" s="24"/>
      <c r="G13" s="21"/>
      <c r="H13" s="21"/>
      <c r="I13" s="21"/>
      <c r="J13" s="21"/>
      <c r="K13" s="21"/>
    </row>
    <row r="14" spans="2:11">
      <c r="C14" s="17" t="s">
        <v>66</v>
      </c>
      <c r="D14" s="17" t="s">
        <v>97</v>
      </c>
      <c r="E14" s="24"/>
      <c r="G14" s="21"/>
      <c r="H14" s="21"/>
      <c r="I14" s="21"/>
      <c r="J14" s="21"/>
      <c r="K14" s="21"/>
    </row>
    <row r="15" spans="2:11" ht="14.25" customHeight="1">
      <c r="C15" s="17" t="s">
        <v>70</v>
      </c>
      <c r="D15" s="17" t="s">
        <v>97</v>
      </c>
      <c r="E15" s="24"/>
      <c r="G15" s="21"/>
      <c r="H15" s="21"/>
      <c r="I15" s="21"/>
      <c r="J15" s="21"/>
      <c r="K15" s="21"/>
    </row>
    <row r="16" spans="2:11">
      <c r="C16" s="17" t="s">
        <v>76</v>
      </c>
      <c r="D16" s="17" t="s">
        <v>97</v>
      </c>
      <c r="E16" s="24"/>
      <c r="G16" s="21"/>
      <c r="H16" s="21"/>
      <c r="I16" s="21"/>
      <c r="J16" s="21"/>
      <c r="K16" s="21"/>
    </row>
    <row r="17" spans="3:11">
      <c r="C17" s="17" t="s">
        <v>90</v>
      </c>
      <c r="D17" s="17" t="s">
        <v>97</v>
      </c>
      <c r="E17" s="24">
        <v>0.92</v>
      </c>
      <c r="G17" s="21"/>
      <c r="H17" s="21"/>
      <c r="I17" s="21"/>
      <c r="J17" s="21"/>
      <c r="K17" s="21"/>
    </row>
    <row r="18" spans="3:11">
      <c r="C18" s="17" t="s">
        <v>15</v>
      </c>
      <c r="D18" s="17" t="s">
        <v>97</v>
      </c>
      <c r="E18" s="24"/>
      <c r="G18" s="21"/>
      <c r="H18" s="21"/>
      <c r="I18" s="21"/>
      <c r="J18" s="21"/>
      <c r="K18" s="21"/>
    </row>
    <row r="19" spans="3:11">
      <c r="C19" t="s">
        <v>44</v>
      </c>
      <c r="D19" t="s">
        <v>97</v>
      </c>
      <c r="E19" s="21"/>
      <c r="G19" s="21"/>
      <c r="H19" s="21"/>
      <c r="I19" s="21"/>
      <c r="J19" s="21"/>
      <c r="K19" s="21"/>
    </row>
    <row r="20" spans="3:11">
      <c r="C20" t="s">
        <v>19</v>
      </c>
      <c r="D20" t="s">
        <v>97</v>
      </c>
      <c r="E20" s="21"/>
      <c r="G20" s="21"/>
      <c r="H20" s="21"/>
      <c r="I20" s="21"/>
      <c r="J20" s="21"/>
      <c r="K20" s="21"/>
    </row>
    <row r="21" spans="3:11">
      <c r="C21" s="17" t="s">
        <v>152</v>
      </c>
      <c r="D21" s="17" t="s">
        <v>97</v>
      </c>
    </row>
    <row r="22" spans="3:11">
      <c r="C22" t="s">
        <v>158</v>
      </c>
      <c r="D22" s="17" t="s">
        <v>97</v>
      </c>
    </row>
    <row r="23" spans="3:11">
      <c r="C23" t="s">
        <v>161</v>
      </c>
      <c r="D23" s="17" t="s">
        <v>97</v>
      </c>
      <c r="E23">
        <v>0.76</v>
      </c>
    </row>
    <row r="24" spans="3:11">
      <c r="C24" t="s">
        <v>183</v>
      </c>
      <c r="D24" s="17" t="s">
        <v>97</v>
      </c>
    </row>
    <row r="25" spans="3:11">
      <c r="C25" t="s">
        <v>187</v>
      </c>
      <c r="D25" s="17" t="s">
        <v>97</v>
      </c>
    </row>
    <row r="26" spans="3:11">
      <c r="C26" t="s">
        <v>215</v>
      </c>
      <c r="D26" s="17" t="s">
        <v>97</v>
      </c>
    </row>
    <row r="27" spans="3:11">
      <c r="C27" t="s">
        <v>219</v>
      </c>
      <c r="D27" s="17" t="s">
        <v>97</v>
      </c>
    </row>
    <row r="28" spans="3:11">
      <c r="C28" t="s">
        <v>225</v>
      </c>
      <c r="D28" s="17" t="s">
        <v>97</v>
      </c>
    </row>
    <row r="29" spans="3:11">
      <c r="C29" t="s">
        <v>283</v>
      </c>
      <c r="D29" s="17" t="s">
        <v>97</v>
      </c>
      <c r="G29" s="21">
        <v>74.239999999999995</v>
      </c>
      <c r="H29" s="21">
        <v>86.26</v>
      </c>
      <c r="I29" s="21">
        <v>93</v>
      </c>
      <c r="J29" s="21">
        <f xml:space="preserve"> (I29 - H29)/(H29-G29)</f>
        <v>0.56073211314475779</v>
      </c>
      <c r="K29" s="21">
        <f>H29/I29</f>
        <v>0.92752688172043019</v>
      </c>
    </row>
    <row r="30" spans="3:11">
      <c r="C30" t="s">
        <v>293</v>
      </c>
      <c r="D30" s="17" t="s">
        <v>97</v>
      </c>
    </row>
    <row r="31" spans="3:11">
      <c r="C31" t="s">
        <v>294</v>
      </c>
      <c r="D31" s="17" t="s">
        <v>97</v>
      </c>
    </row>
    <row r="32" spans="3:11">
      <c r="C32" t="s">
        <v>295</v>
      </c>
      <c r="D32" s="17" t="s">
        <v>97</v>
      </c>
    </row>
    <row r="33" spans="3:3">
      <c r="C33" t="s">
        <v>306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22029-B621-4FEE-BEED-CC299BAF5CEB}">
  <dimension ref="A3:Q117"/>
  <sheetViews>
    <sheetView workbookViewId="0">
      <selection activeCell="F16" sqref="F16"/>
    </sheetView>
  </sheetViews>
  <sheetFormatPr defaultRowHeight="15"/>
  <cols>
    <col min="2" max="2" width="8.7109375" bestFit="1" customWidth="1"/>
    <col min="5" max="5" width="42.85546875" customWidth="1"/>
    <col min="14" max="14" width="54.7109375" customWidth="1"/>
    <col min="15" max="15" width="24.85546875" customWidth="1"/>
    <col min="16" max="16" width="13.140625" customWidth="1"/>
  </cols>
  <sheetData>
    <row r="3" spans="2:17">
      <c r="B3" s="33" t="s">
        <v>233</v>
      </c>
      <c r="E3" s="13" t="s">
        <v>330</v>
      </c>
      <c r="F3" t="s">
        <v>329</v>
      </c>
      <c r="N3" s="106" t="s">
        <v>752</v>
      </c>
      <c r="O3" s="106" t="s">
        <v>753</v>
      </c>
      <c r="P3" s="106" t="s">
        <v>754</v>
      </c>
      <c r="Q3" s="107">
        <v>8.8000000000000005E-3</v>
      </c>
    </row>
    <row r="4" spans="2:17">
      <c r="B4" s="33" t="s">
        <v>237</v>
      </c>
      <c r="F4" t="s">
        <v>331</v>
      </c>
      <c r="N4" s="106" t="s">
        <v>755</v>
      </c>
      <c r="O4" s="106" t="s">
        <v>756</v>
      </c>
      <c r="P4" s="106" t="s">
        <v>757</v>
      </c>
      <c r="Q4" s="107">
        <v>9.4999999999999998E-3</v>
      </c>
    </row>
    <row r="5" spans="2:17">
      <c r="B5" s="33" t="s">
        <v>238</v>
      </c>
      <c r="F5" t="s">
        <v>332</v>
      </c>
      <c r="N5" s="106" t="s">
        <v>758</v>
      </c>
      <c r="O5" s="106" t="s">
        <v>759</v>
      </c>
      <c r="P5" s="106" t="s">
        <v>760</v>
      </c>
      <c r="Q5" s="107">
        <v>1.09E-2</v>
      </c>
    </row>
    <row r="6" spans="2:17">
      <c r="B6" s="33" t="s">
        <v>235</v>
      </c>
      <c r="F6" t="s">
        <v>65</v>
      </c>
      <c r="N6" s="106" t="s">
        <v>761</v>
      </c>
      <c r="O6" s="106" t="s">
        <v>762</v>
      </c>
      <c r="P6" s="106" t="s">
        <v>763</v>
      </c>
      <c r="Q6" s="107">
        <v>0.01</v>
      </c>
    </row>
    <row r="7" spans="2:17">
      <c r="B7" s="33" t="s">
        <v>239</v>
      </c>
      <c r="F7" t="s">
        <v>334</v>
      </c>
      <c r="N7" s="106" t="s">
        <v>764</v>
      </c>
      <c r="O7" s="106" t="s">
        <v>765</v>
      </c>
      <c r="P7" s="106" t="s">
        <v>766</v>
      </c>
      <c r="Q7" s="107">
        <v>1.5E-3</v>
      </c>
    </row>
    <row r="8" spans="2:17">
      <c r="B8" s="33" t="s">
        <v>48</v>
      </c>
      <c r="F8" t="s">
        <v>335</v>
      </c>
      <c r="N8" s="106" t="s">
        <v>767</v>
      </c>
      <c r="O8" s="106" t="s">
        <v>768</v>
      </c>
      <c r="P8" s="106" t="s">
        <v>769</v>
      </c>
      <c r="Q8" s="107">
        <v>4.0000000000000001E-3</v>
      </c>
    </row>
    <row r="9" spans="2:17">
      <c r="B9" s="33" t="s">
        <v>15</v>
      </c>
      <c r="F9" t="s">
        <v>329</v>
      </c>
      <c r="N9" s="106" t="s">
        <v>770</v>
      </c>
      <c r="O9" s="106" t="s">
        <v>771</v>
      </c>
      <c r="P9" s="106" t="s">
        <v>772</v>
      </c>
      <c r="Q9" s="107">
        <v>2.9999999999999997E-4</v>
      </c>
    </row>
    <row r="10" spans="2:17">
      <c r="B10" s="33" t="s">
        <v>240</v>
      </c>
      <c r="F10" t="s">
        <v>331</v>
      </c>
    </row>
    <row r="11" spans="2:17">
      <c r="B11" s="33" t="s">
        <v>241</v>
      </c>
      <c r="F11" t="s">
        <v>336</v>
      </c>
    </row>
    <row r="12" spans="2:17">
      <c r="B12" s="33" t="s">
        <v>21</v>
      </c>
      <c r="F12" t="s">
        <v>337</v>
      </c>
    </row>
    <row r="13" spans="2:17">
      <c r="B13" s="33" t="s">
        <v>242</v>
      </c>
      <c r="F13" t="s">
        <v>338</v>
      </c>
    </row>
    <row r="14" spans="2:17">
      <c r="B14" s="33" t="s">
        <v>173</v>
      </c>
      <c r="F14" t="s">
        <v>339</v>
      </c>
    </row>
    <row r="15" spans="2:17">
      <c r="B15" s="33" t="s">
        <v>243</v>
      </c>
      <c r="F15" t="s">
        <v>341</v>
      </c>
    </row>
    <row r="16" spans="2:17">
      <c r="B16" s="33" t="s">
        <v>244</v>
      </c>
      <c r="F16" t="s">
        <v>351</v>
      </c>
    </row>
    <row r="17" spans="2:6">
      <c r="B17" s="33" t="s">
        <v>245</v>
      </c>
      <c r="F17" t="s">
        <v>355</v>
      </c>
    </row>
    <row r="18" spans="2:6">
      <c r="B18" s="33" t="s">
        <v>246</v>
      </c>
      <c r="F18" t="s">
        <v>356</v>
      </c>
    </row>
    <row r="19" spans="2:6">
      <c r="B19" s="33" t="s">
        <v>247</v>
      </c>
      <c r="F19" t="s">
        <v>358</v>
      </c>
    </row>
    <row r="20" spans="2:6">
      <c r="B20" s="33" t="s">
        <v>248</v>
      </c>
      <c r="F20" t="s">
        <v>359</v>
      </c>
    </row>
    <row r="21" spans="2:6">
      <c r="B21" s="33" t="s">
        <v>249</v>
      </c>
      <c r="F21" t="s">
        <v>360</v>
      </c>
    </row>
    <row r="22" spans="2:6">
      <c r="B22" s="33" t="s">
        <v>130</v>
      </c>
      <c r="F22" t="s">
        <v>361</v>
      </c>
    </row>
    <row r="23" spans="2:6">
      <c r="B23" s="33" t="s">
        <v>250</v>
      </c>
      <c r="F23" t="s">
        <v>479</v>
      </c>
    </row>
    <row r="24" spans="2:6">
      <c r="B24" s="33" t="s">
        <v>113</v>
      </c>
      <c r="F24" t="s">
        <v>480</v>
      </c>
    </row>
    <row r="25" spans="2:6">
      <c r="B25" s="41" t="s">
        <v>252</v>
      </c>
      <c r="F25" t="s">
        <v>481</v>
      </c>
    </row>
    <row r="26" spans="2:6">
      <c r="F26" t="s">
        <v>482</v>
      </c>
    </row>
    <row r="27" spans="2:6">
      <c r="F27" t="s">
        <v>483</v>
      </c>
    </row>
    <row r="28" spans="2:6">
      <c r="F28" t="s">
        <v>489</v>
      </c>
    </row>
    <row r="29" spans="2:6">
      <c r="F29" t="s">
        <v>491</v>
      </c>
    </row>
    <row r="30" spans="2:6">
      <c r="F30" t="s">
        <v>492</v>
      </c>
    </row>
    <row r="31" spans="2:6">
      <c r="F31" t="s">
        <v>495</v>
      </c>
    </row>
    <row r="32" spans="2:6">
      <c r="F32" t="s">
        <v>502</v>
      </c>
    </row>
    <row r="33" spans="1:6">
      <c r="B33" t="s">
        <v>231</v>
      </c>
      <c r="F33" t="s">
        <v>503</v>
      </c>
    </row>
    <row r="34" spans="1:6">
      <c r="B34" t="s">
        <v>227</v>
      </c>
      <c r="F34" t="s">
        <v>510</v>
      </c>
    </row>
    <row r="35" spans="1:6">
      <c r="B35" t="s">
        <v>87</v>
      </c>
      <c r="F35" t="s">
        <v>511</v>
      </c>
    </row>
    <row r="36" spans="1:6">
      <c r="B36" t="s">
        <v>316</v>
      </c>
      <c r="F36" t="s">
        <v>517</v>
      </c>
    </row>
    <row r="37" spans="1:6">
      <c r="B37" t="s">
        <v>92</v>
      </c>
      <c r="F37" t="s">
        <v>518</v>
      </c>
    </row>
    <row r="38" spans="1:6">
      <c r="B38" t="s">
        <v>634</v>
      </c>
      <c r="F38" t="s">
        <v>531</v>
      </c>
    </row>
    <row r="39" spans="1:6">
      <c r="B39" t="s">
        <v>508</v>
      </c>
      <c r="F39" t="s">
        <v>532</v>
      </c>
    </row>
    <row r="40" spans="1:6">
      <c r="B40" t="s">
        <v>559</v>
      </c>
    </row>
    <row r="44" spans="1:6" ht="16.5">
      <c r="A44" s="73" t="s">
        <v>570</v>
      </c>
    </row>
    <row r="45" spans="1:6">
      <c r="A45" s="72"/>
    </row>
    <row r="46" spans="1:6" ht="16.5">
      <c r="A46" s="73" t="s">
        <v>571</v>
      </c>
    </row>
    <row r="47" spans="1:6">
      <c r="A47" s="74"/>
    </row>
    <row r="48" spans="1:6" ht="16.5">
      <c r="A48" s="73" t="s">
        <v>572</v>
      </c>
    </row>
    <row r="49" spans="1:5">
      <c r="A49" s="74"/>
    </row>
    <row r="50" spans="1:5" ht="16.5">
      <c r="A50" s="73" t="s">
        <v>573</v>
      </c>
    </row>
    <row r="51" spans="1:5" ht="16.5">
      <c r="A51" s="73"/>
    </row>
    <row r="52" spans="1:5" ht="16.5">
      <c r="A52" s="73"/>
    </row>
    <row r="53" spans="1:5" ht="16.5">
      <c r="A53" s="73"/>
    </row>
    <row r="54" spans="1:5" ht="33">
      <c r="B54" s="134" t="s">
        <v>545</v>
      </c>
      <c r="C54" s="134" t="s">
        <v>546</v>
      </c>
      <c r="D54" s="69" t="s">
        <v>547</v>
      </c>
      <c r="E54" s="134" t="s">
        <v>549</v>
      </c>
    </row>
    <row r="55" spans="1:5" ht="49.5">
      <c r="B55" s="134"/>
      <c r="C55" s="134"/>
      <c r="D55" s="69" t="s">
        <v>548</v>
      </c>
      <c r="E55" s="134"/>
    </row>
    <row r="56" spans="1:5" ht="49.5">
      <c r="B56" s="135" t="s">
        <v>550</v>
      </c>
      <c r="C56" s="135" t="s">
        <v>551</v>
      </c>
      <c r="D56" s="70" t="s">
        <v>552</v>
      </c>
      <c r="E56" s="135" t="s">
        <v>554</v>
      </c>
    </row>
    <row r="57" spans="1:5" ht="49.5">
      <c r="B57" s="135"/>
      <c r="C57" s="135"/>
      <c r="D57" s="70" t="s">
        <v>553</v>
      </c>
      <c r="E57" s="135"/>
    </row>
    <row r="58" spans="1:5" ht="49.5">
      <c r="B58" s="134" t="s">
        <v>550</v>
      </c>
      <c r="C58" s="134" t="s">
        <v>555</v>
      </c>
      <c r="D58" s="69" t="s">
        <v>552</v>
      </c>
      <c r="E58" s="134" t="s">
        <v>557</v>
      </c>
    </row>
    <row r="59" spans="1:5" ht="49.5">
      <c r="B59" s="134"/>
      <c r="C59" s="134"/>
      <c r="D59" s="69" t="s">
        <v>556</v>
      </c>
      <c r="E59" s="134"/>
    </row>
    <row r="60" spans="1:5">
      <c r="D60">
        <v>11</v>
      </c>
      <c r="E60">
        <v>400</v>
      </c>
    </row>
    <row r="61" spans="1:5">
      <c r="D61">
        <v>14</v>
      </c>
    </row>
    <row r="62" spans="1:5">
      <c r="D62">
        <v>10</v>
      </c>
    </row>
    <row r="77" spans="2:2">
      <c r="B77" s="84" t="s">
        <v>652</v>
      </c>
    </row>
    <row r="78" spans="2:2">
      <c r="B78" s="84" t="s">
        <v>653</v>
      </c>
    </row>
    <row r="79" spans="2:2">
      <c r="B79" s="84" t="s">
        <v>654</v>
      </c>
    </row>
    <row r="80" spans="2:2">
      <c r="B80" s="84" t="s">
        <v>655</v>
      </c>
    </row>
    <row r="81" spans="2:2">
      <c r="B81" s="84" t="s">
        <v>656</v>
      </c>
    </row>
    <row r="82" spans="2:2">
      <c r="B82" s="84" t="s">
        <v>657</v>
      </c>
    </row>
    <row r="83" spans="2:2">
      <c r="B83" s="84" t="s">
        <v>658</v>
      </c>
    </row>
    <row r="84" spans="2:2">
      <c r="B84" s="84" t="s">
        <v>659</v>
      </c>
    </row>
    <row r="85" spans="2:2">
      <c r="B85" s="84" t="s">
        <v>660</v>
      </c>
    </row>
    <row r="86" spans="2:2">
      <c r="B86" s="84" t="s">
        <v>661</v>
      </c>
    </row>
    <row r="87" spans="2:2">
      <c r="B87" s="84" t="s">
        <v>662</v>
      </c>
    </row>
    <row r="88" spans="2:2">
      <c r="B88" s="84" t="s">
        <v>663</v>
      </c>
    </row>
    <row r="89" spans="2:2">
      <c r="B89" s="84" t="s">
        <v>664</v>
      </c>
    </row>
    <row r="90" spans="2:2">
      <c r="B90" s="84" t="s">
        <v>665</v>
      </c>
    </row>
    <row r="91" spans="2:2">
      <c r="B91" s="84" t="s">
        <v>666</v>
      </c>
    </row>
    <row r="92" spans="2:2">
      <c r="B92" s="84" t="s">
        <v>667</v>
      </c>
    </row>
    <row r="93" spans="2:2">
      <c r="B93" s="84" t="s">
        <v>668</v>
      </c>
    </row>
    <row r="94" spans="2:2">
      <c r="B94" s="84" t="s">
        <v>669</v>
      </c>
    </row>
    <row r="95" spans="2:2">
      <c r="B95" s="84" t="s">
        <v>670</v>
      </c>
    </row>
    <row r="109" spans="5:5" ht="105">
      <c r="E109" s="123" t="s">
        <v>861</v>
      </c>
    </row>
    <row r="111" spans="5:5" ht="131.25">
      <c r="E111" s="123" t="s">
        <v>862</v>
      </c>
    </row>
    <row r="113" spans="5:5" ht="105">
      <c r="E113" s="123" t="s">
        <v>863</v>
      </c>
    </row>
    <row r="115" spans="5:5" ht="105">
      <c r="E115" s="123" t="s">
        <v>864</v>
      </c>
    </row>
    <row r="117" spans="5:5" ht="105">
      <c r="E117" s="123" t="s">
        <v>865</v>
      </c>
    </row>
  </sheetData>
  <mergeCells count="9">
    <mergeCell ref="B58:B59"/>
    <mergeCell ref="C58:C59"/>
    <mergeCell ref="E58:E59"/>
    <mergeCell ref="B54:B55"/>
    <mergeCell ref="C54:C55"/>
    <mergeCell ref="E54:E55"/>
    <mergeCell ref="B56:B57"/>
    <mergeCell ref="C56:C57"/>
    <mergeCell ref="E56:E5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06928-7901-46CD-9DFB-55398ADB7BF9}">
  <dimension ref="B1:B2"/>
  <sheetViews>
    <sheetView topLeftCell="A7" workbookViewId="0">
      <selection activeCell="B6" sqref="B6"/>
    </sheetView>
  </sheetViews>
  <sheetFormatPr defaultRowHeight="15"/>
  <cols>
    <col min="2" max="2" width="211.140625" bestFit="1" customWidth="1"/>
  </cols>
  <sheetData>
    <row r="1" spans="2:2" ht="21.75" customHeight="1"/>
    <row r="2" spans="2:2" ht="161.25" customHeight="1">
      <c r="B2" s="67" t="s">
        <v>541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2F47B-C04F-4624-AF24-747AA8D19B86}">
  <dimension ref="E4:L25"/>
  <sheetViews>
    <sheetView workbookViewId="0">
      <selection activeCell="L25" sqref="L25"/>
    </sheetView>
  </sheetViews>
  <sheetFormatPr defaultRowHeight="15"/>
  <sheetData>
    <row r="4" spans="5:12">
      <c r="E4" s="1" t="s">
        <v>107</v>
      </c>
      <c r="G4" s="34" t="s">
        <v>364</v>
      </c>
      <c r="L4" t="s">
        <v>233</v>
      </c>
    </row>
    <row r="5" spans="5:12">
      <c r="E5" s="1" t="s">
        <v>61</v>
      </c>
      <c r="G5" s="34" t="s">
        <v>84</v>
      </c>
    </row>
    <row r="6" spans="5:12">
      <c r="E6" s="1" t="s">
        <v>148</v>
      </c>
      <c r="G6" s="33" t="s">
        <v>227</v>
      </c>
    </row>
    <row r="7" spans="5:12">
      <c r="E7" s="1" t="s">
        <v>19</v>
      </c>
      <c r="G7" s="34" t="s">
        <v>174</v>
      </c>
    </row>
    <row r="8" spans="5:12">
      <c r="E8" s="1" t="s">
        <v>87</v>
      </c>
      <c r="G8" s="33" t="s">
        <v>233</v>
      </c>
    </row>
    <row r="9" spans="5:12">
      <c r="E9" s="1" t="s">
        <v>17</v>
      </c>
      <c r="G9" s="33" t="s">
        <v>15</v>
      </c>
    </row>
    <row r="10" spans="5:12">
      <c r="E10" s="1" t="s">
        <v>185</v>
      </c>
      <c r="G10" s="33" t="s">
        <v>232</v>
      </c>
    </row>
    <row r="11" spans="5:12">
      <c r="E11" s="1" t="s">
        <v>89</v>
      </c>
      <c r="G11" s="34" t="s">
        <v>171</v>
      </c>
    </row>
    <row r="12" spans="5:12">
      <c r="E12" s="1" t="s">
        <v>254</v>
      </c>
      <c r="G12" s="34" t="s">
        <v>316</v>
      </c>
    </row>
    <row r="13" spans="5:12">
      <c r="E13" s="1" t="s">
        <v>251</v>
      </c>
      <c r="G13" s="33" t="s">
        <v>249</v>
      </c>
    </row>
    <row r="14" spans="5:12">
      <c r="E14" s="1" t="s">
        <v>342</v>
      </c>
      <c r="G14" s="33" t="s">
        <v>68</v>
      </c>
    </row>
    <row r="15" spans="5:12">
      <c r="E15" s="1" t="s">
        <v>345</v>
      </c>
      <c r="G15" s="34" t="s">
        <v>45</v>
      </c>
    </row>
    <row r="16" spans="5:12">
      <c r="E16" s="1" t="s">
        <v>21</v>
      </c>
      <c r="G16" s="33" t="s">
        <v>353</v>
      </c>
    </row>
    <row r="17" spans="5:7">
      <c r="E17" s="1" t="s">
        <v>231</v>
      </c>
      <c r="G17" s="33" t="s">
        <v>60</v>
      </c>
    </row>
    <row r="18" spans="5:7">
      <c r="E18" s="1" t="s">
        <v>163</v>
      </c>
      <c r="G18" s="33" t="s">
        <v>129</v>
      </c>
    </row>
    <row r="19" spans="5:7">
      <c r="E19" s="1" t="s">
        <v>314</v>
      </c>
      <c r="G19" s="33" t="s">
        <v>303</v>
      </c>
    </row>
    <row r="20" spans="5:7">
      <c r="G20" s="33"/>
    </row>
    <row r="21" spans="5:7">
      <c r="G21" s="33"/>
    </row>
    <row r="25" spans="5:7">
      <c r="G25" t="s">
        <v>568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05D16-DCFC-4737-BC4A-4250E046A250}">
  <dimension ref="A3:C9"/>
  <sheetViews>
    <sheetView workbookViewId="0">
      <selection activeCell="C14" sqref="C14"/>
    </sheetView>
  </sheetViews>
  <sheetFormatPr defaultRowHeight="15"/>
  <cols>
    <col min="1" max="1" width="26.28515625" bestFit="1" customWidth="1"/>
    <col min="2" max="2" width="47.5703125" bestFit="1" customWidth="1"/>
    <col min="3" max="3" width="57" bestFit="1" customWidth="1"/>
  </cols>
  <sheetData>
    <row r="3" spans="1:3">
      <c r="A3" t="s">
        <v>262</v>
      </c>
      <c r="B3" t="s">
        <v>263</v>
      </c>
      <c r="C3" t="s">
        <v>264</v>
      </c>
    </row>
    <row r="4" spans="1:3">
      <c r="A4" t="s">
        <v>266</v>
      </c>
      <c r="B4" t="s">
        <v>267</v>
      </c>
      <c r="C4" t="s">
        <v>265</v>
      </c>
    </row>
    <row r="5" spans="1:3">
      <c r="A5" t="s">
        <v>269</v>
      </c>
      <c r="B5" t="s">
        <v>270</v>
      </c>
      <c r="C5" t="s">
        <v>268</v>
      </c>
    </row>
    <row r="6" spans="1:3">
      <c r="A6" t="s">
        <v>272</v>
      </c>
      <c r="B6" t="s">
        <v>273</v>
      </c>
      <c r="C6" t="s">
        <v>271</v>
      </c>
    </row>
    <row r="7" spans="1:3">
      <c r="A7" t="s">
        <v>275</v>
      </c>
      <c r="B7" t="s">
        <v>276</v>
      </c>
      <c r="C7" t="s">
        <v>274</v>
      </c>
    </row>
    <row r="8" spans="1:3">
      <c r="A8" t="s">
        <v>278</v>
      </c>
      <c r="B8" t="s">
        <v>279</v>
      </c>
      <c r="C8" t="s">
        <v>277</v>
      </c>
    </row>
    <row r="9" spans="1:3">
      <c r="A9" t="s">
        <v>281</v>
      </c>
      <c r="B9" t="s">
        <v>282</v>
      </c>
      <c r="C9" t="s">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2019</vt:lpstr>
      <vt:lpstr>2020</vt:lpstr>
      <vt:lpstr>2021</vt:lpstr>
      <vt:lpstr>2022</vt:lpstr>
      <vt:lpstr>2023</vt:lpstr>
      <vt:lpstr>2024</vt:lpstr>
      <vt:lpstr>2025</vt:lpstr>
      <vt:lpstr>2026</vt:lpstr>
      <vt:lpstr>Short_Long</vt:lpstr>
      <vt:lpstr>Research</vt:lpstr>
      <vt:lpstr>Intel</vt:lpstr>
      <vt:lpstr>BSHistory 2026</vt:lpstr>
      <vt:lpstr>BSHistory 2025</vt:lpstr>
      <vt:lpstr>BSHistory 2024</vt:lpstr>
      <vt:lpstr>BSHistory 2023</vt:lpstr>
      <vt:lpstr>BSHistory 2022</vt:lpstr>
      <vt:lpstr>Oil</vt:lpstr>
      <vt:lpstr>Perfect Stock</vt:lpstr>
      <vt:lpstr>Reflection</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yufa</dc:creator>
  <cp:lastModifiedBy>O_Y Bilyk</cp:lastModifiedBy>
  <dcterms:created xsi:type="dcterms:W3CDTF">2015-06-05T18:17:20Z</dcterms:created>
  <dcterms:modified xsi:type="dcterms:W3CDTF">2026-06-04T04:56:47Z</dcterms:modified>
</cp:coreProperties>
</file>