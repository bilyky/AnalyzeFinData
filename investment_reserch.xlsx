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Folder\Budget\"/>
    </mc:Choice>
  </mc:AlternateContent>
  <xr:revisionPtr revIDLastSave="0" documentId="13_ncr:1_{3B86BFBC-3BD9-4F8D-B0E8-291B294105D6}" xr6:coauthVersionLast="47" xr6:coauthVersionMax="47" xr10:uidLastSave="{00000000-0000-0000-0000-000000000000}"/>
  <bookViews>
    <workbookView xWindow="5970" yWindow="1800" windowWidth="18945" windowHeight="18420" activeTab="1" xr2:uid="{00000000-000D-0000-FFFF-FFFF00000000}"/>
  </bookViews>
  <sheets>
    <sheet name="Short_Long" sheetId="3" r:id="rId1"/>
    <sheet name="Research" sheetId="8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9" i="3" l="1"/>
  <c r="H49" i="3"/>
  <c r="J49" i="3"/>
  <c r="J20" i="3"/>
  <c r="I20" i="3"/>
  <c r="H20" i="3"/>
  <c r="J51" i="3"/>
  <c r="I51" i="3"/>
  <c r="H51" i="3"/>
  <c r="J50" i="3"/>
  <c r="I50" i="3"/>
  <c r="H50" i="3"/>
  <c r="J19" i="3"/>
  <c r="I19" i="3"/>
  <c r="H19" i="3"/>
  <c r="J48" i="3" l="1"/>
  <c r="I48" i="3"/>
  <c r="H48" i="3"/>
  <c r="I47" i="3"/>
  <c r="H47" i="3"/>
  <c r="J47" i="3"/>
  <c r="I16" i="3"/>
  <c r="H16" i="3"/>
  <c r="J16" i="3"/>
  <c r="J18" i="3"/>
  <c r="I18" i="3"/>
  <c r="H18" i="3"/>
  <c r="J17" i="3"/>
  <c r="I17" i="3"/>
  <c r="H17" i="3"/>
  <c r="H46" i="3"/>
  <c r="I46" i="3"/>
  <c r="J46" i="3"/>
  <c r="J15" i="3"/>
  <c r="I15" i="3"/>
  <c r="H15" i="3"/>
  <c r="J14" i="3"/>
  <c r="I14" i="3"/>
  <c r="H14" i="3"/>
  <c r="J45" i="3"/>
  <c r="I45" i="3"/>
  <c r="H45" i="3"/>
  <c r="I13" i="3"/>
  <c r="H13" i="3"/>
  <c r="J13" i="3"/>
  <c r="J44" i="3"/>
  <c r="I44" i="3"/>
  <c r="H44" i="3"/>
  <c r="J43" i="3"/>
  <c r="I43" i="3"/>
  <c r="H43" i="3"/>
  <c r="I42" i="3"/>
  <c r="H42" i="3"/>
  <c r="J42" i="3"/>
  <c r="J12" i="3" l="1"/>
  <c r="I12" i="3"/>
  <c r="H12" i="3"/>
  <c r="J11" i="3"/>
  <c r="I11" i="3"/>
  <c r="H11" i="3"/>
  <c r="J41" i="3"/>
  <c r="I41" i="3"/>
  <c r="H41" i="3"/>
  <c r="J10" i="3" l="1"/>
  <c r="I10" i="3"/>
  <c r="H10" i="3"/>
  <c r="H40" i="3" l="1"/>
  <c r="I40" i="3"/>
  <c r="J40" i="3"/>
  <c r="J9" i="3"/>
  <c r="I9" i="3"/>
  <c r="H9" i="3"/>
  <c r="J8" i="3" l="1"/>
  <c r="I8" i="3"/>
  <c r="H8" i="3"/>
  <c r="I39" i="3"/>
  <c r="H39" i="3"/>
  <c r="J39" i="3"/>
  <c r="I38" i="3" l="1"/>
  <c r="H38" i="3"/>
  <c r="J38" i="3"/>
  <c r="I7" i="3" l="1"/>
  <c r="H7" i="3"/>
  <c r="J7" i="3"/>
  <c r="I6" i="3"/>
  <c r="H6" i="3"/>
  <c r="J6" i="3"/>
  <c r="I37" i="3" l="1"/>
  <c r="H37" i="3"/>
  <c r="J37" i="3"/>
  <c r="H36" i="3"/>
  <c r="I36" i="3"/>
  <c r="J36" i="3"/>
  <c r="I5" i="3"/>
  <c r="H5" i="3"/>
  <c r="J5" i="3"/>
  <c r="J35" i="3" l="1"/>
  <c r="I35" i="3"/>
  <c r="H35" i="3"/>
  <c r="N475" i="8" l="1"/>
  <c r="M475" i="8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J29" i="3"/>
  <c r="I29" i="3"/>
  <c r="H29" i="3"/>
  <c r="J28" i="3"/>
  <c r="I28" i="3"/>
  <c r="H28" i="3"/>
  <c r="M3" i="8"/>
  <c r="M4" i="8"/>
  <c r="M5" i="8"/>
  <c r="M6" i="8"/>
  <c r="M7" i="8"/>
  <c r="M8" i="8"/>
  <c r="M10" i="8"/>
  <c r="M11" i="8"/>
  <c r="M12" i="8"/>
  <c r="M13" i="8"/>
  <c r="M14" i="8"/>
  <c r="M15" i="8"/>
  <c r="M17" i="8"/>
  <c r="M20" i="8"/>
  <c r="M21" i="8"/>
  <c r="M22" i="8"/>
  <c r="M25" i="8"/>
  <c r="M26" i="8"/>
  <c r="M27" i="8"/>
  <c r="M28" i="8"/>
  <c r="M29" i="8"/>
  <c r="M349" i="8"/>
  <c r="M473" i="8"/>
  <c r="M32" i="8"/>
  <c r="M42" i="8"/>
  <c r="M45" i="8"/>
  <c r="M46" i="8"/>
  <c r="M470" i="8"/>
  <c r="M47" i="8"/>
  <c r="M48" i="8"/>
  <c r="M153" i="8"/>
  <c r="M49" i="8"/>
  <c r="M50" i="8"/>
  <c r="M51" i="8"/>
  <c r="M52" i="8"/>
  <c r="M53" i="8"/>
  <c r="M54" i="8"/>
  <c r="M156" i="8"/>
  <c r="M55" i="8"/>
  <c r="M56" i="8"/>
  <c r="M138" i="8"/>
  <c r="M445" i="8"/>
  <c r="M57" i="8"/>
  <c r="M58" i="8"/>
  <c r="M59" i="8"/>
  <c r="M159" i="8"/>
  <c r="M36" i="8"/>
  <c r="M60" i="8"/>
  <c r="M61" i="8"/>
  <c r="M457" i="8"/>
  <c r="M62" i="8"/>
  <c r="M63" i="8"/>
  <c r="M64" i="8"/>
  <c r="M65" i="8"/>
  <c r="M66" i="8"/>
  <c r="M154" i="8"/>
  <c r="M120" i="8"/>
  <c r="M67" i="8"/>
  <c r="M68" i="8"/>
  <c r="M126" i="8"/>
  <c r="M69" i="8"/>
  <c r="M70" i="8"/>
  <c r="M71" i="8"/>
  <c r="M72" i="8"/>
  <c r="M73" i="8"/>
  <c r="M74" i="8"/>
  <c r="M75" i="8"/>
  <c r="M76" i="8"/>
  <c r="M469" i="8"/>
  <c r="M77" i="8"/>
  <c r="M451" i="8"/>
  <c r="M78" i="8"/>
  <c r="M79" i="8"/>
  <c r="M80" i="8"/>
  <c r="M81" i="8"/>
  <c r="M145" i="8"/>
  <c r="M82" i="8"/>
  <c r="M466" i="8"/>
  <c r="M83" i="8"/>
  <c r="M91" i="8"/>
  <c r="M92" i="8"/>
  <c r="M93" i="8"/>
  <c r="M94" i="8"/>
  <c r="M95" i="8"/>
  <c r="M96" i="8"/>
  <c r="M98" i="8"/>
  <c r="M99" i="8"/>
  <c r="M100" i="8"/>
  <c r="M157" i="8"/>
  <c r="M101" i="8"/>
  <c r="M102" i="8"/>
  <c r="M103" i="8"/>
  <c r="M104" i="8"/>
  <c r="M105" i="8"/>
  <c r="M158" i="8"/>
  <c r="M106" i="8"/>
  <c r="M463" i="8"/>
  <c r="M165" i="8"/>
  <c r="M166" i="8"/>
  <c r="M167" i="8"/>
  <c r="M168" i="8"/>
  <c r="M169" i="8"/>
  <c r="M170" i="8"/>
  <c r="M446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15" i="8"/>
  <c r="M453" i="8"/>
  <c r="M134" i="8"/>
  <c r="M184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9" i="8"/>
  <c r="M210" i="8"/>
  <c r="M149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4" i="8"/>
  <c r="M235" i="8"/>
  <c r="M236" i="8"/>
  <c r="M237" i="8"/>
  <c r="M238" i="8"/>
  <c r="M239" i="8"/>
  <c r="M240" i="8"/>
  <c r="M241" i="8"/>
  <c r="M242" i="8"/>
  <c r="M243" i="8"/>
  <c r="M244" i="8"/>
  <c r="M246" i="8"/>
  <c r="M247" i="8"/>
  <c r="M248" i="8"/>
  <c r="M249" i="8"/>
  <c r="M250" i="8"/>
  <c r="M251" i="8"/>
  <c r="M132" i="8"/>
  <c r="M252" i="8"/>
  <c r="M131" i="8"/>
  <c r="M253" i="8"/>
  <c r="M254" i="8"/>
  <c r="M255" i="8"/>
  <c r="M256" i="8"/>
  <c r="M257" i="8"/>
  <c r="M258" i="8"/>
  <c r="M259" i="8"/>
  <c r="M261" i="8"/>
  <c r="M262" i="8"/>
  <c r="M263" i="8"/>
  <c r="M264" i="8"/>
  <c r="M265" i="8"/>
  <c r="M266" i="8"/>
  <c r="M450" i="8"/>
  <c r="M267" i="8"/>
  <c r="M268" i="8"/>
  <c r="M269" i="8"/>
  <c r="M270" i="8"/>
  <c r="M271" i="8"/>
  <c r="M272" i="8"/>
  <c r="M273" i="8"/>
  <c r="M274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464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3" i="8"/>
  <c r="M304" i="8"/>
  <c r="M305" i="8"/>
  <c r="M307" i="8"/>
  <c r="M308" i="8"/>
  <c r="M309" i="8"/>
  <c r="M310" i="8"/>
  <c r="M312" i="8"/>
  <c r="M119" i="8"/>
  <c r="M313" i="8"/>
  <c r="M314" i="8"/>
  <c r="M315" i="8"/>
  <c r="M316" i="8"/>
  <c r="M317" i="8"/>
  <c r="M318" i="8"/>
  <c r="M319" i="8"/>
  <c r="M320" i="8"/>
  <c r="M321" i="8"/>
  <c r="M322" i="8"/>
  <c r="M323" i="8"/>
  <c r="M455" i="8"/>
  <c r="M324" i="8"/>
  <c r="M325" i="8"/>
  <c r="M326" i="8"/>
  <c r="M327" i="8"/>
  <c r="M121" i="8"/>
  <c r="M329" i="8"/>
  <c r="M330" i="8"/>
  <c r="M332" i="8"/>
  <c r="M333" i="8"/>
  <c r="M334" i="8"/>
  <c r="M335" i="8"/>
  <c r="M336" i="8"/>
  <c r="M337" i="8"/>
  <c r="M338" i="8"/>
  <c r="M339" i="8"/>
  <c r="M448" i="8"/>
  <c r="M340" i="8"/>
  <c r="M341" i="8"/>
  <c r="M110" i="8"/>
  <c r="M342" i="8"/>
  <c r="M344" i="8"/>
  <c r="M447" i="8"/>
  <c r="M345" i="8"/>
  <c r="M108" i="8"/>
  <c r="M346" i="8"/>
  <c r="M350" i="8"/>
  <c r="M351" i="8"/>
  <c r="M352" i="8"/>
  <c r="M353" i="8"/>
  <c r="M355" i="8"/>
  <c r="M356" i="8"/>
  <c r="M357" i="8"/>
  <c r="M359" i="8"/>
  <c r="M360" i="8"/>
  <c r="M361" i="8"/>
  <c r="M362" i="8"/>
  <c r="M363" i="8"/>
  <c r="M364" i="8"/>
  <c r="M365" i="8"/>
  <c r="M367" i="8"/>
  <c r="M368" i="8"/>
  <c r="M369" i="8"/>
  <c r="M372" i="8"/>
  <c r="M373" i="8"/>
  <c r="M374" i="8"/>
  <c r="M375" i="8"/>
  <c r="M376" i="8"/>
  <c r="M377" i="8"/>
  <c r="M23" i="8"/>
  <c r="M378" i="8"/>
  <c r="M379" i="8"/>
  <c r="M380" i="8"/>
  <c r="M137" i="8"/>
  <c r="M384" i="8"/>
  <c r="M385" i="8"/>
  <c r="M387" i="8"/>
  <c r="M388" i="8"/>
  <c r="M389" i="8"/>
  <c r="M390" i="8"/>
  <c r="M391" i="8"/>
  <c r="M393" i="8"/>
  <c r="M114" i="8"/>
  <c r="M394" i="8"/>
  <c r="M395" i="8"/>
  <c r="M396" i="8"/>
  <c r="M397" i="8"/>
  <c r="M398" i="8"/>
  <c r="M399" i="8"/>
  <c r="M400" i="8"/>
  <c r="M402" i="8"/>
  <c r="M403" i="8"/>
  <c r="M404" i="8"/>
  <c r="M405" i="8"/>
  <c r="M406" i="8"/>
  <c r="M407" i="8"/>
  <c r="M408" i="8"/>
  <c r="M410" i="8"/>
  <c r="M411" i="8"/>
  <c r="M412" i="8"/>
  <c r="M413" i="8"/>
  <c r="M414" i="8"/>
  <c r="M415" i="8"/>
  <c r="M416" i="8"/>
  <c r="M417" i="8"/>
  <c r="M418" i="8"/>
  <c r="M419" i="8"/>
  <c r="M421" i="8"/>
  <c r="M422" i="8"/>
  <c r="M423" i="8"/>
  <c r="M424" i="8"/>
  <c r="M471" i="8"/>
  <c r="M425" i="8"/>
  <c r="M427" i="8"/>
  <c r="M428" i="8"/>
  <c r="M127" i="8"/>
  <c r="M429" i="8"/>
  <c r="M430" i="8"/>
  <c r="M431" i="8"/>
  <c r="M432" i="8"/>
  <c r="M433" i="8"/>
  <c r="M434" i="8"/>
  <c r="M435" i="8"/>
  <c r="M436" i="8"/>
  <c r="M437" i="8"/>
  <c r="M438" i="8"/>
  <c r="M439" i="8"/>
  <c r="M441" i="8"/>
  <c r="M442" i="8"/>
  <c r="M443" i="8"/>
  <c r="M38" i="8"/>
  <c r="M163" i="8"/>
  <c r="M37" i="8"/>
  <c r="M33" i="8"/>
  <c r="M34" i="8"/>
  <c r="M465" i="8"/>
  <c r="M107" i="8"/>
  <c r="M474" i="8"/>
  <c r="M456" i="8"/>
  <c r="M452" i="8"/>
  <c r="M155" i="8"/>
  <c r="M129" i="8"/>
  <c r="M476" i="8"/>
  <c r="M477" i="8"/>
  <c r="M478" i="8"/>
  <c r="M479" i="8"/>
  <c r="M480" i="8"/>
  <c r="M460" i="8"/>
  <c r="M481" i="8"/>
  <c r="M124" i="8"/>
  <c r="M161" i="8"/>
  <c r="M111" i="8"/>
  <c r="M113" i="8"/>
  <c r="M141" i="8"/>
  <c r="M482" i="8"/>
  <c r="M483" i="8"/>
  <c r="M484" i="8"/>
  <c r="M116" i="8"/>
  <c r="M485" i="8"/>
  <c r="M472" i="8"/>
  <c r="M147" i="8"/>
  <c r="M128" i="8"/>
  <c r="M148" i="8"/>
  <c r="M39" i="8"/>
  <c r="M109" i="8"/>
  <c r="M486" i="8"/>
  <c r="M18" i="8"/>
  <c r="M133" i="8"/>
  <c r="M118" i="8"/>
  <c r="M487" i="8"/>
  <c r="M488" i="8"/>
  <c r="M140" i="8"/>
  <c r="M125" i="8"/>
  <c r="M454" i="8"/>
  <c r="M489" i="8"/>
  <c r="M142" i="8"/>
  <c r="M490" i="8"/>
  <c r="N51" i="8" l="1"/>
  <c r="N457" i="8"/>
  <c r="N163" i="8" l="1"/>
  <c r="N489" i="8"/>
  <c r="N140" i="8"/>
  <c r="N485" i="8"/>
  <c r="N488" i="8"/>
  <c r="N116" i="8"/>
  <c r="N454" i="8"/>
  <c r="N481" i="8"/>
  <c r="N39" i="8"/>
  <c r="N103" i="8"/>
  <c r="N460" i="8"/>
  <c r="N487" i="8"/>
  <c r="N55" i="8"/>
  <c r="N148" i="8"/>
  <c r="N118" i="8"/>
  <c r="N117" i="8"/>
  <c r="N128" i="8"/>
  <c r="N479" i="8"/>
  <c r="N99" i="8"/>
  <c r="N484" i="8"/>
  <c r="N133" i="8"/>
  <c r="N483" i="8"/>
  <c r="N18" i="8"/>
  <c r="N106" i="8"/>
  <c r="N443" i="8"/>
  <c r="N125" i="8"/>
  <c r="N486" i="8"/>
  <c r="N482" i="8"/>
  <c r="N141" i="8"/>
  <c r="N82" i="8"/>
  <c r="N478" i="8"/>
  <c r="N109" i="8"/>
  <c r="N477" i="8"/>
  <c r="N98" i="8"/>
  <c r="N476" i="8"/>
  <c r="N105" i="8"/>
  <c r="N113" i="8"/>
  <c r="N150" i="8"/>
  <c r="N157" i="8"/>
  <c r="N104" i="8"/>
  <c r="N101" i="8"/>
  <c r="N80" i="8"/>
  <c r="N88" i="8"/>
  <c r="N129" i="8"/>
  <c r="N442" i="8"/>
  <c r="N441" i="8"/>
  <c r="N369" i="8"/>
  <c r="N394" i="8"/>
  <c r="N422" i="8"/>
  <c r="N385" i="8"/>
  <c r="N421" i="8"/>
  <c r="N384" i="8"/>
  <c r="N114" i="8"/>
  <c r="N107" i="8"/>
  <c r="N137" i="8"/>
  <c r="N419" i="8"/>
  <c r="N439" i="8"/>
  <c r="N380" i="8"/>
  <c r="N438" i="8"/>
  <c r="N437" i="8"/>
  <c r="N418" i="8"/>
  <c r="N368" i="8"/>
  <c r="N417" i="8"/>
  <c r="N436" i="8"/>
  <c r="N416" i="8"/>
  <c r="N415" i="8"/>
  <c r="N414" i="8"/>
  <c r="N413" i="8"/>
  <c r="N412" i="8"/>
  <c r="N411" i="8"/>
  <c r="N410" i="8"/>
  <c r="N367" i="8"/>
  <c r="N435" i="8"/>
  <c r="N408" i="8"/>
  <c r="N379" i="8"/>
  <c r="N365" i="8"/>
  <c r="N364" i="8"/>
  <c r="N363" i="8"/>
  <c r="N362" i="8"/>
  <c r="N407" i="8"/>
  <c r="N361" i="8"/>
  <c r="N360" i="8"/>
  <c r="N406" i="8"/>
  <c r="N434" i="8"/>
  <c r="N359" i="8"/>
  <c r="N378" i="8"/>
  <c r="N357" i="8"/>
  <c r="N356" i="8"/>
  <c r="N405" i="8"/>
  <c r="N404" i="8"/>
  <c r="N403" i="8"/>
  <c r="N124" i="8"/>
  <c r="N23" i="8"/>
  <c r="N393" i="8"/>
  <c r="N391" i="8"/>
  <c r="N158" i="8"/>
  <c r="N402" i="8"/>
  <c r="N433" i="8"/>
  <c r="N390" i="8"/>
  <c r="N432" i="8"/>
  <c r="N389" i="8"/>
  <c r="N452" i="8"/>
  <c r="N377" i="8"/>
  <c r="N355" i="8"/>
  <c r="N354" i="8"/>
  <c r="N388" i="8"/>
  <c r="N387" i="8"/>
  <c r="N375" i="8"/>
  <c r="N374" i="8"/>
  <c r="N373" i="8"/>
  <c r="N353" i="8"/>
  <c r="N372" i="8"/>
  <c r="N280" i="8"/>
  <c r="N279" i="8"/>
  <c r="N401" i="8"/>
  <c r="N352" i="8"/>
  <c r="N431" i="8"/>
  <c r="N277" i="8"/>
  <c r="N430" i="8"/>
  <c r="N108" i="8"/>
  <c r="N351" i="8"/>
  <c r="N345" i="8"/>
  <c r="N400" i="8"/>
  <c r="N232" i="8"/>
  <c r="N276" i="8"/>
  <c r="N275" i="8"/>
  <c r="N447" i="8"/>
  <c r="N242" i="8"/>
  <c r="N429" i="8"/>
  <c r="N344" i="8"/>
  <c r="N343" i="8"/>
  <c r="N240" i="8"/>
  <c r="N308" i="8"/>
  <c r="N239" i="8"/>
  <c r="N348" i="8"/>
  <c r="N347" i="8"/>
  <c r="N306" i="8"/>
  <c r="N305" i="8"/>
  <c r="N304" i="8"/>
  <c r="N273" i="8"/>
  <c r="N110" i="8"/>
  <c r="N341" i="8"/>
  <c r="N272" i="8"/>
  <c r="N340" i="8"/>
  <c r="N448" i="8"/>
  <c r="N339" i="8"/>
  <c r="N303" i="8"/>
  <c r="N33" i="8"/>
  <c r="N302" i="8"/>
  <c r="N301" i="8"/>
  <c r="N231" i="8"/>
  <c r="N230" i="8"/>
  <c r="N336" i="8"/>
  <c r="N335" i="8"/>
  <c r="N229" i="8"/>
  <c r="N300" i="8"/>
  <c r="N299" i="8"/>
  <c r="N298" i="8"/>
  <c r="N334" i="8"/>
  <c r="N228" i="8"/>
  <c r="N333" i="8"/>
  <c r="N238" i="8"/>
  <c r="N237" i="8"/>
  <c r="N236" i="8"/>
  <c r="N332" i="8"/>
  <c r="N331" i="8"/>
  <c r="N330" i="8"/>
  <c r="N270" i="8"/>
  <c r="N329" i="8"/>
  <c r="N227" i="8"/>
  <c r="N297" i="8"/>
  <c r="N269" i="8"/>
  <c r="N226" i="8"/>
  <c r="N296" i="8"/>
  <c r="N295" i="8"/>
  <c r="N225" i="8"/>
  <c r="N328" i="8"/>
  <c r="N121" i="8"/>
  <c r="N224" i="8"/>
  <c r="N267" i="8"/>
  <c r="N327" i="8"/>
  <c r="N326" i="8"/>
  <c r="N325" i="8"/>
  <c r="N450" i="8"/>
  <c r="N294" i="8"/>
  <c r="N324" i="8"/>
  <c r="N293" i="8"/>
  <c r="N292" i="8"/>
  <c r="N291" i="8"/>
  <c r="N473" i="8"/>
  <c r="N290" i="8"/>
  <c r="N289" i="8"/>
  <c r="N464" i="8"/>
  <c r="N235" i="8"/>
  <c r="N223" i="8"/>
  <c r="N288" i="8"/>
  <c r="N287" i="8"/>
  <c r="N286" i="8"/>
  <c r="N323" i="8"/>
  <c r="N285" i="8"/>
  <c r="N266" i="8"/>
  <c r="N265" i="8"/>
  <c r="N264" i="8"/>
  <c r="N284" i="8"/>
  <c r="N221" i="8"/>
  <c r="N263" i="8"/>
  <c r="N160" i="8"/>
  <c r="N262" i="8"/>
  <c r="N261" i="8"/>
  <c r="N127" i="8"/>
  <c r="N321" i="8"/>
  <c r="N283" i="8"/>
  <c r="N428" i="8"/>
  <c r="N320" i="8"/>
  <c r="N260" i="8"/>
  <c r="N259" i="8"/>
  <c r="N220" i="8"/>
  <c r="N258" i="8"/>
  <c r="N257" i="8"/>
  <c r="N256" i="8"/>
  <c r="N255" i="8"/>
  <c r="N318" i="8"/>
  <c r="N317" i="8"/>
  <c r="N254" i="8"/>
  <c r="N316" i="8"/>
  <c r="N282" i="8"/>
  <c r="N399" i="8"/>
  <c r="N253" i="8"/>
  <c r="N350" i="8"/>
  <c r="N315" i="8"/>
  <c r="N37" i="8"/>
  <c r="N131" i="8"/>
  <c r="N252" i="8"/>
  <c r="N314" i="8"/>
  <c r="N313" i="8"/>
  <c r="N132" i="8"/>
  <c r="N219" i="8"/>
  <c r="N251" i="8"/>
  <c r="N111" i="8"/>
  <c r="N119" i="8"/>
  <c r="N398" i="8"/>
  <c r="N312" i="8"/>
  <c r="N250" i="8"/>
  <c r="N249" i="8"/>
  <c r="N427" i="8"/>
  <c r="N397" i="8"/>
  <c r="N311" i="8"/>
  <c r="N248" i="8"/>
  <c r="N218" i="8"/>
  <c r="N247" i="8"/>
  <c r="N234" i="8"/>
  <c r="N233" i="8"/>
  <c r="N246" i="8"/>
  <c r="N217" i="8"/>
  <c r="N216" i="8"/>
  <c r="N215" i="8"/>
  <c r="N309" i="8"/>
  <c r="N214" i="8"/>
  <c r="N245" i="8"/>
  <c r="N244" i="8"/>
  <c r="N213" i="8"/>
  <c r="N243" i="8"/>
  <c r="N211" i="8"/>
  <c r="N207" i="8"/>
  <c r="N206" i="8"/>
  <c r="N205" i="8"/>
  <c r="N204" i="8"/>
  <c r="N201" i="8"/>
  <c r="N149" i="8"/>
  <c r="N203" i="8"/>
  <c r="N202" i="8"/>
  <c r="N200" i="8"/>
  <c r="N210" i="8"/>
  <c r="N199" i="8"/>
  <c r="N426" i="8"/>
  <c r="N197" i="8"/>
  <c r="N209" i="8"/>
  <c r="N196" i="8"/>
  <c r="N198" i="8"/>
  <c r="N208" i="8"/>
  <c r="N175" i="8"/>
  <c r="N115" i="8"/>
  <c r="N194" i="8"/>
  <c r="N183" i="8"/>
  <c r="N182" i="8"/>
  <c r="N192" i="8"/>
  <c r="N191" i="8"/>
  <c r="N174" i="8"/>
  <c r="N181" i="8"/>
  <c r="N167" i="8"/>
  <c r="N180" i="8"/>
  <c r="N190" i="8"/>
  <c r="N189" i="8"/>
  <c r="N169" i="8"/>
  <c r="N179" i="8"/>
  <c r="N168" i="8"/>
  <c r="N188" i="8"/>
  <c r="N187" i="8"/>
  <c r="N173" i="8"/>
  <c r="N186" i="8"/>
  <c r="N178" i="8"/>
  <c r="N185" i="8"/>
  <c r="N184" i="8"/>
  <c r="N166" i="8"/>
  <c r="N177" i="8"/>
  <c r="N171" i="8"/>
  <c r="N425" i="8"/>
  <c r="N134" i="8"/>
  <c r="N396" i="8"/>
  <c r="N165" i="8"/>
  <c r="N446" i="8"/>
  <c r="N453" i="8"/>
  <c r="N176" i="8"/>
  <c r="N463" i="8"/>
  <c r="N170" i="8"/>
  <c r="N153" i="8"/>
  <c r="N85" i="8"/>
  <c r="N123" i="8"/>
  <c r="N81" i="8"/>
  <c r="N54" i="8"/>
  <c r="N90" i="8"/>
  <c r="N50" i="8"/>
  <c r="N87" i="8"/>
  <c r="N70" i="8"/>
  <c r="N49" i="8"/>
  <c r="N73" i="8"/>
  <c r="N89" i="8"/>
  <c r="N66" i="8"/>
  <c r="N102" i="8"/>
  <c r="N145" i="8"/>
  <c r="N71" i="8"/>
  <c r="N78" i="8"/>
  <c r="N53" i="8"/>
  <c r="N72" i="8"/>
  <c r="N470" i="8"/>
  <c r="N472" i="8"/>
  <c r="N77" i="8"/>
  <c r="N138" i="8"/>
  <c r="N75" i="8"/>
  <c r="N154" i="8"/>
  <c r="N47" i="8"/>
  <c r="N451" i="8"/>
  <c r="N61" i="8"/>
  <c r="N84" i="8"/>
  <c r="N466" i="8"/>
  <c r="N126" i="8"/>
  <c r="N456" i="8"/>
  <c r="N62" i="8"/>
  <c r="N445" i="8"/>
  <c r="N36" i="8"/>
  <c r="N14" i="8"/>
  <c r="N83" i="8"/>
  <c r="N67" i="8"/>
  <c r="N465" i="8"/>
  <c r="N159" i="8"/>
  <c r="N42" i="8"/>
  <c r="N86" i="8"/>
  <c r="N56" i="8"/>
  <c r="N5" i="8"/>
  <c r="N65" i="8"/>
  <c r="N395" i="8"/>
  <c r="N60" i="8"/>
  <c r="N424" i="8"/>
  <c r="N120" i="8"/>
  <c r="N79" i="8"/>
  <c r="N46" i="8"/>
  <c r="N423" i="8"/>
  <c r="N17" i="8"/>
  <c r="N74" i="8"/>
  <c r="N155" i="8"/>
  <c r="N76" i="8"/>
  <c r="N63" i="8"/>
  <c r="N469" i="8"/>
  <c r="N161" i="8"/>
  <c r="N69" i="8"/>
  <c r="N59" i="8"/>
  <c r="N68" i="8"/>
  <c r="N57" i="8"/>
  <c r="N48" i="8"/>
  <c r="N58" i="8"/>
  <c r="N52" i="8"/>
  <c r="N156" i="8"/>
  <c r="N152" i="8"/>
  <c r="N3" i="8"/>
  <c r="N64" i="8"/>
  <c r="N45" i="8"/>
  <c r="N34" i="8"/>
  <c r="N32" i="8"/>
  <c r="N349" i="8"/>
  <c r="N38" i="8"/>
  <c r="N29" i="8"/>
  <c r="N27" i="8"/>
  <c r="N28" i="8"/>
  <c r="N25" i="8"/>
  <c r="N22" i="8"/>
  <c r="N21" i="8"/>
  <c r="N20" i="8"/>
  <c r="N474" i="8"/>
  <c r="N15" i="8"/>
  <c r="N7" i="8"/>
  <c r="N12" i="8"/>
  <c r="N11" i="8"/>
  <c r="N10" i="8"/>
  <c r="N4" i="8"/>
  <c r="N6" i="8"/>
  <c r="N8" i="8"/>
  <c r="N13" i="8"/>
  <c r="I4" i="3" l="1"/>
  <c r="H4" i="3"/>
  <c r="J4" i="3"/>
  <c r="I3" i="3" l="1"/>
  <c r="H3" i="3"/>
  <c r="J3" i="3"/>
  <c r="I27" i="3" l="1"/>
  <c r="J27" i="3"/>
  <c r="H27" i="3"/>
</calcChain>
</file>

<file path=xl/sharedStrings.xml><?xml version="1.0" encoding="utf-8"?>
<sst xmlns="http://schemas.openxmlformats.org/spreadsheetml/2006/main" count="4120" uniqueCount="729">
  <si>
    <t>Symb</t>
  </si>
  <si>
    <t>Buy</t>
  </si>
  <si>
    <t>Top</t>
  </si>
  <si>
    <t>KOS</t>
  </si>
  <si>
    <t>COP</t>
  </si>
  <si>
    <t>OXY</t>
  </si>
  <si>
    <t>MOS</t>
  </si>
  <si>
    <t>LBRT</t>
  </si>
  <si>
    <t>DDS</t>
  </si>
  <si>
    <t>FANG</t>
  </si>
  <si>
    <t>RYI</t>
  </si>
  <si>
    <t>ADM</t>
  </si>
  <si>
    <t>CEG</t>
  </si>
  <si>
    <t>XLE</t>
  </si>
  <si>
    <t>XLP</t>
  </si>
  <si>
    <t>XOP</t>
  </si>
  <si>
    <t>IYE</t>
  </si>
  <si>
    <t>SPY</t>
  </si>
  <si>
    <t>OMFL</t>
  </si>
  <si>
    <t>STLD</t>
  </si>
  <si>
    <t>R</t>
  </si>
  <si>
    <t>G</t>
  </si>
  <si>
    <t>DVN</t>
  </si>
  <si>
    <t>PSX</t>
  </si>
  <si>
    <t>BG</t>
  </si>
  <si>
    <t>CDC</t>
  </si>
  <si>
    <t>CTRA</t>
  </si>
  <si>
    <t>CVEO</t>
  </si>
  <si>
    <t>HOLX</t>
  </si>
  <si>
    <t>APA</t>
  </si>
  <si>
    <t>CF</t>
  </si>
  <si>
    <t>CMC</t>
  </si>
  <si>
    <t>XES</t>
  </si>
  <si>
    <t>HRL</t>
  </si>
  <si>
    <t>CAAP</t>
  </si>
  <si>
    <t>CI</t>
  </si>
  <si>
    <t>GTX</t>
  </si>
  <si>
    <t>WMB</t>
  </si>
  <si>
    <t>MOH</t>
  </si>
  <si>
    <t>LLY</t>
  </si>
  <si>
    <t>FMC</t>
  </si>
  <si>
    <t>Machinery</t>
  </si>
  <si>
    <t>MRK</t>
  </si>
  <si>
    <t>PGR</t>
  </si>
  <si>
    <t>NRG</t>
  </si>
  <si>
    <t>BXC</t>
  </si>
  <si>
    <t>VLO</t>
  </si>
  <si>
    <t>MYE</t>
  </si>
  <si>
    <t>GPK</t>
  </si>
  <si>
    <t>HNRG</t>
  </si>
  <si>
    <t>Stop</t>
  </si>
  <si>
    <t>Target</t>
  </si>
  <si>
    <t>ON</t>
  </si>
  <si>
    <t>XLV</t>
  </si>
  <si>
    <t>DY</t>
  </si>
  <si>
    <t>MNST</t>
  </si>
  <si>
    <t>SJM</t>
  </si>
  <si>
    <t>TSLA</t>
  </si>
  <si>
    <t>HII</t>
  </si>
  <si>
    <t>NOC</t>
  </si>
  <si>
    <t>MU</t>
  </si>
  <si>
    <t>AAPL</t>
  </si>
  <si>
    <t>GWW</t>
  </si>
  <si>
    <t>oil</t>
  </si>
  <si>
    <t>transport</t>
  </si>
  <si>
    <t>healthcare</t>
  </si>
  <si>
    <t>health equip</t>
  </si>
  <si>
    <t>chemicals</t>
  </si>
  <si>
    <t>food</t>
  </si>
  <si>
    <t>packaging</t>
  </si>
  <si>
    <t>coal</t>
  </si>
  <si>
    <t>ARLP</t>
  </si>
  <si>
    <t>construction</t>
  </si>
  <si>
    <t>metal</t>
  </si>
  <si>
    <t>energy ETF</t>
  </si>
  <si>
    <t>food &amp; drug</t>
  </si>
  <si>
    <t>CNC</t>
  </si>
  <si>
    <t>VRTX</t>
  </si>
  <si>
    <t>EXEL</t>
  </si>
  <si>
    <t>PEP</t>
  </si>
  <si>
    <t>ASRT</t>
  </si>
  <si>
    <t>TAP</t>
  </si>
  <si>
    <t>GO</t>
  </si>
  <si>
    <t>COST</t>
  </si>
  <si>
    <t>QCOM</t>
  </si>
  <si>
    <t>IBM</t>
  </si>
  <si>
    <t>EVTV</t>
  </si>
  <si>
    <t>pharma</t>
  </si>
  <si>
    <t>Semiconductors</t>
  </si>
  <si>
    <t>auto</t>
  </si>
  <si>
    <t>HPQ</t>
  </si>
  <si>
    <t>comp</t>
  </si>
  <si>
    <t>health</t>
  </si>
  <si>
    <t>AVO</t>
  </si>
  <si>
    <t>beverages</t>
  </si>
  <si>
    <t>semiconductor</t>
  </si>
  <si>
    <t>defence</t>
  </si>
  <si>
    <t>utilities</t>
  </si>
  <si>
    <t>staples ETF</t>
  </si>
  <si>
    <t>software</t>
  </si>
  <si>
    <t>biotech</t>
  </si>
  <si>
    <t>GNE</t>
  </si>
  <si>
    <t>HRB</t>
  </si>
  <si>
    <t>taxes</t>
  </si>
  <si>
    <t>IT Services</t>
  </si>
  <si>
    <t>CDNS</t>
  </si>
  <si>
    <t>HAL</t>
  </si>
  <si>
    <t>electic utilities</t>
  </si>
  <si>
    <t>T</t>
  </si>
  <si>
    <t>RELL</t>
  </si>
  <si>
    <t>Electronic Equipment</t>
  </si>
  <si>
    <t>RF</t>
  </si>
  <si>
    <t>DORM</t>
  </si>
  <si>
    <t>TH</t>
  </si>
  <si>
    <t>K</t>
  </si>
  <si>
    <t>QUIK</t>
  </si>
  <si>
    <t>GEF</t>
  </si>
  <si>
    <t>LYB</t>
  </si>
  <si>
    <t>gas</t>
  </si>
  <si>
    <t>hotels</t>
  </si>
  <si>
    <t>TECK</t>
  </si>
  <si>
    <t>metals</t>
  </si>
  <si>
    <t>WAB</t>
  </si>
  <si>
    <t>AES</t>
  </si>
  <si>
    <t>FNKO</t>
  </si>
  <si>
    <t>toys</t>
  </si>
  <si>
    <t>MRC</t>
  </si>
  <si>
    <t>XLK</t>
  </si>
  <si>
    <t>AVT</t>
  </si>
  <si>
    <t>electronics</t>
  </si>
  <si>
    <t>tech ETF</t>
  </si>
  <si>
    <t>PAVE</t>
  </si>
  <si>
    <t>infrastructure</t>
  </si>
  <si>
    <t>JKHY</t>
  </si>
  <si>
    <t>AT&amp;T</t>
  </si>
  <si>
    <t>CC</t>
  </si>
  <si>
    <t>Biotechnology</t>
  </si>
  <si>
    <t>MYRG</t>
  </si>
  <si>
    <t xml:space="preserve">electrical </t>
  </si>
  <si>
    <t>TMUS</t>
  </si>
  <si>
    <t>T-Mobile</t>
  </si>
  <si>
    <t>ALSN</t>
  </si>
  <si>
    <t>ULTA</t>
  </si>
  <si>
    <t>SQLV</t>
  </si>
  <si>
    <t>small-cap etf</t>
  </si>
  <si>
    <t>equipment</t>
  </si>
  <si>
    <t>retail</t>
  </si>
  <si>
    <t>banking</t>
  </si>
  <si>
    <t>MPWR</t>
  </si>
  <si>
    <t>semiconductors</t>
  </si>
  <si>
    <t>KOF</t>
  </si>
  <si>
    <t>coca</t>
  </si>
  <si>
    <t>natural resource</t>
  </si>
  <si>
    <t>OXM</t>
  </si>
  <si>
    <t>textiles</t>
  </si>
  <si>
    <t>Chemicals</t>
  </si>
  <si>
    <t>J</t>
  </si>
  <si>
    <t>BJ</t>
  </si>
  <si>
    <t>Left</t>
  </si>
  <si>
    <t>AMGN</t>
  </si>
  <si>
    <t>auto parts</t>
  </si>
  <si>
    <t>ADBE</t>
  </si>
  <si>
    <t>NUE</t>
  </si>
  <si>
    <t>ORCL</t>
  </si>
  <si>
    <t>Software</t>
  </si>
  <si>
    <t>PYPL</t>
  </si>
  <si>
    <t>FDX</t>
  </si>
  <si>
    <t>ALB</t>
  </si>
  <si>
    <t>construction supplies</t>
  </si>
  <si>
    <t>AVGO</t>
  </si>
  <si>
    <t>it service</t>
  </si>
  <si>
    <t>MO</t>
  </si>
  <si>
    <t>CBRE</t>
  </si>
  <si>
    <t>STZ</t>
  </si>
  <si>
    <t>DE</t>
  </si>
  <si>
    <t>EA</t>
  </si>
  <si>
    <t>GNRC</t>
  </si>
  <si>
    <t>MAS</t>
  </si>
  <si>
    <t>KHC</t>
  </si>
  <si>
    <t>MCK</t>
  </si>
  <si>
    <t>litium, EV</t>
  </si>
  <si>
    <t>RIVN</t>
  </si>
  <si>
    <t>EV</t>
  </si>
  <si>
    <t>CTAS</t>
  </si>
  <si>
    <t>uniforms</t>
  </si>
  <si>
    <t>Energy Equipment</t>
  </si>
  <si>
    <t>me research</t>
  </si>
  <si>
    <t>CLFD</t>
  </si>
  <si>
    <t>com equipment</t>
  </si>
  <si>
    <t>MBLY</t>
  </si>
  <si>
    <t>TQQQ</t>
  </si>
  <si>
    <t>CVCO</t>
  </si>
  <si>
    <t>CCS</t>
  </si>
  <si>
    <t>MPC</t>
  </si>
  <si>
    <t>SQQQ</t>
  </si>
  <si>
    <t>baverages</t>
  </si>
  <si>
    <t>volatility ETF</t>
  </si>
  <si>
    <t>multifactor ETF</t>
  </si>
  <si>
    <t>machinery</t>
  </si>
  <si>
    <t>CPB</t>
  </si>
  <si>
    <t>N G</t>
  </si>
  <si>
    <t>CMI</t>
  </si>
  <si>
    <t>Machinery disel-&gt;hydro</t>
  </si>
  <si>
    <t>metal/undervalueted</t>
  </si>
  <si>
    <t>CVX</t>
  </si>
  <si>
    <t>oil/gas Chevron</t>
  </si>
  <si>
    <t xml:space="preserve">oil/gas </t>
  </si>
  <si>
    <t>AR</t>
  </si>
  <si>
    <t>ZVIA</t>
  </si>
  <si>
    <t>NIO</t>
  </si>
  <si>
    <t>auto china</t>
  </si>
  <si>
    <t>V</t>
  </si>
  <si>
    <t>AMZN</t>
  </si>
  <si>
    <t>oil/gas</t>
  </si>
  <si>
    <t>NFLX</t>
  </si>
  <si>
    <t>Entertainment</t>
  </si>
  <si>
    <t>OMAB</t>
  </si>
  <si>
    <t>Transportation Infrastructure</t>
  </si>
  <si>
    <t>ANET</t>
  </si>
  <si>
    <t>Comm &amp; network</t>
  </si>
  <si>
    <t>CAT</t>
  </si>
  <si>
    <t>GILD</t>
  </si>
  <si>
    <t>RMD</t>
  </si>
  <si>
    <t>MET</t>
  </si>
  <si>
    <t>FTNT</t>
  </si>
  <si>
    <t>Q-ty</t>
  </si>
  <si>
    <t>TROW</t>
  </si>
  <si>
    <t>LHX</t>
  </si>
  <si>
    <t>ELV</t>
  </si>
  <si>
    <t>ACM</t>
  </si>
  <si>
    <t>MOG.A</t>
  </si>
  <si>
    <t>PSN</t>
  </si>
  <si>
    <t>HUM</t>
  </si>
  <si>
    <t>TJX</t>
  </si>
  <si>
    <t>ALGM</t>
  </si>
  <si>
    <t>ET</t>
  </si>
  <si>
    <t>BBY</t>
  </si>
  <si>
    <t>WRB</t>
  </si>
  <si>
    <t>UGI</t>
  </si>
  <si>
    <t>CPRT</t>
  </si>
  <si>
    <t>RJF</t>
  </si>
  <si>
    <t>oil/gas pipline</t>
  </si>
  <si>
    <t>PRTS</t>
  </si>
  <si>
    <t>RGA</t>
  </si>
  <si>
    <t>HIG</t>
  </si>
  <si>
    <t>SNPS</t>
  </si>
  <si>
    <t>KR</t>
  </si>
  <si>
    <t>NOV</t>
  </si>
  <si>
    <t>IBB</t>
  </si>
  <si>
    <t>Shoulder pattern</t>
  </si>
  <si>
    <t>UNFI</t>
  </si>
  <si>
    <t>CBRL</t>
  </si>
  <si>
    <t>SAIC</t>
  </si>
  <si>
    <t>ZION</t>
  </si>
  <si>
    <t>PFE</t>
  </si>
  <si>
    <t>Hotels Restaurants &amp; Leisure</t>
  </si>
  <si>
    <t>Electric Utilities</t>
  </si>
  <si>
    <t>N</t>
  </si>
  <si>
    <t>Bu</t>
  </si>
  <si>
    <t>N/</t>
  </si>
  <si>
    <t>Bu+</t>
  </si>
  <si>
    <t>N/Bu</t>
  </si>
  <si>
    <t>Be</t>
  </si>
  <si>
    <t>N/Be</t>
  </si>
  <si>
    <t>Be-</t>
  </si>
  <si>
    <t>Oil Gas &amp; Consumable Fuels</t>
  </si>
  <si>
    <t>Small Cap Value ETFs</t>
  </si>
  <si>
    <t>Metals &amp; Mining</t>
  </si>
  <si>
    <t>Construction &amp; Engineering</t>
  </si>
  <si>
    <t>Food Products</t>
  </si>
  <si>
    <t>Information Technology ETFs</t>
  </si>
  <si>
    <t>Health Care Providers</t>
  </si>
  <si>
    <t>Pharmaceuticals</t>
  </si>
  <si>
    <t>Beverages</t>
  </si>
  <si>
    <t>Automobiles</t>
  </si>
  <si>
    <t>Air Freight &amp; Logistics</t>
  </si>
  <si>
    <t>Aerospace &amp; Defense</t>
  </si>
  <si>
    <t>Containers &amp; Packaging</t>
  </si>
  <si>
    <t>Wireless Telecommunication</t>
  </si>
  <si>
    <t>Energy Equipment &amp; Services</t>
  </si>
  <si>
    <t>Professional Services</t>
  </si>
  <si>
    <t>Comm. Services &amp; Supplies</t>
  </si>
  <si>
    <t>Diversified Consumer Services</t>
  </si>
  <si>
    <t>Communications Equipment</t>
  </si>
  <si>
    <t>Specialty Retail</t>
  </si>
  <si>
    <t>Gas Utilities</t>
  </si>
  <si>
    <t>Tech. Hardware &amp; Storage</t>
  </si>
  <si>
    <t>Telecomm. Services</t>
  </si>
  <si>
    <t>Textiles/Apparel &amp; Luxury</t>
  </si>
  <si>
    <t>Health Care Equipment</t>
  </si>
  <si>
    <t>Health Care ETFs</t>
  </si>
  <si>
    <t>Banks</t>
  </si>
  <si>
    <t>Trading Comp. &amp; Dist.</t>
  </si>
  <si>
    <t>Capital Markets</t>
  </si>
  <si>
    <t>All Cap Blend ETFs</t>
  </si>
  <si>
    <t>Large Cap Blend ETFs</t>
  </si>
  <si>
    <t>Energy ETFs</t>
  </si>
  <si>
    <t>Consumer Staples ETFs</t>
  </si>
  <si>
    <t>Building Products</t>
  </si>
  <si>
    <t>Insurance</t>
  </si>
  <si>
    <t>Dividend Yield ETFs</t>
  </si>
  <si>
    <t>Global Equity ETFs</t>
  </si>
  <si>
    <t>Distributors</t>
  </si>
  <si>
    <t>MSFT</t>
  </si>
  <si>
    <t>LULU</t>
  </si>
  <si>
    <t>EQT</t>
  </si>
  <si>
    <t>IEP</t>
  </si>
  <si>
    <t>TXT</t>
  </si>
  <si>
    <t>THO</t>
  </si>
  <si>
    <t>EXPE</t>
  </si>
  <si>
    <t>Industrial Conglomerates</t>
  </si>
  <si>
    <t>CIEN</t>
  </si>
  <si>
    <t>MAA</t>
  </si>
  <si>
    <t>GSK</t>
  </si>
  <si>
    <t>JBL</t>
  </si>
  <si>
    <t>GDX</t>
  </si>
  <si>
    <t>AMD</t>
  </si>
  <si>
    <t>MRNA</t>
  </si>
  <si>
    <t>ACN</t>
  </si>
  <si>
    <t>GIS</t>
  </si>
  <si>
    <t>HEI</t>
  </si>
  <si>
    <t>fertilizer</t>
  </si>
  <si>
    <t>NKE</t>
  </si>
  <si>
    <t>Sell 8%</t>
  </si>
  <si>
    <t>ENPH</t>
  </si>
  <si>
    <t>Strong</t>
  </si>
  <si>
    <t>Weak</t>
  </si>
  <si>
    <t>Neutral</t>
  </si>
  <si>
    <t>Early</t>
  </si>
  <si>
    <t>Wait</t>
  </si>
  <si>
    <t>gold ETF</t>
  </si>
  <si>
    <t>UUP</t>
  </si>
  <si>
    <t>Household Durables</t>
  </si>
  <si>
    <t>DRI</t>
  </si>
  <si>
    <t>CALM</t>
  </si>
  <si>
    <t>Single Currency ETFs</t>
  </si>
  <si>
    <t>OIS</t>
  </si>
  <si>
    <t>SQM</t>
  </si>
  <si>
    <t>LW</t>
  </si>
  <si>
    <t>EPAM</t>
  </si>
  <si>
    <t>TMO</t>
  </si>
  <si>
    <t>Life Sciences Tools &amp; Services</t>
  </si>
  <si>
    <t>CRM</t>
  </si>
  <si>
    <t>DIOD</t>
  </si>
  <si>
    <t>CRUS</t>
  </si>
  <si>
    <t>ALL</t>
  </si>
  <si>
    <t>AAL</t>
  </si>
  <si>
    <t>UAL</t>
  </si>
  <si>
    <t>JPM</t>
  </si>
  <si>
    <t>BK</t>
  </si>
  <si>
    <t>ARCB</t>
  </si>
  <si>
    <t>MS</t>
  </si>
  <si>
    <t>EMR</t>
  </si>
  <si>
    <t>GS</t>
  </si>
  <si>
    <t>UDOW</t>
  </si>
  <si>
    <t>Leveraged Equities ETFs</t>
  </si>
  <si>
    <t>Electrical Equipment</t>
  </si>
  <si>
    <t>NTRS</t>
  </si>
  <si>
    <t>LMT</t>
  </si>
  <si>
    <t>XYL</t>
  </si>
  <si>
    <t>DHR</t>
  </si>
  <si>
    <t>RMBS</t>
  </si>
  <si>
    <t>TER</t>
  </si>
  <si>
    <t>CNXC</t>
  </si>
  <si>
    <t>JNJ</t>
  </si>
  <si>
    <t>POST</t>
  </si>
  <si>
    <t>TSN</t>
  </si>
  <si>
    <t>CAH</t>
  </si>
  <si>
    <t>Tobacco</t>
  </si>
  <si>
    <t>TLT</t>
  </si>
  <si>
    <t>CVNA</t>
  </si>
  <si>
    <t>KWEB</t>
  </si>
  <si>
    <t>META</t>
  </si>
  <si>
    <t>CB</t>
  </si>
  <si>
    <t>BA</t>
  </si>
  <si>
    <t>Interactive Media &amp; Services</t>
  </si>
  <si>
    <t>SWKS</t>
  </si>
  <si>
    <t>PH</t>
  </si>
  <si>
    <t>W</t>
  </si>
  <si>
    <t>PBR</t>
  </si>
  <si>
    <t>GOOGL</t>
  </si>
  <si>
    <t>AMP</t>
  </si>
  <si>
    <t>URI</t>
  </si>
  <si>
    <t>low price-to-sales ratios, high return on equity, excess free cash flow, and much more.</t>
  </si>
  <si>
    <t>LYFT</t>
  </si>
  <si>
    <t>Bu+ G</t>
  </si>
  <si>
    <t>ESNT</t>
  </si>
  <si>
    <t>NVDA</t>
  </si>
  <si>
    <t>LDOS</t>
  </si>
  <si>
    <t>AJG</t>
  </si>
  <si>
    <t>SEDG</t>
  </si>
  <si>
    <t>CG</t>
  </si>
  <si>
    <t>ITA</t>
  </si>
  <si>
    <t>DFEN</t>
  </si>
  <si>
    <t>Industrials ETFs</t>
  </si>
  <si>
    <t>NEM</t>
  </si>
  <si>
    <t>HD</t>
  </si>
  <si>
    <t>NDSN</t>
  </si>
  <si>
    <t>DPZ</t>
  </si>
  <si>
    <t>GM</t>
  </si>
  <si>
    <t>AMR</t>
  </si>
  <si>
    <t>SA</t>
  </si>
  <si>
    <t>ADSK</t>
  </si>
  <si>
    <t>CRBG</t>
  </si>
  <si>
    <t>spun off from  AIG</t>
  </si>
  <si>
    <t>UHS</t>
  </si>
  <si>
    <t>GPC</t>
  </si>
  <si>
    <t>QRVO</t>
  </si>
  <si>
    <t>RES</t>
  </si>
  <si>
    <t>MHK</t>
  </si>
  <si>
    <t>Above 200 MA</t>
  </si>
  <si>
    <t>SCHW</t>
  </si>
  <si>
    <t>EEFT</t>
  </si>
  <si>
    <t>BAC</t>
  </si>
  <si>
    <t>AIR</t>
  </si>
  <si>
    <t>Automobile Components</t>
  </si>
  <si>
    <t>Consumer Staples Distribution &amp; Retail</t>
  </si>
  <si>
    <t>Financial Services</t>
  </si>
  <si>
    <t>Broadline Retail</t>
  </si>
  <si>
    <t>Ground Transportation</t>
  </si>
  <si>
    <t>Passenger Airlines</t>
  </si>
  <si>
    <t>Residential REITs</t>
  </si>
  <si>
    <t>PAYC</t>
  </si>
  <si>
    <t>USB</t>
  </si>
  <si>
    <t>FCX</t>
  </si>
  <si>
    <t>Imre</t>
  </si>
  <si>
    <t>INTU</t>
  </si>
  <si>
    <t>LPLA</t>
  </si>
  <si>
    <t>CRL</t>
  </si>
  <si>
    <t>CDW</t>
  </si>
  <si>
    <t>BLDR</t>
  </si>
  <si>
    <t>RS</t>
  </si>
  <si>
    <t>WOR</t>
  </si>
  <si>
    <t>AMAT</t>
  </si>
  <si>
    <t>CZR</t>
  </si>
  <si>
    <r>
      <rPr>
        <sz val="11"/>
        <color rgb="FFFF0000"/>
        <rFont val="Calibri"/>
        <family val="2"/>
        <scheme val="minor"/>
      </rPr>
      <t>2 months</t>
    </r>
    <r>
      <rPr>
        <sz val="11"/>
        <rFont val="Calibri"/>
        <family val="2"/>
        <scheme val="minor"/>
      </rPr>
      <t xml:space="preserve"> cycle oil/gas pipline</t>
    </r>
  </si>
  <si>
    <t>Optimal</t>
  </si>
  <si>
    <t>QYLD</t>
  </si>
  <si>
    <t>NVO</t>
  </si>
  <si>
    <t>TDC</t>
  </si>
  <si>
    <t>PSA</t>
  </si>
  <si>
    <t>FAST</t>
  </si>
  <si>
    <t>Specialized REITs</t>
  </si>
  <si>
    <t>ZS</t>
  </si>
  <si>
    <t>Media</t>
  </si>
  <si>
    <t>STT</t>
  </si>
  <si>
    <t>HPE</t>
  </si>
  <si>
    <t>ABNB</t>
  </si>
  <si>
    <t>SNA</t>
  </si>
  <si>
    <t>LRCX</t>
  </si>
  <si>
    <t>DHI</t>
  </si>
  <si>
    <t>Government Issuer ETFs</t>
  </si>
  <si>
    <t>CARR</t>
  </si>
  <si>
    <t>XSW</t>
  </si>
  <si>
    <t>MSCI</t>
  </si>
  <si>
    <t>UPS</t>
  </si>
  <si>
    <t>ALGN</t>
  </si>
  <si>
    <t>CMCSA</t>
  </si>
  <si>
    <t>FSLR</t>
  </si>
  <si>
    <t>GPN</t>
  </si>
  <si>
    <t>EXPD</t>
  </si>
  <si>
    <t>RCL</t>
  </si>
  <si>
    <t>SBUX</t>
  </si>
  <si>
    <t>BIO</t>
  </si>
  <si>
    <t>WAL</t>
  </si>
  <si>
    <t>GSIT</t>
  </si>
  <si>
    <t>PCH</t>
  </si>
  <si>
    <t>ETSY</t>
  </si>
  <si>
    <t>PVH</t>
  </si>
  <si>
    <t>TGT</t>
  </si>
  <si>
    <t>XHB</t>
  </si>
  <si>
    <t>TTWO</t>
  </si>
  <si>
    <t>COF</t>
  </si>
  <si>
    <t>Consumer Finance</t>
  </si>
  <si>
    <t>SMCI</t>
  </si>
  <si>
    <t>MDT</t>
  </si>
  <si>
    <t>Leisure Products</t>
  </si>
  <si>
    <t>MDB</t>
  </si>
  <si>
    <t>ARKK</t>
  </si>
  <si>
    <t>WBD</t>
  </si>
  <si>
    <t>DOCU</t>
  </si>
  <si>
    <t>NCLH</t>
  </si>
  <si>
    <t>MAR</t>
  </si>
  <si>
    <t>Stocks need to be above their rising long-term trend</t>
  </si>
  <si>
    <t>The Chaikin Money Flow indicator needs to be persistently green </t>
  </si>
  <si>
    <t>~$100</t>
  </si>
  <si>
    <t>CCL</t>
  </si>
  <si>
    <t>HSY</t>
  </si>
  <si>
    <t>HACK</t>
  </si>
  <si>
    <t>CARZ</t>
  </si>
  <si>
    <t>KE</t>
  </si>
  <si>
    <t>KAI</t>
  </si>
  <si>
    <t>BOIL</t>
  </si>
  <si>
    <t>gas etf</t>
  </si>
  <si>
    <t>PANW</t>
  </si>
  <si>
    <t>F</t>
  </si>
  <si>
    <t>NXT</t>
  </si>
  <si>
    <t>SHLS</t>
  </si>
  <si>
    <t>IPG</t>
  </si>
  <si>
    <t>AXP</t>
  </si>
  <si>
    <t>ALK</t>
  </si>
  <si>
    <t>EBAY</t>
  </si>
  <si>
    <t>EW</t>
  </si>
  <si>
    <t>ROL</t>
  </si>
  <si>
    <t>LYV</t>
  </si>
  <si>
    <t>DXCM</t>
  </si>
  <si>
    <t>ROK</t>
  </si>
  <si>
    <t>If the stock market is going to rally, then junk bonds will likely rally first</t>
  </si>
  <si>
    <t>HYG</t>
  </si>
  <si>
    <t>DXC</t>
  </si>
  <si>
    <t>CRWD</t>
  </si>
  <si>
    <t>BOX</t>
  </si>
  <si>
    <t>MTZ</t>
  </si>
  <si>
    <t>ZM</t>
  </si>
  <si>
    <t>RS&gt;=0.6</t>
  </si>
  <si>
    <t>crosses above EMA21</t>
  </si>
  <si>
    <t>Price &gt; EMA5</t>
  </si>
  <si>
    <t>OBOS&lt;70 OBOS Rising</t>
  </si>
  <si>
    <t>FXY</t>
  </si>
  <si>
    <t>PENN</t>
  </si>
  <si>
    <t>MMM</t>
  </si>
  <si>
    <t>Real Estate Mgmt &amp; Dev</t>
  </si>
  <si>
    <t>WDAY</t>
  </si>
  <si>
    <t>ASML</t>
  </si>
  <si>
    <t>Stock prices are based on expected earnings growth and price-to-earnings (P/E) ratios.</t>
  </si>
  <si>
    <t>ACLS</t>
  </si>
  <si>
    <t>TOL</t>
  </si>
  <si>
    <t>debt-to-equity ratio of less than 2 to be good</t>
  </si>
  <si>
    <t>BIP</t>
  </si>
  <si>
    <t>Multi-Utilities</t>
  </si>
  <si>
    <t>ADP</t>
  </si>
  <si>
    <t>LOW</t>
  </si>
  <si>
    <t>BITO</t>
  </si>
  <si>
    <t>KIE</t>
  </si>
  <si>
    <t>Financial ETFs</t>
  </si>
  <si>
    <t>IYR</t>
  </si>
  <si>
    <t>Real Estate ETFs</t>
  </si>
  <si>
    <t>Leveraged Commodities ETFs</t>
  </si>
  <si>
    <t>CSCO</t>
  </si>
  <si>
    <t>KBE</t>
  </si>
  <si>
    <t>EEM</t>
  </si>
  <si>
    <t>GUSH</t>
  </si>
  <si>
    <t>oil 2x</t>
  </si>
  <si>
    <t>SIL</t>
  </si>
  <si>
    <t>SILJ</t>
  </si>
  <si>
    <t>silver</t>
  </si>
  <si>
    <t>DELL</t>
  </si>
  <si>
    <t>health ETF, triangle</t>
  </si>
  <si>
    <t>FXE</t>
  </si>
  <si>
    <t>EURO</t>
  </si>
  <si>
    <t>UBER</t>
  </si>
  <si>
    <t>F16</t>
  </si>
  <si>
    <t>ODFL</t>
  </si>
  <si>
    <t>JCI</t>
  </si>
  <si>
    <t>MLKN</t>
  </si>
  <si>
    <t>SHOP</t>
  </si>
  <si>
    <t>N R</t>
  </si>
  <si>
    <t>Consumer Discretionary ETFs</t>
  </si>
  <si>
    <t>PATH</t>
  </si>
  <si>
    <t>IRBT</t>
  </si>
  <si>
    <t>VRDN</t>
  </si>
  <si>
    <t>TDY</t>
  </si>
  <si>
    <t>JD</t>
  </si>
  <si>
    <t>CTBI</t>
  </si>
  <si>
    <t>SNAP</t>
  </si>
  <si>
    <t>ROBO</t>
  </si>
  <si>
    <t>S&amp;P trades for about 20 times earnings</t>
  </si>
  <si>
    <t>DIS</t>
  </si>
  <si>
    <t>BOTZ</t>
  </si>
  <si>
    <t>insurance</t>
  </si>
  <si>
    <t>AREN</t>
  </si>
  <si>
    <t>Overb/Overs</t>
  </si>
  <si>
    <t>Long term trend</t>
  </si>
  <si>
    <t>Money Flow</t>
  </si>
  <si>
    <t>ROKU</t>
  </si>
  <si>
    <t>N+ G</t>
  </si>
  <si>
    <t>CIBR</t>
  </si>
  <si>
    <t>LEN</t>
  </si>
  <si>
    <t>DG</t>
  </si>
  <si>
    <t>SE</t>
  </si>
  <si>
    <t>gold has “hotspot dates” between December 12th - December 24th?</t>
  </si>
  <si>
    <t>MRVL</t>
  </si>
  <si>
    <t>Be R</t>
  </si>
  <si>
    <t>&gt;20 and 50</t>
  </si>
  <si>
    <t>"+2"</t>
  </si>
  <si>
    <t>&gt;20 &lt;50</t>
  </si>
  <si>
    <t>"+1"</t>
  </si>
  <si>
    <t>20 and 50 up</t>
  </si>
  <si>
    <t>add "+1"</t>
  </si>
  <si>
    <t>&lt;20 &lt;50</t>
  </si>
  <si>
    <t>"-2"</t>
  </si>
  <si>
    <t>&lt;20 &gt;50</t>
  </si>
  <si>
    <t>"-1"</t>
  </si>
  <si>
    <t>20 and 50down</t>
  </si>
  <si>
    <t>add "-1"</t>
  </si>
  <si>
    <t>These days occur, like clockwork, on the third Friday of every March, June, September, and December.</t>
  </si>
  <si>
    <t xml:space="preserve">“Quadruple Witching Day.” </t>
  </si>
  <si>
    <t>CVS</t>
  </si>
  <si>
    <t>GL</t>
  </si>
  <si>
    <t>DECK</t>
  </si>
  <si>
    <t>ALLT</t>
  </si>
  <si>
    <t>IAC</t>
  </si>
  <si>
    <t>BHP</t>
  </si>
  <si>
    <t>ALLY</t>
  </si>
  <si>
    <t>TSM</t>
  </si>
  <si>
    <t>LKQ</t>
  </si>
  <si>
    <t>INTC</t>
  </si>
  <si>
    <t>BITI</t>
  </si>
  <si>
    <t>Inverse Currency ETFs</t>
  </si>
  <si>
    <t>LCID</t>
  </si>
  <si>
    <t>XLU</t>
  </si>
  <si>
    <t>Utilities ETFs</t>
  </si>
  <si>
    <t>PDD</t>
  </si>
  <si>
    <t>FXI</t>
  </si>
  <si>
    <t>GCT</t>
  </si>
  <si>
    <t>VST</t>
  </si>
  <si>
    <t>BBWI</t>
  </si>
  <si>
    <t>Ind. Power &amp; Renewable Elec</t>
  </si>
  <si>
    <t>3-&gt;4</t>
  </si>
  <si>
    <t>ZBRA</t>
  </si>
  <si>
    <t>A-&gt;B</t>
  </si>
  <si>
    <t>PNR</t>
  </si>
  <si>
    <t>&gt;A</t>
  </si>
  <si>
    <t>CROX</t>
  </si>
  <si>
    <t>COPX</t>
  </si>
  <si>
    <t>IWM</t>
  </si>
  <si>
    <t>Small Cap Blend ETFs</t>
  </si>
  <si>
    <t>Be G</t>
  </si>
  <si>
    <t>RIO</t>
  </si>
  <si>
    <t>copper</t>
  </si>
  <si>
    <t>CMG</t>
  </si>
  <si>
    <t>FLR</t>
  </si>
  <si>
    <t>China IT</t>
  </si>
  <si>
    <t>PLTR</t>
  </si>
  <si>
    <t>ERIE</t>
  </si>
  <si>
    <t>Bu G</t>
  </si>
  <si>
    <t>FNF</t>
  </si>
  <si>
    <t>FFIV</t>
  </si>
  <si>
    <t>VYM</t>
  </si>
  <si>
    <t>BP</t>
  </si>
  <si>
    <t>oil gas</t>
  </si>
  <si>
    <t>ALLE</t>
  </si>
  <si>
    <t>GE</t>
  </si>
  <si>
    <t xml:space="preserve">Bu G </t>
  </si>
  <si>
    <t>MAGS</t>
  </si>
  <si>
    <t>HWM</t>
  </si>
  <si>
    <t>HOOD</t>
  </si>
  <si>
    <t>XLF</t>
  </si>
  <si>
    <t>GMED</t>
  </si>
  <si>
    <t>RL</t>
  </si>
  <si>
    <t>AEE</t>
  </si>
  <si>
    <t>HE</t>
  </si>
  <si>
    <t>EIX</t>
  </si>
  <si>
    <t>Hawaii Electrical</t>
  </si>
  <si>
    <t>LA Electrical</t>
  </si>
  <si>
    <t>PCG</t>
  </si>
  <si>
    <t>PG&amp;E</t>
  </si>
  <si>
    <t>ISRG</t>
  </si>
  <si>
    <t>VALE</t>
  </si>
  <si>
    <t>TM</t>
  </si>
  <si>
    <t>RPD</t>
  </si>
  <si>
    <t>AI vision</t>
  </si>
  <si>
    <t>AI integration</t>
  </si>
  <si>
    <t>CRDO</t>
  </si>
  <si>
    <t>toyota</t>
  </si>
  <si>
    <t>AIQ</t>
  </si>
  <si>
    <t>AGIX</t>
  </si>
  <si>
    <t>DTCR</t>
  </si>
  <si>
    <t>COCO</t>
  </si>
  <si>
    <t>MGPI</t>
  </si>
  <si>
    <t>SOFI</t>
  </si>
  <si>
    <t>QBTS</t>
  </si>
  <si>
    <t>BABA</t>
  </si>
  <si>
    <t>COMP</t>
  </si>
  <si>
    <t>quantum comp</t>
  </si>
  <si>
    <t>VEEV</t>
  </si>
  <si>
    <t>Health Care Technology</t>
  </si>
  <si>
    <t>CAMT</t>
  </si>
  <si>
    <t>GDDY</t>
  </si>
  <si>
    <t>ETHT</t>
  </si>
  <si>
    <t>Ethereum crypto 2x ETF</t>
  </si>
  <si>
    <t>N/A</t>
  </si>
  <si>
    <t>EHTH</t>
  </si>
  <si>
    <t>RUN</t>
  </si>
  <si>
    <t>OKTA</t>
  </si>
  <si>
    <t>ALAB</t>
  </si>
  <si>
    <t>REGN</t>
  </si>
  <si>
    <t>TLN</t>
  </si>
  <si>
    <t>DAVE</t>
  </si>
  <si>
    <t>WW</t>
  </si>
  <si>
    <t>FICO</t>
  </si>
  <si>
    <t>ABT</t>
  </si>
  <si>
    <t>URA</t>
  </si>
  <si>
    <t>uranium atomic</t>
  </si>
  <si>
    <t>ASTS</t>
  </si>
  <si>
    <t>CLS</t>
  </si>
  <si>
    <t>COIN</t>
  </si>
  <si>
    <t>TDG</t>
  </si>
  <si>
    <t>NOW</t>
  </si>
  <si>
    <t>BSY</t>
  </si>
  <si>
    <t>OKE</t>
  </si>
  <si>
    <t>N- G</t>
  </si>
  <si>
    <t>XMTR</t>
  </si>
  <si>
    <t>CTSH</t>
  </si>
  <si>
    <t>LVS</t>
  </si>
  <si>
    <t>FN</t>
  </si>
  <si>
    <t>SEIC</t>
  </si>
  <si>
    <t>NU</t>
  </si>
  <si>
    <t>TG</t>
  </si>
  <si>
    <t>LUV</t>
  </si>
  <si>
    <t>NA</t>
  </si>
  <si>
    <t>MGA</t>
  </si>
  <si>
    <t>DKS</t>
  </si>
  <si>
    <t>ILMN</t>
  </si>
  <si>
    <t>GRID</t>
  </si>
  <si>
    <t>BSX</t>
  </si>
  <si>
    <t>PTON</t>
  </si>
  <si>
    <t>GFS</t>
  </si>
  <si>
    <t>APTV</t>
  </si>
  <si>
    <t>RTX</t>
  </si>
  <si>
    <t>ASX</t>
  </si>
  <si>
    <t>SAIL</t>
  </si>
  <si>
    <t>ATI</t>
  </si>
  <si>
    <t>KTOS</t>
  </si>
  <si>
    <t>Aerospace Defense</t>
  </si>
  <si>
    <t>MAKX</t>
  </si>
  <si>
    <t>RYN</t>
  </si>
  <si>
    <t>N+ R</t>
  </si>
  <si>
    <t>RSP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</si>
</sst>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8" formatCode="[$-409]d\-mmm;@"/>
  </numFmts>
  <fonts count="2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 Cy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 Cyr"/>
    </font>
    <font>
      <b/>
      <sz val="11"/>
      <name val="Calibri"/>
      <family val="2"/>
      <scheme val="minor"/>
    </font>
    <font>
      <sz val="12"/>
      <color rgb="FF000000"/>
      <name val="Arial"/>
      <family val="2"/>
    </font>
    <font>
      <sz val="13"/>
      <color rgb="FF000000"/>
      <name val="Arial"/>
      <family val="2"/>
    </font>
    <font>
      <sz val="13"/>
      <color rgb="FF212529"/>
      <name val="Roboto"/>
    </font>
    <font>
      <i/>
      <sz val="12"/>
      <color rgb="FF000000"/>
      <name val="Arial"/>
      <family val="2"/>
    </font>
    <font>
      <b/>
      <sz val="12"/>
      <color rgb="FF11111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color rgb="FF101629"/>
      <name val="Arial"/>
      <family val="2"/>
    </font>
    <font>
      <u/>
      <sz val="11"/>
      <color theme="10"/>
      <name val="Calibri"/>
      <family val="2"/>
      <scheme val="minor"/>
    </font>
    <font>
      <sz val="13"/>
      <color rgb="FF222222"/>
      <name val="Arial"/>
      <family val="2"/>
    </font>
    <font>
      <b/>
      <sz val="12"/>
      <color rgb="FF008000"/>
      <name val="Roboto"/>
    </font>
    <font>
      <sz val="12"/>
      <name val="Roboto"/>
    </font>
    <font>
      <sz val="14"/>
      <color rgb="FF212121"/>
      <name val="Roboto"/>
    </font>
    <font>
      <sz val="10"/>
      <color rgb="FF212121"/>
      <name val="Roboto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7">
    <xf numFmtId="0" fontId="0" fillId="0" borderId="0" xfId="0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10" fontId="0" fillId="0" borderId="0" xfId="0" applyNumberFormat="1"/>
    <xf numFmtId="1" fontId="0" fillId="0" borderId="0" xfId="0" applyNumberFormat="1"/>
    <xf numFmtId="0" fontId="2" fillId="0" borderId="0" xfId="0" applyFont="1"/>
    <xf numFmtId="0" fontId="1" fillId="0" borderId="0" xfId="0" applyFont="1"/>
    <xf numFmtId="0" fontId="4" fillId="0" borderId="0" xfId="0" applyFont="1"/>
    <xf numFmtId="10" fontId="4" fillId="0" borderId="0" xfId="0" applyNumberFormat="1" applyFont="1"/>
    <xf numFmtId="2" fontId="0" fillId="0" borderId="0" xfId="0" applyNumberFormat="1"/>
    <xf numFmtId="2" fontId="4" fillId="0" borderId="0" xfId="0" applyNumberFormat="1" applyFont="1"/>
    <xf numFmtId="0" fontId="6" fillId="0" borderId="0" xfId="0" applyFont="1"/>
    <xf numFmtId="0" fontId="0" fillId="2" borderId="1" xfId="0" applyFill="1" applyBorder="1"/>
    <xf numFmtId="0" fontId="0" fillId="0" borderId="1" xfId="0" applyBorder="1"/>
    <xf numFmtId="0" fontId="4" fillId="0" borderId="1" xfId="0" applyFont="1" applyBorder="1"/>
    <xf numFmtId="2" fontId="1" fillId="0" borderId="0" xfId="0" applyNumberFormat="1" applyFont="1"/>
    <xf numFmtId="168" fontId="3" fillId="0" borderId="0" xfId="0" applyNumberFormat="1" applyFont="1"/>
    <xf numFmtId="168" fontId="0" fillId="0" borderId="0" xfId="0" applyNumberFormat="1"/>
    <xf numFmtId="0" fontId="0" fillId="0" borderId="2" xfId="0" applyBorder="1"/>
    <xf numFmtId="0" fontId="0" fillId="4" borderId="1" xfId="0" applyFill="1" applyBorder="1"/>
    <xf numFmtId="0" fontId="0" fillId="5" borderId="1" xfId="0" applyFill="1" applyBorder="1"/>
    <xf numFmtId="164" fontId="0" fillId="3" borderId="0" xfId="0" applyNumberFormat="1" applyFill="1"/>
    <xf numFmtId="164" fontId="7" fillId="0" borderId="0" xfId="0" applyNumberFormat="1" applyFont="1"/>
    <xf numFmtId="1" fontId="3" fillId="0" borderId="0" xfId="0" applyNumberFormat="1" applyFont="1"/>
    <xf numFmtId="4" fontId="3" fillId="0" borderId="0" xfId="0" applyNumberFormat="1" applyFont="1"/>
    <xf numFmtId="4" fontId="0" fillId="0" borderId="0" xfId="0" applyNumberFormat="1"/>
    <xf numFmtId="1" fontId="4" fillId="0" borderId="0" xfId="0" applyNumberFormat="1" applyFont="1"/>
    <xf numFmtId="9" fontId="0" fillId="0" borderId="0" xfId="0" applyNumberFormat="1"/>
    <xf numFmtId="0" fontId="8" fillId="0" borderId="0" xfId="0" applyFont="1"/>
    <xf numFmtId="4" fontId="1" fillId="0" borderId="0" xfId="0" applyNumberFormat="1" applyFont="1"/>
    <xf numFmtId="0" fontId="0" fillId="6" borderId="1" xfId="0" applyFill="1" applyBorder="1"/>
    <xf numFmtId="0" fontId="0" fillId="6" borderId="0" xfId="0" applyFill="1"/>
    <xf numFmtId="0" fontId="1" fillId="0" borderId="1" xfId="0" applyFont="1" applyBorder="1"/>
    <xf numFmtId="0" fontId="9" fillId="0" borderId="0" xfId="0" applyFont="1"/>
    <xf numFmtId="0" fontId="1" fillId="3" borderId="0" xfId="0" applyFont="1" applyFill="1"/>
    <xf numFmtId="4" fontId="4" fillId="0" borderId="0" xfId="0" applyNumberFormat="1" applyFont="1"/>
    <xf numFmtId="10" fontId="5" fillId="0" borderId="0" xfId="0" applyNumberFormat="1" applyFont="1"/>
    <xf numFmtId="0" fontId="0" fillId="7" borderId="1" xfId="0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1" fontId="14" fillId="0" borderId="0" xfId="0" applyNumberFormat="1" applyFont="1"/>
    <xf numFmtId="0" fontId="14" fillId="0" borderId="0" xfId="0" applyFont="1"/>
    <xf numFmtId="0" fontId="15" fillId="0" borderId="0" xfId="0" applyFont="1"/>
    <xf numFmtId="0" fontId="10" fillId="0" borderId="0" xfId="0" applyFont="1"/>
    <xf numFmtId="0" fontId="16" fillId="0" borderId="0" xfId="0" applyFont="1"/>
    <xf numFmtId="164" fontId="4" fillId="0" borderId="0" xfId="0" applyNumberFormat="1" applyFont="1"/>
    <xf numFmtId="0" fontId="17" fillId="0" borderId="0" xfId="1"/>
    <xf numFmtId="0" fontId="18" fillId="0" borderId="0" xfId="0" applyFont="1" applyAlignment="1">
      <alignment vertical="center" wrapText="1"/>
    </xf>
    <xf numFmtId="0" fontId="4" fillId="6" borderId="0" xfId="0" applyFont="1" applyFill="1"/>
    <xf numFmtId="0" fontId="1" fillId="6" borderId="0" xfId="0" applyFont="1" applyFill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4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.thetradingpub.com/go/6/5SFFKLVA-5SD8IHU5-5SD8IHT9-BKNZB6.html?email=bilyky%40gmail.com&amp;opt_domain=j.TheTradingPub.com&amp;banner=SAM_453571086029&amp;SCID=YmlseWt5QGdtYWlsLmNvbQ%3D%3D&amp;opt_mandator=354988191864&amp;opt_affiliate=LI_DED_MKB_NON_EXT_LMIC22__28_INDICT&amp;bmMailId=5SFFKLVA-5SD8IHU5-113SK9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1B56-D9F8-4D8C-B49C-02C8513255BB}">
  <dimension ref="A2:AB116"/>
  <sheetViews>
    <sheetView zoomScale="85" zoomScaleNormal="85" workbookViewId="0">
      <selection activeCell="Q33" sqref="Q33"/>
    </sheetView>
  </sheetViews>
  <sheetFormatPr defaultRowHeight="15"/>
  <cols>
    <col min="1" max="1" width="4.28515625" customWidth="1"/>
    <col min="3" max="3" width="5" style="5" bestFit="1" customWidth="1"/>
    <col min="6" max="6" width="9.140625" style="12"/>
    <col min="7" max="7" width="9.140625" style="26"/>
    <col min="8" max="8" width="10.140625" bestFit="1" customWidth="1"/>
    <col min="9" max="9" width="8.85546875" bestFit="1" customWidth="1"/>
    <col min="10" max="10" width="9.140625" style="26" bestFit="1" customWidth="1"/>
    <col min="11" max="11" width="7.28515625" style="18" bestFit="1" customWidth="1"/>
    <col min="12" max="12" width="26" customWidth="1"/>
    <col min="13" max="13" width="6.42578125" customWidth="1"/>
    <col min="14" max="14" width="4.42578125" style="8" customWidth="1"/>
    <col min="15" max="16" width="4.5703125" customWidth="1"/>
    <col min="17" max="17" width="9.140625" bestFit="1" customWidth="1"/>
    <col min="18" max="18" width="6.7109375" customWidth="1"/>
    <col min="19" max="20" width="7.85546875" customWidth="1"/>
    <col min="21" max="21" width="5.5703125" style="10" bestFit="1" customWidth="1"/>
    <col min="22" max="22" width="43.7109375" bestFit="1" customWidth="1"/>
    <col min="23" max="24" width="6.5703125" style="10" bestFit="1" customWidth="1"/>
    <col min="25" max="25" width="7.85546875" style="10" customWidth="1"/>
    <col min="26" max="27" width="9.140625" style="10"/>
  </cols>
  <sheetData>
    <row r="2" spans="1:18">
      <c r="B2" s="3" t="s">
        <v>0</v>
      </c>
      <c r="C2" s="24" t="s">
        <v>225</v>
      </c>
      <c r="D2" s="2" t="s">
        <v>1</v>
      </c>
      <c r="E2" s="2" t="s">
        <v>2</v>
      </c>
      <c r="F2" s="23" t="s">
        <v>51</v>
      </c>
      <c r="G2" s="25" t="s">
        <v>50</v>
      </c>
      <c r="H2" s="3" t="s">
        <v>323</v>
      </c>
      <c r="I2" s="3" t="s">
        <v>158</v>
      </c>
      <c r="J2" s="25"/>
      <c r="K2" s="17"/>
      <c r="L2" s="4"/>
      <c r="M2" s="1"/>
      <c r="N2" s="29" t="s">
        <v>20</v>
      </c>
      <c r="O2" s="6" t="s">
        <v>21</v>
      </c>
      <c r="P2" s="6"/>
      <c r="Q2" s="6"/>
      <c r="R2" s="6"/>
    </row>
    <row r="3" spans="1:18">
      <c r="A3">
        <v>1</v>
      </c>
      <c r="B3" s="6" t="s">
        <v>558</v>
      </c>
      <c r="C3" s="5">
        <v>56</v>
      </c>
      <c r="D3">
        <v>18.7</v>
      </c>
      <c r="E3">
        <v>25.67</v>
      </c>
      <c r="F3" s="12">
        <v>30</v>
      </c>
      <c r="G3" s="30">
        <v>25</v>
      </c>
      <c r="H3" s="22">
        <f t="shared" ref="H3:H5" si="0">E3*0.92</f>
        <v>23.616400000000002</v>
      </c>
      <c r="I3" s="9">
        <f t="shared" ref="I3:I5" si="1">F3/E3 -1</f>
        <v>0.16867939228671602</v>
      </c>
      <c r="J3" s="26">
        <f t="shared" ref="J3:J5" si="2">C3*D3</f>
        <v>1047.2</v>
      </c>
      <c r="K3" s="18">
        <v>45337</v>
      </c>
      <c r="L3" t="s">
        <v>164</v>
      </c>
      <c r="M3" s="50" t="s">
        <v>635</v>
      </c>
      <c r="N3">
        <v>1</v>
      </c>
      <c r="P3">
        <v>0</v>
      </c>
    </row>
    <row r="4" spans="1:18">
      <c r="A4">
        <v>2</v>
      </c>
      <c r="B4" s="6" t="s">
        <v>86</v>
      </c>
      <c r="C4" s="5">
        <v>170</v>
      </c>
      <c r="D4">
        <v>5.88</v>
      </c>
      <c r="E4">
        <v>8.8000000000000007</v>
      </c>
      <c r="F4" s="12">
        <v>15</v>
      </c>
      <c r="G4" s="30">
        <v>8</v>
      </c>
      <c r="H4" s="22">
        <f t="shared" si="0"/>
        <v>8.0960000000000019</v>
      </c>
      <c r="I4" s="9">
        <f t="shared" si="1"/>
        <v>0.70454545454545436</v>
      </c>
      <c r="J4" s="26">
        <f t="shared" si="2"/>
        <v>999.6</v>
      </c>
      <c r="K4" s="18">
        <v>45679</v>
      </c>
      <c r="L4" t="s">
        <v>274</v>
      </c>
      <c r="M4" t="s">
        <v>575</v>
      </c>
      <c r="N4"/>
      <c r="O4">
        <v>1</v>
      </c>
      <c r="P4">
        <v>0</v>
      </c>
    </row>
    <row r="5" spans="1:18">
      <c r="A5">
        <v>3</v>
      </c>
      <c r="B5" s="6" t="s">
        <v>670</v>
      </c>
      <c r="C5" s="5">
        <v>39</v>
      </c>
      <c r="D5">
        <v>28.78</v>
      </c>
      <c r="E5">
        <v>29.72</v>
      </c>
      <c r="F5" s="12">
        <v>40</v>
      </c>
      <c r="G5" s="26">
        <v>25</v>
      </c>
      <c r="H5" s="22">
        <f t="shared" si="0"/>
        <v>27.342400000000001</v>
      </c>
      <c r="I5" s="9">
        <f t="shared" si="1"/>
        <v>0.34589502018842544</v>
      </c>
      <c r="J5" s="26">
        <f t="shared" si="2"/>
        <v>1122.42</v>
      </c>
      <c r="K5" s="18">
        <v>45975</v>
      </c>
      <c r="L5" t="s">
        <v>473</v>
      </c>
      <c r="M5" t="s">
        <v>635</v>
      </c>
      <c r="N5">
        <v>1</v>
      </c>
      <c r="P5">
        <v>0</v>
      </c>
    </row>
    <row r="6" spans="1:18">
      <c r="A6">
        <v>4</v>
      </c>
      <c r="B6" s="6" t="s">
        <v>12</v>
      </c>
      <c r="C6" s="5">
        <v>3</v>
      </c>
      <c r="D6">
        <v>359.7</v>
      </c>
      <c r="E6">
        <v>366.25</v>
      </c>
      <c r="F6" s="12">
        <v>400</v>
      </c>
      <c r="G6" s="26">
        <v>330</v>
      </c>
      <c r="H6" s="22">
        <f>E6*0.92</f>
        <v>336.95</v>
      </c>
      <c r="I6" s="9">
        <f>F6/E6 -1</f>
        <v>9.2150170648464202E-2</v>
      </c>
      <c r="J6" s="26">
        <f>C6*D6</f>
        <v>1079.0999999999999</v>
      </c>
      <c r="K6" s="18">
        <v>46000</v>
      </c>
      <c r="L6" t="s">
        <v>256</v>
      </c>
      <c r="M6" s="7" t="s">
        <v>701</v>
      </c>
      <c r="N6"/>
      <c r="O6">
        <v>1</v>
      </c>
      <c r="P6">
        <v>0</v>
      </c>
    </row>
    <row r="7" spans="1:18">
      <c r="A7">
        <v>5</v>
      </c>
      <c r="B7" t="s">
        <v>49</v>
      </c>
      <c r="C7" s="5">
        <v>52</v>
      </c>
      <c r="D7">
        <v>18.899999999999999</v>
      </c>
      <c r="E7">
        <v>20.86</v>
      </c>
      <c r="F7" s="12">
        <v>25</v>
      </c>
      <c r="G7" s="26">
        <v>17</v>
      </c>
      <c r="H7" s="22">
        <f>E7*0.92</f>
        <v>19.191200000000002</v>
      </c>
      <c r="I7" s="9">
        <f>F7/E7 -1</f>
        <v>0.19846596356663482</v>
      </c>
      <c r="J7" s="26">
        <f>C7*D7</f>
        <v>982.8</v>
      </c>
      <c r="K7" s="18">
        <v>46008</v>
      </c>
      <c r="L7" t="s">
        <v>265</v>
      </c>
      <c r="M7" t="s">
        <v>385</v>
      </c>
      <c r="N7" s="35">
        <v>4</v>
      </c>
      <c r="P7">
        <v>0</v>
      </c>
    </row>
    <row r="8" spans="1:18">
      <c r="A8">
        <v>6</v>
      </c>
      <c r="B8" t="s">
        <v>704</v>
      </c>
      <c r="C8" s="5">
        <v>21</v>
      </c>
      <c r="D8">
        <v>57.33</v>
      </c>
      <c r="E8">
        <v>58.01</v>
      </c>
      <c r="F8" s="12">
        <v>70</v>
      </c>
      <c r="G8" s="26">
        <v>53</v>
      </c>
      <c r="H8" s="22">
        <f t="shared" ref="H8:H9" si="3">E8*0.92</f>
        <v>53.369199999999999</v>
      </c>
      <c r="I8" s="9">
        <f t="shared" ref="I8:I9" si="4">F8/E8 -1</f>
        <v>0.20668850198241695</v>
      </c>
      <c r="J8" s="26">
        <f t="shared" ref="J8:J9" si="5">C8*D8</f>
        <v>1203.93</v>
      </c>
      <c r="K8" s="18">
        <v>46073</v>
      </c>
      <c r="L8" t="s">
        <v>255</v>
      </c>
      <c r="M8" s="7" t="s">
        <v>556</v>
      </c>
      <c r="N8">
        <v>2</v>
      </c>
      <c r="P8">
        <v>0</v>
      </c>
    </row>
    <row r="9" spans="1:18">
      <c r="A9">
        <v>7</v>
      </c>
      <c r="B9" t="s">
        <v>511</v>
      </c>
      <c r="C9" s="5">
        <v>51</v>
      </c>
      <c r="D9">
        <v>26.5</v>
      </c>
      <c r="E9">
        <v>28.79</v>
      </c>
      <c r="F9" s="12">
        <v>35</v>
      </c>
      <c r="G9" s="26">
        <v>20</v>
      </c>
      <c r="H9" s="22">
        <f t="shared" si="3"/>
        <v>26.486799999999999</v>
      </c>
      <c r="I9" s="9">
        <f t="shared" si="4"/>
        <v>0.21569989579715187</v>
      </c>
      <c r="J9" s="26">
        <f t="shared" si="5"/>
        <v>1351.5</v>
      </c>
      <c r="K9" s="18">
        <v>46085</v>
      </c>
      <c r="L9" t="s">
        <v>164</v>
      </c>
      <c r="M9" s="7" t="s">
        <v>582</v>
      </c>
      <c r="N9">
        <v>2</v>
      </c>
      <c r="P9">
        <v>1</v>
      </c>
    </row>
    <row r="10" spans="1:18">
      <c r="A10">
        <v>8</v>
      </c>
      <c r="B10" t="s">
        <v>405</v>
      </c>
      <c r="C10" s="5">
        <v>7</v>
      </c>
      <c r="D10">
        <v>180.25</v>
      </c>
      <c r="E10">
        <v>182.41</v>
      </c>
      <c r="F10" s="12">
        <v>250</v>
      </c>
      <c r="G10" s="26">
        <v>170</v>
      </c>
      <c r="H10" s="22">
        <f>E10*0.92</f>
        <v>167.81720000000001</v>
      </c>
      <c r="I10" s="9">
        <f>F10/E10 -1</f>
        <v>0.37053889589386557</v>
      </c>
      <c r="J10" s="26">
        <f>C10*D10</f>
        <v>1261.75</v>
      </c>
      <c r="K10" s="18">
        <v>46127</v>
      </c>
      <c r="L10" t="s">
        <v>271</v>
      </c>
      <c r="M10" t="s">
        <v>635</v>
      </c>
      <c r="N10"/>
      <c r="O10">
        <v>1</v>
      </c>
      <c r="P10">
        <v>0</v>
      </c>
    </row>
    <row r="11" spans="1:18">
      <c r="A11">
        <v>9</v>
      </c>
      <c r="B11" t="s">
        <v>723</v>
      </c>
      <c r="C11" s="5">
        <v>17</v>
      </c>
      <c r="D11">
        <v>62.1</v>
      </c>
      <c r="E11">
        <v>65.19</v>
      </c>
      <c r="F11" s="12">
        <v>125</v>
      </c>
      <c r="G11" s="26">
        <v>59</v>
      </c>
      <c r="H11" s="22">
        <f t="shared" ref="H11:H12" si="6">E11*0.92</f>
        <v>59.974800000000002</v>
      </c>
      <c r="I11" s="9">
        <f t="shared" ref="I11:I12" si="7">F11/E11 -1</f>
        <v>0.91747200490872838</v>
      </c>
      <c r="J11" s="26">
        <f t="shared" ref="J11:J12" si="8">C11*D11</f>
        <v>1055.7</v>
      </c>
      <c r="K11" s="18">
        <v>46143</v>
      </c>
      <c r="L11" t="s">
        <v>724</v>
      </c>
      <c r="N11" s="35">
        <v>4</v>
      </c>
      <c r="P11">
        <v>0</v>
      </c>
    </row>
    <row r="12" spans="1:18">
      <c r="A12">
        <v>10</v>
      </c>
      <c r="B12" t="s">
        <v>441</v>
      </c>
      <c r="C12" s="5">
        <v>49</v>
      </c>
      <c r="D12">
        <v>44.8</v>
      </c>
      <c r="E12">
        <v>46.46</v>
      </c>
      <c r="F12" s="12">
        <v>50</v>
      </c>
      <c r="G12" s="26">
        <v>43</v>
      </c>
      <c r="H12" s="22">
        <f t="shared" si="6"/>
        <v>42.743200000000002</v>
      </c>
      <c r="I12" s="9">
        <f t="shared" si="7"/>
        <v>7.6194575979336987E-2</v>
      </c>
      <c r="J12" s="26">
        <f t="shared" si="8"/>
        <v>2195.1999999999998</v>
      </c>
      <c r="K12" s="18">
        <v>46143</v>
      </c>
      <c r="L12" t="s">
        <v>292</v>
      </c>
      <c r="M12" s="7" t="s">
        <v>627</v>
      </c>
      <c r="N12"/>
      <c r="O12">
        <v>2</v>
      </c>
      <c r="P12">
        <v>1</v>
      </c>
    </row>
    <row r="13" spans="1:18">
      <c r="A13">
        <v>11</v>
      </c>
      <c r="B13" t="s">
        <v>726</v>
      </c>
      <c r="C13" s="5">
        <v>88</v>
      </c>
      <c r="D13">
        <v>20</v>
      </c>
      <c r="E13">
        <v>21.11</v>
      </c>
      <c r="F13" s="12">
        <v>25</v>
      </c>
      <c r="G13" s="26">
        <v>19</v>
      </c>
      <c r="H13" s="22">
        <f>E13*0.92</f>
        <v>19.421199999999999</v>
      </c>
      <c r="I13" s="9">
        <f>F13/E13 -1</f>
        <v>0.18427285646612979</v>
      </c>
      <c r="J13" s="26">
        <f>C13*D13</f>
        <v>1760</v>
      </c>
      <c r="K13" s="18">
        <v>46155</v>
      </c>
      <c r="N13"/>
      <c r="O13">
        <v>2</v>
      </c>
      <c r="P13">
        <v>1</v>
      </c>
    </row>
    <row r="14" spans="1:18">
      <c r="A14">
        <v>12</v>
      </c>
      <c r="B14" t="s">
        <v>708</v>
      </c>
      <c r="C14" s="5">
        <v>186</v>
      </c>
      <c r="D14">
        <v>8.35</v>
      </c>
      <c r="E14">
        <v>8.35</v>
      </c>
      <c r="F14" s="12">
        <v>11</v>
      </c>
      <c r="G14" s="26">
        <v>7</v>
      </c>
      <c r="H14" s="22">
        <f t="shared" ref="H14:H16" si="9">E14*0.92</f>
        <v>7.6820000000000004</v>
      </c>
      <c r="I14" s="9">
        <f t="shared" ref="I14:I16" si="10">F14/E14 -1</f>
        <v>0.31736526946107779</v>
      </c>
      <c r="J14" s="26">
        <f t="shared" ref="J14:J16" si="11">C14*D14</f>
        <v>1553.1</v>
      </c>
      <c r="K14" s="18">
        <v>46156</v>
      </c>
      <c r="L14" t="s">
        <v>267</v>
      </c>
      <c r="M14" t="s">
        <v>385</v>
      </c>
      <c r="N14">
        <v>1</v>
      </c>
      <c r="P14">
        <v>0</v>
      </c>
    </row>
    <row r="15" spans="1:18">
      <c r="A15">
        <v>13</v>
      </c>
      <c r="B15" t="s">
        <v>422</v>
      </c>
      <c r="C15" s="5">
        <v>10</v>
      </c>
      <c r="D15">
        <v>134.5</v>
      </c>
      <c r="E15">
        <v>148.58000000000001</v>
      </c>
      <c r="F15" s="12">
        <v>200</v>
      </c>
      <c r="G15" s="26">
        <v>110</v>
      </c>
      <c r="H15" s="22">
        <f t="shared" si="9"/>
        <v>136.6936</v>
      </c>
      <c r="I15" s="9">
        <f t="shared" si="10"/>
        <v>0.34607618791223582</v>
      </c>
      <c r="J15" s="26">
        <f t="shared" si="11"/>
        <v>1345</v>
      </c>
      <c r="K15" s="18">
        <v>46156</v>
      </c>
      <c r="L15" t="s">
        <v>280</v>
      </c>
      <c r="M15" s="7" t="s">
        <v>727</v>
      </c>
      <c r="N15" s="8">
        <v>2</v>
      </c>
      <c r="P15">
        <v>1</v>
      </c>
    </row>
    <row r="16" spans="1:18">
      <c r="A16">
        <v>14</v>
      </c>
      <c r="B16" t="s">
        <v>660</v>
      </c>
      <c r="C16" s="5">
        <v>270</v>
      </c>
      <c r="D16">
        <v>7.05</v>
      </c>
      <c r="E16">
        <v>8.74</v>
      </c>
      <c r="F16" s="12">
        <v>8</v>
      </c>
      <c r="G16" s="26">
        <v>7</v>
      </c>
      <c r="H16" s="22">
        <f t="shared" si="9"/>
        <v>8.0408000000000008</v>
      </c>
      <c r="I16" s="37">
        <f t="shared" si="10"/>
        <v>-8.4668192219679694E-2</v>
      </c>
      <c r="J16" s="26">
        <f t="shared" si="11"/>
        <v>1903.5</v>
      </c>
      <c r="K16" s="18">
        <v>46169</v>
      </c>
      <c r="L16" t="s">
        <v>164</v>
      </c>
      <c r="M16" s="7" t="s">
        <v>556</v>
      </c>
      <c r="N16" s="8">
        <v>2</v>
      </c>
      <c r="P16">
        <v>1</v>
      </c>
    </row>
    <row r="17" spans="1:20">
      <c r="A17">
        <v>15</v>
      </c>
      <c r="B17" t="s">
        <v>347</v>
      </c>
      <c r="C17" s="5">
        <v>9</v>
      </c>
      <c r="D17">
        <v>112</v>
      </c>
      <c r="E17">
        <v>115.06</v>
      </c>
      <c r="F17" s="12">
        <v>120</v>
      </c>
      <c r="G17" s="26">
        <v>88</v>
      </c>
      <c r="H17" s="22">
        <f>E17*0.92</f>
        <v>105.85520000000001</v>
      </c>
      <c r="I17" s="37">
        <f>F17/E17 -1</f>
        <v>4.2934121328002783E-2</v>
      </c>
      <c r="J17" s="26">
        <f>C17*D17</f>
        <v>1008</v>
      </c>
      <c r="K17" s="18">
        <v>46169</v>
      </c>
      <c r="L17" t="s">
        <v>420</v>
      </c>
      <c r="M17" t="s">
        <v>575</v>
      </c>
      <c r="N17" s="35">
        <v>4</v>
      </c>
      <c r="P17">
        <v>0</v>
      </c>
    </row>
    <row r="18" spans="1:20">
      <c r="A18">
        <v>16</v>
      </c>
      <c r="B18" t="s">
        <v>218</v>
      </c>
      <c r="C18" s="5">
        <v>11</v>
      </c>
      <c r="D18">
        <v>171.27</v>
      </c>
      <c r="E18">
        <v>175.33</v>
      </c>
      <c r="F18" s="12">
        <v>180</v>
      </c>
      <c r="G18" s="26">
        <v>130</v>
      </c>
      <c r="H18" s="22">
        <f>E18*0.92</f>
        <v>161.30360000000002</v>
      </c>
      <c r="I18" s="37">
        <f>F18/E18 -1</f>
        <v>2.6635487366679866E-2</v>
      </c>
      <c r="J18" s="26">
        <f>C18*D18</f>
        <v>1883.97</v>
      </c>
      <c r="K18" s="18">
        <v>46174</v>
      </c>
      <c r="L18" t="s">
        <v>283</v>
      </c>
      <c r="M18" t="s">
        <v>635</v>
      </c>
      <c r="N18" s="8">
        <v>1</v>
      </c>
      <c r="P18">
        <v>1</v>
      </c>
    </row>
    <row r="19" spans="1:20">
      <c r="A19">
        <v>17</v>
      </c>
      <c r="B19" t="s">
        <v>474</v>
      </c>
      <c r="C19" s="5">
        <v>63</v>
      </c>
      <c r="D19">
        <v>47.84</v>
      </c>
      <c r="E19">
        <v>50.17</v>
      </c>
      <c r="F19" s="12">
        <v>50</v>
      </c>
      <c r="G19" s="26">
        <v>19</v>
      </c>
      <c r="H19" s="22">
        <f>E19*0.92</f>
        <v>46.156400000000005</v>
      </c>
      <c r="I19" s="37">
        <f>F19/E19 -1</f>
        <v>-3.3884791708193029E-3</v>
      </c>
      <c r="J19" s="26">
        <f>C19*D19</f>
        <v>3013.92</v>
      </c>
      <c r="K19" s="18">
        <v>46174</v>
      </c>
      <c r="L19" t="s">
        <v>286</v>
      </c>
      <c r="M19" t="s">
        <v>575</v>
      </c>
      <c r="N19" s="8">
        <v>1</v>
      </c>
      <c r="P19">
        <v>0</v>
      </c>
    </row>
    <row r="20" spans="1:20">
      <c r="A20">
        <v>18</v>
      </c>
      <c r="B20" t="s">
        <v>30</v>
      </c>
      <c r="C20" s="5">
        <v>11</v>
      </c>
      <c r="D20">
        <v>114</v>
      </c>
      <c r="E20">
        <v>116.6</v>
      </c>
      <c r="F20" s="12">
        <v>140</v>
      </c>
      <c r="G20" s="26">
        <v>110</v>
      </c>
      <c r="H20" s="22">
        <f>E20*0.92</f>
        <v>107.27200000000001</v>
      </c>
      <c r="I20" s="9">
        <f>F20/E20 -1</f>
        <v>0.20068610634648376</v>
      </c>
      <c r="J20" s="26">
        <f>C20*D20</f>
        <v>1254</v>
      </c>
      <c r="K20" s="18">
        <v>46174</v>
      </c>
      <c r="L20" t="s">
        <v>155</v>
      </c>
      <c r="M20" t="s">
        <v>385</v>
      </c>
      <c r="O20">
        <v>3</v>
      </c>
      <c r="P20">
        <v>1</v>
      </c>
    </row>
    <row r="24" spans="1:20">
      <c r="T24" s="7"/>
    </row>
    <row r="25" spans="1:20">
      <c r="R25" s="35">
        <v>3</v>
      </c>
      <c r="T25" s="7"/>
    </row>
    <row r="27" spans="1:20">
      <c r="A27">
        <v>1</v>
      </c>
      <c r="B27" s="47" t="s">
        <v>324</v>
      </c>
      <c r="C27" s="5">
        <v>123</v>
      </c>
      <c r="D27">
        <v>228.51</v>
      </c>
      <c r="E27" s="7">
        <v>135.44999999999999</v>
      </c>
      <c r="F27" s="12">
        <v>250</v>
      </c>
      <c r="G27" s="30">
        <v>200</v>
      </c>
      <c r="H27" s="22">
        <f t="shared" ref="H27:H29" si="12">E27*0.92</f>
        <v>124.61399999999999</v>
      </c>
      <c r="I27" s="9">
        <f t="shared" ref="I27:I29" si="13">F27/E27 -1</f>
        <v>0.84569952011812499</v>
      </c>
      <c r="J27" s="26">
        <f t="shared" ref="J27:J29" si="14">C27*D27</f>
        <v>28106.73</v>
      </c>
      <c r="K27" s="18">
        <v>44965</v>
      </c>
      <c r="L27" t="s">
        <v>88</v>
      </c>
      <c r="M27" s="7" t="s">
        <v>627</v>
      </c>
      <c r="N27">
        <v>1</v>
      </c>
      <c r="P27">
        <v>0</v>
      </c>
    </row>
    <row r="28" spans="1:20">
      <c r="A28">
        <v>2</v>
      </c>
      <c r="B28" t="s">
        <v>390</v>
      </c>
      <c r="C28" s="5">
        <v>79</v>
      </c>
      <c r="D28">
        <v>93.57</v>
      </c>
      <c r="E28">
        <v>85.06</v>
      </c>
      <c r="F28" s="12">
        <v>100</v>
      </c>
      <c r="G28" s="30">
        <v>85</v>
      </c>
      <c r="H28" s="22">
        <f t="shared" si="12"/>
        <v>78.255200000000002</v>
      </c>
      <c r="I28" s="9">
        <f t="shared" si="13"/>
        <v>0.17564072419468602</v>
      </c>
      <c r="J28" s="26">
        <f t="shared" si="14"/>
        <v>7392.03</v>
      </c>
      <c r="K28" s="18">
        <v>45162</v>
      </c>
      <c r="L28" t="s">
        <v>88</v>
      </c>
      <c r="M28" s="7" t="s">
        <v>627</v>
      </c>
      <c r="N28">
        <v>1</v>
      </c>
      <c r="P28">
        <v>0</v>
      </c>
      <c r="Q28">
        <v>78</v>
      </c>
      <c r="R28" t="s">
        <v>551</v>
      </c>
    </row>
    <row r="29" spans="1:20">
      <c r="A29">
        <v>3</v>
      </c>
      <c r="B29" t="s">
        <v>242</v>
      </c>
      <c r="C29" s="5">
        <v>1370</v>
      </c>
      <c r="D29">
        <v>3.79</v>
      </c>
      <c r="E29">
        <v>3.93</v>
      </c>
      <c r="F29" s="12">
        <v>5</v>
      </c>
      <c r="G29" s="30">
        <v>3.8</v>
      </c>
      <c r="H29" s="22">
        <f t="shared" si="12"/>
        <v>3.6156000000000001</v>
      </c>
      <c r="I29" s="9">
        <f t="shared" si="13"/>
        <v>0.27226463104325704</v>
      </c>
      <c r="J29" s="26">
        <f t="shared" si="14"/>
        <v>5192.3</v>
      </c>
      <c r="K29" s="18">
        <v>45216</v>
      </c>
      <c r="L29" t="s">
        <v>284</v>
      </c>
      <c r="M29" s="50" t="s">
        <v>643</v>
      </c>
      <c r="N29">
        <v>1</v>
      </c>
      <c r="P29">
        <v>0</v>
      </c>
    </row>
    <row r="30" spans="1:20">
      <c r="A30">
        <v>4</v>
      </c>
      <c r="B30" t="s">
        <v>532</v>
      </c>
      <c r="C30" s="5">
        <v>184</v>
      </c>
      <c r="D30">
        <v>22.56</v>
      </c>
      <c r="E30">
        <v>32.479999999999997</v>
      </c>
      <c r="F30" s="12">
        <v>35</v>
      </c>
      <c r="G30" s="30">
        <v>19</v>
      </c>
      <c r="H30" s="22">
        <f t="shared" ref="H30" si="15">E30*0.92</f>
        <v>29.881599999999999</v>
      </c>
      <c r="I30" s="9">
        <f t="shared" ref="I30" si="16">F30/E30 -1</f>
        <v>7.7586206896551824E-2</v>
      </c>
      <c r="J30" s="26">
        <f t="shared" ref="J30" si="17">C30*D30</f>
        <v>4151.04</v>
      </c>
      <c r="K30" s="18">
        <v>45376</v>
      </c>
      <c r="L30" t="s">
        <v>335</v>
      </c>
      <c r="N30" s="35">
        <v>3</v>
      </c>
      <c r="P30">
        <v>0</v>
      </c>
    </row>
    <row r="31" spans="1:20">
      <c r="A31">
        <v>5</v>
      </c>
      <c r="B31" t="s">
        <v>304</v>
      </c>
      <c r="C31" s="5">
        <v>29</v>
      </c>
      <c r="D31">
        <v>249.2</v>
      </c>
      <c r="E31">
        <v>421.16</v>
      </c>
      <c r="F31" s="12">
        <v>450</v>
      </c>
      <c r="G31" s="30">
        <v>400</v>
      </c>
      <c r="H31" s="22">
        <f t="shared" ref="H31:H34" si="18">E31*0.92</f>
        <v>387.46720000000005</v>
      </c>
      <c r="I31" s="9">
        <f t="shared" ref="I31:I34" si="19">F31/E31 -1</f>
        <v>6.8477538227751822E-2</v>
      </c>
      <c r="J31" s="26">
        <f t="shared" ref="J31:J34" si="20">C31*D31</f>
        <v>7226.7999999999993</v>
      </c>
      <c r="K31" s="18">
        <v>45635</v>
      </c>
      <c r="L31" t="s">
        <v>288</v>
      </c>
      <c r="M31" s="51" t="s">
        <v>556</v>
      </c>
      <c r="N31">
        <v>2</v>
      </c>
      <c r="P31">
        <v>0</v>
      </c>
    </row>
    <row r="32" spans="1:20">
      <c r="A32">
        <v>6</v>
      </c>
      <c r="B32" t="s">
        <v>430</v>
      </c>
      <c r="C32" s="5">
        <v>55</v>
      </c>
      <c r="D32">
        <v>106.66</v>
      </c>
      <c r="E32">
        <v>177.2</v>
      </c>
      <c r="F32" s="12">
        <v>200</v>
      </c>
      <c r="G32" s="30">
        <v>174</v>
      </c>
      <c r="H32" s="22">
        <f t="shared" si="18"/>
        <v>163.024</v>
      </c>
      <c r="I32" s="9">
        <f t="shared" si="19"/>
        <v>0.12866817155756216</v>
      </c>
      <c r="J32" s="26">
        <f t="shared" si="20"/>
        <v>5866.3</v>
      </c>
      <c r="K32" s="18">
        <v>45635</v>
      </c>
      <c r="L32" t="s">
        <v>298</v>
      </c>
      <c r="M32" t="s">
        <v>575</v>
      </c>
      <c r="N32" s="35">
        <v>5</v>
      </c>
      <c r="P32">
        <v>0</v>
      </c>
    </row>
    <row r="33" spans="1:28">
      <c r="A33">
        <v>7</v>
      </c>
      <c r="B33" t="s">
        <v>161</v>
      </c>
      <c r="C33" s="5">
        <v>22</v>
      </c>
      <c r="D33">
        <v>372.98</v>
      </c>
      <c r="E33">
        <v>466</v>
      </c>
      <c r="F33" s="12">
        <v>550</v>
      </c>
      <c r="G33" s="30">
        <v>450</v>
      </c>
      <c r="H33" s="22">
        <f t="shared" si="18"/>
        <v>428.72</v>
      </c>
      <c r="I33" s="9">
        <f t="shared" si="19"/>
        <v>0.18025751072961382</v>
      </c>
      <c r="J33" s="26">
        <f t="shared" si="20"/>
        <v>8205.5600000000013</v>
      </c>
      <c r="K33" s="18">
        <v>45642</v>
      </c>
      <c r="L33" t="s">
        <v>164</v>
      </c>
      <c r="M33" t="s">
        <v>643</v>
      </c>
      <c r="N33">
        <v>2</v>
      </c>
      <c r="P33">
        <v>0</v>
      </c>
    </row>
    <row r="34" spans="1:28">
      <c r="A34">
        <v>8</v>
      </c>
      <c r="B34" t="s">
        <v>165</v>
      </c>
      <c r="C34" s="5">
        <v>71</v>
      </c>
      <c r="D34">
        <v>76.13</v>
      </c>
      <c r="E34">
        <v>78.5</v>
      </c>
      <c r="F34" s="12">
        <v>90</v>
      </c>
      <c r="G34" s="26">
        <v>75</v>
      </c>
      <c r="H34" s="22">
        <f t="shared" si="18"/>
        <v>72.22</v>
      </c>
      <c r="I34" s="9">
        <f t="shared" si="19"/>
        <v>0.14649681528662417</v>
      </c>
      <c r="J34" s="26">
        <f t="shared" si="20"/>
        <v>5405.23</v>
      </c>
      <c r="K34" s="18">
        <v>45863</v>
      </c>
      <c r="L34" t="s">
        <v>417</v>
      </c>
      <c r="M34" s="7" t="s">
        <v>627</v>
      </c>
      <c r="N34">
        <v>2</v>
      </c>
      <c r="P34">
        <v>0</v>
      </c>
    </row>
    <row r="35" spans="1:28">
      <c r="A35">
        <v>9</v>
      </c>
      <c r="B35" t="s">
        <v>682</v>
      </c>
      <c r="C35" s="5">
        <v>435</v>
      </c>
      <c r="D35">
        <v>5.14</v>
      </c>
      <c r="E35">
        <v>5.65</v>
      </c>
      <c r="F35" s="12">
        <v>7.5</v>
      </c>
      <c r="G35" s="26">
        <v>4.3499999999999996</v>
      </c>
      <c r="H35" s="22">
        <f t="shared" ref="H35:H38" si="21">E35*0.92</f>
        <v>5.1980000000000004</v>
      </c>
      <c r="I35" s="9">
        <f t="shared" ref="I35:I38" si="22">F35/E35 -1</f>
        <v>0.32743362831858391</v>
      </c>
      <c r="J35" s="26">
        <f t="shared" ref="J35:J38" si="23">C35*D35</f>
        <v>2235.8999999999996</v>
      </c>
      <c r="K35" s="18">
        <v>45936</v>
      </c>
      <c r="L35" t="s">
        <v>299</v>
      </c>
      <c r="M35" t="s">
        <v>575</v>
      </c>
      <c r="N35">
        <v>2</v>
      </c>
      <c r="P35">
        <v>0</v>
      </c>
    </row>
    <row r="36" spans="1:28">
      <c r="A36">
        <v>10</v>
      </c>
      <c r="B36" t="s">
        <v>214</v>
      </c>
      <c r="C36" s="5">
        <v>71</v>
      </c>
      <c r="D36">
        <v>104.44</v>
      </c>
      <c r="E36">
        <v>109.35</v>
      </c>
      <c r="F36" s="12">
        <v>130</v>
      </c>
      <c r="G36" s="26">
        <v>100</v>
      </c>
      <c r="H36" s="22">
        <f t="shared" si="21"/>
        <v>100.602</v>
      </c>
      <c r="I36" s="9">
        <f t="shared" si="22"/>
        <v>0.18884316415180624</v>
      </c>
      <c r="J36" s="26">
        <f t="shared" si="23"/>
        <v>7415.24</v>
      </c>
      <c r="K36" s="18">
        <v>45982</v>
      </c>
      <c r="L36" t="s">
        <v>215</v>
      </c>
      <c r="M36" t="s">
        <v>575</v>
      </c>
      <c r="N36" s="35">
        <v>8</v>
      </c>
      <c r="P36">
        <v>0</v>
      </c>
    </row>
    <row r="37" spans="1:28">
      <c r="A37">
        <v>11</v>
      </c>
      <c r="B37" s="32" t="s">
        <v>229</v>
      </c>
      <c r="C37" s="5">
        <v>48</v>
      </c>
      <c r="D37">
        <v>105.15</v>
      </c>
      <c r="E37">
        <v>105.9</v>
      </c>
      <c r="F37" s="12">
        <v>130</v>
      </c>
      <c r="G37" s="26">
        <v>100</v>
      </c>
      <c r="H37" s="22">
        <f t="shared" si="21"/>
        <v>97.428000000000011</v>
      </c>
      <c r="I37" s="9">
        <f t="shared" si="22"/>
        <v>0.22757318224740319</v>
      </c>
      <c r="J37" s="26">
        <f t="shared" si="23"/>
        <v>5047.2000000000007</v>
      </c>
      <c r="K37" s="18">
        <v>45987</v>
      </c>
      <c r="L37" t="s">
        <v>268</v>
      </c>
      <c r="M37" t="s">
        <v>258</v>
      </c>
      <c r="N37"/>
      <c r="O37">
        <v>1</v>
      </c>
      <c r="P37">
        <v>0</v>
      </c>
    </row>
    <row r="38" spans="1:28">
      <c r="A38">
        <v>12</v>
      </c>
      <c r="B38" t="s">
        <v>303</v>
      </c>
      <c r="C38" s="5">
        <v>9</v>
      </c>
      <c r="D38">
        <v>487</v>
      </c>
      <c r="E38">
        <v>487.48</v>
      </c>
      <c r="F38" s="12">
        <v>550</v>
      </c>
      <c r="G38" s="26">
        <v>470</v>
      </c>
      <c r="H38" s="22">
        <f t="shared" si="21"/>
        <v>448.48160000000001</v>
      </c>
      <c r="I38" s="9">
        <f t="shared" si="22"/>
        <v>0.12825141544268481</v>
      </c>
      <c r="J38" s="26">
        <f t="shared" si="23"/>
        <v>4383</v>
      </c>
      <c r="K38" s="18">
        <v>46014</v>
      </c>
      <c r="L38" t="s">
        <v>164</v>
      </c>
      <c r="M38" t="s">
        <v>575</v>
      </c>
      <c r="N38">
        <v>2</v>
      </c>
      <c r="P38">
        <v>0</v>
      </c>
      <c r="AB38" s="10"/>
    </row>
    <row r="39" spans="1:28">
      <c r="A39">
        <v>13</v>
      </c>
      <c r="B39" t="s">
        <v>472</v>
      </c>
      <c r="C39" s="5">
        <v>244</v>
      </c>
      <c r="D39">
        <v>199.25</v>
      </c>
      <c r="E39">
        <v>208.47</v>
      </c>
      <c r="F39" s="12">
        <v>250</v>
      </c>
      <c r="G39" s="26">
        <v>200</v>
      </c>
      <c r="H39" s="22">
        <f>E39*0.92</f>
        <v>191.79240000000001</v>
      </c>
      <c r="I39" s="9">
        <f>F39/E39 -1</f>
        <v>0.19921331606466164</v>
      </c>
      <c r="J39" s="26">
        <f>C39*D39</f>
        <v>48617</v>
      </c>
      <c r="K39" s="18">
        <v>46072</v>
      </c>
      <c r="L39" t="s">
        <v>473</v>
      </c>
      <c r="M39" t="s">
        <v>575</v>
      </c>
      <c r="N39" s="35">
        <v>3</v>
      </c>
      <c r="P39">
        <v>0</v>
      </c>
    </row>
    <row r="40" spans="1:28">
      <c r="A40">
        <v>14</v>
      </c>
      <c r="B40" t="s">
        <v>6</v>
      </c>
      <c r="C40" s="5">
        <v>154</v>
      </c>
      <c r="D40">
        <v>27.59</v>
      </c>
      <c r="E40">
        <v>28.83</v>
      </c>
      <c r="F40" s="12">
        <v>35</v>
      </c>
      <c r="G40" s="26">
        <v>25</v>
      </c>
      <c r="H40" s="22">
        <f>E40*0.92</f>
        <v>26.523599999999998</v>
      </c>
      <c r="I40" s="9">
        <f>F40/E40 -1</f>
        <v>0.21401318071453357</v>
      </c>
      <c r="J40" s="26">
        <f>C40*D40</f>
        <v>4248.8599999999997</v>
      </c>
      <c r="K40" s="18">
        <v>46097</v>
      </c>
      <c r="L40" t="s">
        <v>155</v>
      </c>
      <c r="M40" t="s">
        <v>200</v>
      </c>
      <c r="N40" s="35">
        <v>3</v>
      </c>
      <c r="P40">
        <v>0</v>
      </c>
    </row>
    <row r="41" spans="1:28">
      <c r="A41">
        <v>15</v>
      </c>
      <c r="B41" s="6" t="s">
        <v>173</v>
      </c>
      <c r="C41" s="5">
        <v>21</v>
      </c>
      <c r="D41">
        <v>156.44999999999999</v>
      </c>
      <c r="E41">
        <v>156.94999999999999</v>
      </c>
      <c r="F41" s="12">
        <v>175</v>
      </c>
      <c r="G41" s="26">
        <v>150</v>
      </c>
      <c r="H41" s="22">
        <f t="shared" ref="H41:H43" si="24">E41*0.92</f>
        <v>144.39400000000001</v>
      </c>
      <c r="I41" s="9">
        <f t="shared" ref="I41:I43" si="25">F41/E41 -1</f>
        <v>0.11500477859190839</v>
      </c>
      <c r="J41" s="26">
        <f t="shared" ref="J41:J43" si="26">C41*D41</f>
        <v>3285.45</v>
      </c>
      <c r="K41" s="18">
        <v>46133</v>
      </c>
      <c r="L41" t="s">
        <v>273</v>
      </c>
      <c r="M41" s="7" t="s">
        <v>701</v>
      </c>
      <c r="N41">
        <v>1</v>
      </c>
      <c r="P41">
        <v>0</v>
      </c>
    </row>
    <row r="42" spans="1:28">
      <c r="A42">
        <v>16</v>
      </c>
      <c r="B42" t="s">
        <v>372</v>
      </c>
      <c r="C42" s="5">
        <v>6</v>
      </c>
      <c r="D42">
        <v>610.95000000000005</v>
      </c>
      <c r="E42">
        <v>635.29</v>
      </c>
      <c r="F42" s="12">
        <v>800</v>
      </c>
      <c r="G42" s="26">
        <v>600</v>
      </c>
      <c r="H42" s="22">
        <f t="shared" si="24"/>
        <v>584.46680000000003</v>
      </c>
      <c r="I42" s="9">
        <f t="shared" si="25"/>
        <v>0.25926742117772994</v>
      </c>
      <c r="J42" s="26">
        <f t="shared" si="26"/>
        <v>3665.7000000000003</v>
      </c>
      <c r="K42" s="18">
        <v>46146</v>
      </c>
      <c r="L42" t="s">
        <v>375</v>
      </c>
      <c r="M42" t="s">
        <v>643</v>
      </c>
      <c r="N42"/>
      <c r="O42">
        <v>1</v>
      </c>
      <c r="P42">
        <v>1</v>
      </c>
    </row>
    <row r="43" spans="1:28">
      <c r="A43">
        <v>17</v>
      </c>
      <c r="B43" t="s">
        <v>212</v>
      </c>
      <c r="C43" s="5">
        <v>18</v>
      </c>
      <c r="D43">
        <v>273.75</v>
      </c>
      <c r="E43">
        <v>274.99</v>
      </c>
      <c r="F43" s="12">
        <v>300</v>
      </c>
      <c r="G43" s="26">
        <v>250</v>
      </c>
      <c r="H43" s="22">
        <f t="shared" si="24"/>
        <v>252.99080000000001</v>
      </c>
      <c r="I43" s="9">
        <f t="shared" si="25"/>
        <v>9.0948761773155251E-2</v>
      </c>
      <c r="J43" s="26">
        <f t="shared" si="26"/>
        <v>4927.5</v>
      </c>
      <c r="K43" s="18">
        <v>46147</v>
      </c>
      <c r="L43" t="s">
        <v>418</v>
      </c>
      <c r="M43" t="s">
        <v>200</v>
      </c>
      <c r="N43" s="35">
        <v>3</v>
      </c>
      <c r="P43">
        <v>0</v>
      </c>
    </row>
    <row r="44" spans="1:28">
      <c r="A44">
        <v>18</v>
      </c>
      <c r="B44" t="s">
        <v>189</v>
      </c>
      <c r="C44" s="5">
        <v>413</v>
      </c>
      <c r="D44">
        <v>10.54</v>
      </c>
      <c r="E44">
        <v>10.79</v>
      </c>
      <c r="F44" s="12">
        <v>13</v>
      </c>
      <c r="G44" s="26">
        <v>9</v>
      </c>
      <c r="H44" s="22">
        <f>E44*0.92</f>
        <v>9.9268000000000001</v>
      </c>
      <c r="I44" s="9">
        <f>F44/E44 -1</f>
        <v>0.20481927710843384</v>
      </c>
      <c r="J44" s="26">
        <f>C44*D44</f>
        <v>4353.0199999999995</v>
      </c>
      <c r="K44" s="18">
        <v>46155</v>
      </c>
      <c r="L44" t="s">
        <v>415</v>
      </c>
      <c r="M44" t="s">
        <v>200</v>
      </c>
      <c r="N44">
        <v>1</v>
      </c>
      <c r="P44">
        <v>1</v>
      </c>
    </row>
    <row r="45" spans="1:28">
      <c r="A45">
        <v>19</v>
      </c>
      <c r="B45" t="s">
        <v>387</v>
      </c>
      <c r="C45" s="5">
        <v>18</v>
      </c>
      <c r="D45">
        <v>325.57</v>
      </c>
      <c r="E45">
        <v>235.74</v>
      </c>
      <c r="F45" s="12">
        <v>250</v>
      </c>
      <c r="G45" s="26">
        <v>210</v>
      </c>
      <c r="H45" s="22">
        <f t="shared" ref="H45" si="27">E45*0.92</f>
        <v>216.88080000000002</v>
      </c>
      <c r="I45" s="9">
        <f t="shared" ref="I45" si="28">F45/E45 -1</f>
        <v>6.0490370747433575E-2</v>
      </c>
      <c r="J45" s="26">
        <f t="shared" ref="J45" si="29">C45*D45</f>
        <v>5860.26</v>
      </c>
      <c r="K45" s="18">
        <v>46156</v>
      </c>
      <c r="L45" t="s">
        <v>88</v>
      </c>
      <c r="M45" t="s">
        <v>385</v>
      </c>
      <c r="N45">
        <v>2</v>
      </c>
      <c r="P45">
        <v>0</v>
      </c>
    </row>
    <row r="46" spans="1:28">
      <c r="A46">
        <v>20</v>
      </c>
      <c r="B46" t="s">
        <v>402</v>
      </c>
      <c r="C46" s="5">
        <v>17</v>
      </c>
      <c r="D46">
        <v>241</v>
      </c>
      <c r="E46">
        <v>248.16</v>
      </c>
      <c r="F46" s="12">
        <v>300</v>
      </c>
      <c r="G46" s="26">
        <v>225</v>
      </c>
      <c r="H46" s="22">
        <f>E46*0.92</f>
        <v>228.30719999999999</v>
      </c>
      <c r="I46" s="9">
        <f>F46/E46 -1</f>
        <v>0.20889748549323017</v>
      </c>
      <c r="J46" s="26">
        <f>C46*D46</f>
        <v>4097</v>
      </c>
      <c r="K46" s="18">
        <v>46163</v>
      </c>
      <c r="L46" t="s">
        <v>164</v>
      </c>
      <c r="M46" s="7" t="s">
        <v>556</v>
      </c>
      <c r="N46">
        <v>2</v>
      </c>
      <c r="P46">
        <v>0</v>
      </c>
    </row>
    <row r="47" spans="1:28">
      <c r="A47">
        <v>21</v>
      </c>
      <c r="B47" t="s">
        <v>235</v>
      </c>
      <c r="C47" s="5">
        <v>187</v>
      </c>
      <c r="D47">
        <v>19.420000000000002</v>
      </c>
      <c r="E47">
        <v>19.55</v>
      </c>
      <c r="F47" s="12">
        <v>21</v>
      </c>
      <c r="G47" s="26">
        <v>19</v>
      </c>
      <c r="H47" s="22">
        <f>E47*0.92</f>
        <v>17.986000000000001</v>
      </c>
      <c r="I47" s="9">
        <f>F47/E47 -1</f>
        <v>7.4168797953964249E-2</v>
      </c>
      <c r="J47" s="26">
        <f>C47*D47</f>
        <v>3631.5400000000004</v>
      </c>
      <c r="K47" s="18">
        <v>46170</v>
      </c>
      <c r="L47" t="s">
        <v>265</v>
      </c>
      <c r="M47" t="s">
        <v>385</v>
      </c>
      <c r="O47">
        <v>3</v>
      </c>
      <c r="P47">
        <v>1</v>
      </c>
    </row>
    <row r="48" spans="1:28">
      <c r="A48">
        <v>22</v>
      </c>
      <c r="B48" t="s">
        <v>646</v>
      </c>
      <c r="C48" s="5">
        <v>50</v>
      </c>
      <c r="D48">
        <v>92.51</v>
      </c>
      <c r="E48">
        <v>94.3</v>
      </c>
      <c r="F48" s="12">
        <v>125</v>
      </c>
      <c r="G48" s="26">
        <v>70</v>
      </c>
      <c r="H48" s="22">
        <f t="shared" ref="H48:H49" si="30">E48*0.92</f>
        <v>86.756</v>
      </c>
      <c r="I48" s="9">
        <f t="shared" ref="I48:I49" si="31">F48/E48 -1</f>
        <v>0.32555673382820793</v>
      </c>
      <c r="J48" s="26">
        <f t="shared" ref="J48:J49" si="32">C48*D48</f>
        <v>4625.5</v>
      </c>
      <c r="K48" s="18">
        <v>46171</v>
      </c>
      <c r="L48" t="s">
        <v>293</v>
      </c>
      <c r="M48" s="7" t="s">
        <v>556</v>
      </c>
      <c r="N48" s="35">
        <v>3</v>
      </c>
      <c r="P48">
        <v>0</v>
      </c>
    </row>
    <row r="49" spans="1:17">
      <c r="A49">
        <v>23</v>
      </c>
      <c r="B49" t="s">
        <v>11</v>
      </c>
      <c r="C49" s="5">
        <v>59</v>
      </c>
      <c r="D49">
        <v>82.5</v>
      </c>
      <c r="E49">
        <v>84.11</v>
      </c>
      <c r="F49" s="12">
        <v>85</v>
      </c>
      <c r="G49" s="26">
        <v>77</v>
      </c>
      <c r="H49" s="22">
        <f t="shared" si="30"/>
        <v>77.381200000000007</v>
      </c>
      <c r="I49" s="37">
        <f t="shared" si="31"/>
        <v>1.0581381524194411E-2</v>
      </c>
      <c r="J49" s="26">
        <f t="shared" si="32"/>
        <v>4867.5</v>
      </c>
      <c r="K49" s="18">
        <v>46174</v>
      </c>
      <c r="L49" t="s">
        <v>269</v>
      </c>
      <c r="M49" s="7" t="s">
        <v>727</v>
      </c>
      <c r="O49">
        <v>1</v>
      </c>
      <c r="P49">
        <v>1</v>
      </c>
    </row>
    <row r="50" spans="1:17">
      <c r="A50">
        <v>24</v>
      </c>
      <c r="B50" t="s">
        <v>342</v>
      </c>
      <c r="C50" s="5">
        <v>21</v>
      </c>
      <c r="D50">
        <v>210.41</v>
      </c>
      <c r="E50">
        <v>210.41</v>
      </c>
      <c r="F50" s="12">
        <v>250</v>
      </c>
      <c r="G50" s="26">
        <v>160</v>
      </c>
      <c r="H50" s="22">
        <f t="shared" ref="H50" si="33">E50*0.92</f>
        <v>193.5772</v>
      </c>
      <c r="I50" s="9">
        <f t="shared" ref="I50" si="34">F50/E50 -1</f>
        <v>0.18815645644218426</v>
      </c>
      <c r="J50" s="26">
        <f t="shared" ref="J50" si="35">C50*D50</f>
        <v>4418.6099999999997</v>
      </c>
      <c r="K50" s="18">
        <v>46174</v>
      </c>
      <c r="L50" t="s">
        <v>164</v>
      </c>
      <c r="M50" t="s">
        <v>575</v>
      </c>
      <c r="N50" s="8">
        <v>2</v>
      </c>
      <c r="P50">
        <v>0</v>
      </c>
    </row>
    <row r="51" spans="1:17">
      <c r="A51">
        <v>25</v>
      </c>
      <c r="B51" t="s">
        <v>522</v>
      </c>
      <c r="C51" s="5">
        <v>26</v>
      </c>
      <c r="D51">
        <v>157.72999999999999</v>
      </c>
      <c r="E51">
        <v>157.72999999999999</v>
      </c>
      <c r="F51" s="12">
        <v>250</v>
      </c>
      <c r="G51" s="26">
        <v>115</v>
      </c>
      <c r="H51" s="22">
        <f>E51*0.92</f>
        <v>145.11160000000001</v>
      </c>
      <c r="I51" s="9">
        <f>F51/E51 -1</f>
        <v>0.5849870031065747</v>
      </c>
      <c r="J51" s="26">
        <f>C51*D51</f>
        <v>4100.9799999999996</v>
      </c>
      <c r="K51" s="18">
        <v>46174</v>
      </c>
      <c r="L51" t="s">
        <v>164</v>
      </c>
      <c r="M51" s="7" t="s">
        <v>556</v>
      </c>
      <c r="N51" s="8">
        <v>2</v>
      </c>
      <c r="P51">
        <v>0</v>
      </c>
    </row>
    <row r="58" spans="1:17">
      <c r="B58" s="55"/>
    </row>
    <row r="59" spans="1:17" ht="15.75" customHeight="1">
      <c r="B59" s="54"/>
      <c r="Q59" s="26"/>
    </row>
    <row r="60" spans="1:17" ht="15.75" customHeight="1">
      <c r="B60" s="8"/>
      <c r="C60" s="27"/>
      <c r="D60" s="8"/>
      <c r="E60" s="8"/>
      <c r="F60" s="8"/>
      <c r="H60" s="1"/>
      <c r="I60" s="37"/>
      <c r="Q60" s="26"/>
    </row>
    <row r="61" spans="1:17" ht="15.75" customHeight="1">
      <c r="B61" s="53"/>
      <c r="C61" s="27"/>
      <c r="D61" s="8"/>
      <c r="E61" s="8"/>
      <c r="F61" s="8"/>
      <c r="G61" s="36"/>
      <c r="H61" s="1"/>
      <c r="I61" s="9"/>
      <c r="Q61" s="26"/>
    </row>
    <row r="62" spans="1:17" ht="15.75" customHeight="1">
      <c r="B62" s="52"/>
      <c r="Q62" s="26"/>
    </row>
    <row r="63" spans="1:17" ht="15.75" customHeight="1">
      <c r="Q63" s="26"/>
    </row>
    <row r="64" spans="1:17" ht="15.75" customHeight="1">
      <c r="Q64" s="26"/>
    </row>
    <row r="65" spans="2:17" ht="15.75" customHeight="1">
      <c r="Q65" s="26"/>
    </row>
    <row r="66" spans="2:17" ht="15.75" customHeight="1">
      <c r="Q66" s="26"/>
    </row>
    <row r="67" spans="2:17" ht="15.75" customHeight="1">
      <c r="Q67" s="26"/>
    </row>
    <row r="68" spans="2:17" ht="15.75" customHeight="1">
      <c r="Q68" s="26"/>
    </row>
    <row r="69" spans="2:17" ht="15.75" customHeight="1">
      <c r="Q69" s="26"/>
    </row>
    <row r="70" spans="2:17" ht="15.75" customHeight="1">
      <c r="Q70" s="26"/>
    </row>
    <row r="72" spans="2:17" ht="15.75">
      <c r="B72" s="41"/>
      <c r="C72" s="42"/>
      <c r="D72" s="43"/>
      <c r="E72" s="43"/>
      <c r="F72" s="44"/>
    </row>
    <row r="73" spans="2:17" ht="15.75">
      <c r="B73" s="41"/>
      <c r="C73" s="42"/>
      <c r="D73" s="43"/>
      <c r="E73" s="43"/>
      <c r="F73" s="44"/>
    </row>
    <row r="74" spans="2:17" ht="15.75">
      <c r="B74" s="34" t="s">
        <v>383</v>
      </c>
    </row>
    <row r="75" spans="2:17">
      <c r="B75" t="s">
        <v>410</v>
      </c>
    </row>
    <row r="78" spans="2:17" ht="15.75">
      <c r="B78" s="34" t="s">
        <v>483</v>
      </c>
    </row>
    <row r="79" spans="2:17" ht="15.75">
      <c r="B79" s="34" t="s">
        <v>484</v>
      </c>
    </row>
    <row r="80" spans="2:17">
      <c r="B80" t="s">
        <v>485</v>
      </c>
    </row>
    <row r="83" spans="2:11" ht="16.5">
      <c r="B83" s="39" t="s">
        <v>507</v>
      </c>
      <c r="K83" s="18" t="s">
        <v>508</v>
      </c>
    </row>
    <row r="88" spans="2:11">
      <c r="B88" t="s">
        <v>514</v>
      </c>
      <c r="G88" s="26" t="s">
        <v>527</v>
      </c>
    </row>
    <row r="89" spans="2:11">
      <c r="B89" t="s">
        <v>515</v>
      </c>
    </row>
    <row r="90" spans="2:11">
      <c r="B90" t="s">
        <v>516</v>
      </c>
    </row>
    <row r="91" spans="2:11">
      <c r="B91" t="s">
        <v>517</v>
      </c>
    </row>
    <row r="93" spans="2:11" ht="16.5">
      <c r="B93" s="45" t="s">
        <v>566</v>
      </c>
    </row>
    <row r="96" spans="2:11" ht="15.75">
      <c r="B96" s="40" t="s">
        <v>524</v>
      </c>
    </row>
    <row r="101" spans="2:13">
      <c r="B101" s="48" t="s">
        <v>580</v>
      </c>
    </row>
    <row r="106" spans="2:13">
      <c r="L106" t="s">
        <v>583</v>
      </c>
      <c r="M106" s="5" t="s">
        <v>584</v>
      </c>
    </row>
    <row r="107" spans="2:13">
      <c r="L107" t="s">
        <v>585</v>
      </c>
      <c r="M107" t="s">
        <v>586</v>
      </c>
    </row>
    <row r="108" spans="2:13">
      <c r="L108" t="s">
        <v>587</v>
      </c>
      <c r="M108" t="s">
        <v>588</v>
      </c>
    </row>
    <row r="110" spans="2:13">
      <c r="L110" t="s">
        <v>589</v>
      </c>
      <c r="M110" t="s">
        <v>590</v>
      </c>
    </row>
    <row r="111" spans="2:13">
      <c r="L111" t="s">
        <v>591</v>
      </c>
      <c r="M111" t="s">
        <v>592</v>
      </c>
    </row>
    <row r="112" spans="2:13">
      <c r="L112" t="s">
        <v>593</v>
      </c>
      <c r="M112" t="s">
        <v>594</v>
      </c>
    </row>
    <row r="115" spans="2:3" ht="82.5">
      <c r="B115" s="49" t="s">
        <v>596</v>
      </c>
      <c r="C115" s="5" t="s">
        <v>595</v>
      </c>
    </row>
    <row r="116" spans="2:3" ht="16.5">
      <c r="B116" s="49"/>
    </row>
  </sheetData>
  <sortState xmlns:xlrd2="http://schemas.microsoft.com/office/spreadsheetml/2017/richdata2" ref="B3:Q15">
    <sortCondition ref="M3:M15"/>
  </sortState>
  <hyperlinks>
    <hyperlink ref="B101" r:id="rId1" display="https://j.thetradingpub.com/go/6/5SFFKLVA-5SD8IHU5-5SD8IHT9-BKNZB6.html?email=bilyky%40gmail.com&amp;opt_domain=j.TheTradingPub.com&amp;banner=SAM_453571086029&amp;SCID=YmlseWt5QGdtYWlsLmNvbQ%3D%3D&amp;opt_mandator=354988191864&amp;opt_affiliate=LI_DED_MKB_NON_EXT_LMIC22__28_INDICT&amp;bmMailId=5SFFKLVA-5SD8IHU5-113SK9R" xr:uid="{9D2CF3A1-CCC5-4D19-9A39-D3EF70EAB11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E48F-1681-45B1-A765-1046C8046C8D}">
  <dimension ref="A1:T491"/>
  <sheetViews>
    <sheetView tabSelected="1" zoomScaleNormal="100" workbookViewId="0">
      <selection activeCell="I25" sqref="I25"/>
    </sheetView>
  </sheetViews>
  <sheetFormatPr defaultRowHeight="15"/>
  <cols>
    <col min="1" max="1" width="3.5703125" customWidth="1"/>
    <col min="2" max="3" width="4" bestFit="1" customWidth="1"/>
    <col min="4" max="4" width="7.85546875" bestFit="1" customWidth="1"/>
    <col min="5" max="5" width="27.140625" customWidth="1"/>
    <col min="6" max="7" width="7" style="10" bestFit="1" customWidth="1"/>
    <col min="8" max="8" width="6.7109375" style="10" bestFit="1" customWidth="1"/>
    <col min="9" max="9" width="6" bestFit="1" customWidth="1"/>
    <col min="10" max="10" width="7.5703125" bestFit="1" customWidth="1"/>
    <col min="11" max="11" width="7.5703125" style="10" bestFit="1" customWidth="1"/>
    <col min="15" max="16" width="7.85546875" customWidth="1"/>
    <col min="17" max="17" width="27.140625" bestFit="1" customWidth="1"/>
    <col min="18" max="18" width="15.28515625" bestFit="1" customWidth="1"/>
    <col min="19" max="19" width="12" bestFit="1" customWidth="1"/>
    <col min="20" max="20" width="12.42578125" bestFit="1" customWidth="1"/>
  </cols>
  <sheetData>
    <row r="1" spans="2:20">
      <c r="B1" s="14">
        <v>99</v>
      </c>
      <c r="C1" s="14"/>
      <c r="D1" s="14"/>
      <c r="E1" s="14"/>
      <c r="F1"/>
      <c r="G1"/>
      <c r="H1"/>
      <c r="J1" s="10"/>
      <c r="K1"/>
      <c r="L1" s="10"/>
      <c r="M1" s="10"/>
      <c r="N1" s="10"/>
      <c r="O1" s="10"/>
      <c r="P1" s="10"/>
      <c r="Q1" s="14"/>
      <c r="R1" t="s">
        <v>572</v>
      </c>
      <c r="S1" s="46" t="s">
        <v>573</v>
      </c>
      <c r="T1" t="s">
        <v>571</v>
      </c>
    </row>
    <row r="2" spans="2:20">
      <c r="B2" s="14">
        <v>14</v>
      </c>
      <c r="C2" s="13">
        <v>14</v>
      </c>
      <c r="D2" t="s">
        <v>443</v>
      </c>
      <c r="E2" t="s">
        <v>164</v>
      </c>
      <c r="F2">
        <v>0</v>
      </c>
      <c r="G2" t="s">
        <v>264</v>
      </c>
      <c r="H2" t="s">
        <v>326</v>
      </c>
      <c r="J2" s="10"/>
      <c r="K2">
        <v>151.57</v>
      </c>
      <c r="L2" s="10"/>
      <c r="M2" s="10"/>
      <c r="N2" s="10"/>
      <c r="O2" s="4">
        <v>3.9899999999999998E-2</v>
      </c>
      <c r="P2" s="4">
        <v>3.9899999999999998E-2</v>
      </c>
      <c r="Q2" s="15"/>
      <c r="R2" t="s">
        <v>326</v>
      </c>
      <c r="S2" t="s">
        <v>326</v>
      </c>
      <c r="T2" t="s">
        <v>436</v>
      </c>
    </row>
    <row r="3" spans="2:20">
      <c r="B3" s="14">
        <v>14</v>
      </c>
      <c r="C3" s="13">
        <v>14</v>
      </c>
      <c r="D3" t="s">
        <v>438</v>
      </c>
      <c r="E3" t="s">
        <v>272</v>
      </c>
      <c r="F3">
        <v>0</v>
      </c>
      <c r="G3" t="s">
        <v>258</v>
      </c>
      <c r="H3" t="s">
        <v>325</v>
      </c>
      <c r="J3" s="10">
        <v>68</v>
      </c>
      <c r="K3">
        <v>36.54</v>
      </c>
      <c r="L3" s="10">
        <v>100</v>
      </c>
      <c r="M3" s="10">
        <f t="shared" ref="M3:M8" si="0" xml:space="preserve"> (L3 - K3)/(K3-J3)</f>
        <v>-2.0171646535282899</v>
      </c>
      <c r="N3" s="10">
        <f t="shared" ref="N3:N8" si="1">K3/L3</f>
        <v>0.3654</v>
      </c>
      <c r="O3" s="4">
        <v>1.3100000000000001E-2</v>
      </c>
      <c r="P3" s="4">
        <v>1.3100000000000001E-2</v>
      </c>
      <c r="Q3" s="14"/>
      <c r="R3" t="s">
        <v>327</v>
      </c>
      <c r="S3" t="s">
        <v>326</v>
      </c>
      <c r="T3" t="s">
        <v>436</v>
      </c>
    </row>
    <row r="4" spans="2:20">
      <c r="B4" s="14">
        <v>14</v>
      </c>
      <c r="C4" s="13">
        <v>14</v>
      </c>
      <c r="D4" t="s">
        <v>576</v>
      </c>
      <c r="E4" t="s">
        <v>301</v>
      </c>
      <c r="F4">
        <v>0</v>
      </c>
      <c r="G4" t="s">
        <v>262</v>
      </c>
      <c r="H4" t="s">
        <v>325</v>
      </c>
      <c r="J4" s="10">
        <v>56</v>
      </c>
      <c r="K4">
        <v>63.94</v>
      </c>
      <c r="L4" s="10">
        <v>60</v>
      </c>
      <c r="M4" s="10">
        <f t="shared" si="0"/>
        <v>-0.49622166246851374</v>
      </c>
      <c r="N4" s="10">
        <f t="shared" si="1"/>
        <v>1.0656666666666665</v>
      </c>
      <c r="O4" s="4">
        <v>2.6599999999999999E-2</v>
      </c>
      <c r="P4" s="4">
        <v>2.6599999999999999E-2</v>
      </c>
      <c r="Q4" s="14"/>
      <c r="R4" t="s">
        <v>326</v>
      </c>
      <c r="S4" t="s">
        <v>326</v>
      </c>
      <c r="T4" t="s">
        <v>327</v>
      </c>
    </row>
    <row r="5" spans="2:20">
      <c r="B5" s="14">
        <v>14</v>
      </c>
      <c r="C5" s="13">
        <v>14</v>
      </c>
      <c r="D5" t="s">
        <v>667</v>
      </c>
      <c r="F5">
        <v>0</v>
      </c>
      <c r="G5" t="s">
        <v>258</v>
      </c>
      <c r="H5" t="s">
        <v>325</v>
      </c>
      <c r="J5" s="10">
        <v>17</v>
      </c>
      <c r="K5">
        <v>23.98</v>
      </c>
      <c r="L5" s="10">
        <v>20</v>
      </c>
      <c r="M5" s="10">
        <f t="shared" si="0"/>
        <v>-0.57020057306590266</v>
      </c>
      <c r="N5" s="10">
        <f t="shared" si="1"/>
        <v>1.1990000000000001</v>
      </c>
      <c r="O5" s="4">
        <v>6.4999999999999997E-3</v>
      </c>
      <c r="P5" s="4">
        <v>6.4999999999999997E-3</v>
      </c>
      <c r="Q5" s="14"/>
      <c r="R5" t="s">
        <v>325</v>
      </c>
      <c r="S5" t="s">
        <v>325</v>
      </c>
      <c r="T5" t="s">
        <v>327</v>
      </c>
    </row>
    <row r="6" spans="2:20">
      <c r="B6" s="14">
        <v>14</v>
      </c>
      <c r="C6" s="13">
        <v>14</v>
      </c>
      <c r="D6" t="s">
        <v>648</v>
      </c>
      <c r="E6" t="s">
        <v>289</v>
      </c>
      <c r="F6">
        <v>0</v>
      </c>
      <c r="G6" t="s">
        <v>258</v>
      </c>
      <c r="H6" t="s">
        <v>326</v>
      </c>
      <c r="J6" s="10">
        <v>80</v>
      </c>
      <c r="K6">
        <v>86.27</v>
      </c>
      <c r="L6" s="10">
        <v>100</v>
      </c>
      <c r="M6" s="10">
        <f t="shared" si="0"/>
        <v>2.1897926634768758</v>
      </c>
      <c r="N6" s="10">
        <f t="shared" si="1"/>
        <v>0.86269999999999991</v>
      </c>
      <c r="O6" s="28">
        <v>0.01</v>
      </c>
      <c r="P6" s="28">
        <v>0.01</v>
      </c>
      <c r="Q6" s="15"/>
      <c r="R6" t="s">
        <v>325</v>
      </c>
      <c r="S6" t="s">
        <v>326</v>
      </c>
      <c r="T6" t="s">
        <v>436</v>
      </c>
    </row>
    <row r="7" spans="2:20">
      <c r="B7" s="14">
        <v>14</v>
      </c>
      <c r="C7" s="13">
        <v>14</v>
      </c>
      <c r="D7" t="s">
        <v>386</v>
      </c>
      <c r="E7" t="s">
        <v>417</v>
      </c>
      <c r="F7">
        <v>0</v>
      </c>
      <c r="G7" t="s">
        <v>257</v>
      </c>
      <c r="H7" t="s">
        <v>325</v>
      </c>
      <c r="J7" s="10">
        <v>51</v>
      </c>
      <c r="K7">
        <v>57.19</v>
      </c>
      <c r="L7" s="10">
        <v>57</v>
      </c>
      <c r="M7" s="10">
        <f t="shared" si="0"/>
        <v>-3.0694668820678159E-2</v>
      </c>
      <c r="N7" s="10">
        <f t="shared" si="1"/>
        <v>1.0033333333333332</v>
      </c>
      <c r="O7" s="4">
        <v>-6.4299999999999996E-2</v>
      </c>
      <c r="P7" s="4">
        <v>-6.4299999999999996E-2</v>
      </c>
      <c r="Q7" s="15" t="s">
        <v>569</v>
      </c>
      <c r="R7" t="s">
        <v>327</v>
      </c>
      <c r="S7" t="s">
        <v>327</v>
      </c>
      <c r="T7" t="s">
        <v>327</v>
      </c>
    </row>
    <row r="8" spans="2:20">
      <c r="B8" s="14">
        <v>14</v>
      </c>
      <c r="C8" s="13">
        <v>14</v>
      </c>
      <c r="D8" t="s">
        <v>143</v>
      </c>
      <c r="E8" t="s">
        <v>266</v>
      </c>
      <c r="F8">
        <v>0</v>
      </c>
      <c r="G8" t="s">
        <v>258</v>
      </c>
      <c r="H8" t="s">
        <v>325</v>
      </c>
      <c r="J8" s="10">
        <v>34</v>
      </c>
      <c r="K8">
        <v>43.08</v>
      </c>
      <c r="L8" s="10">
        <v>36</v>
      </c>
      <c r="M8" s="10">
        <f t="shared" si="0"/>
        <v>-0.77973568281938321</v>
      </c>
      <c r="N8" s="10">
        <f t="shared" si="1"/>
        <v>1.1966666666666665</v>
      </c>
      <c r="O8" s="4">
        <v>1.2800000000000001E-2</v>
      </c>
      <c r="P8" s="4">
        <v>1.2800000000000001E-2</v>
      </c>
      <c r="Q8" s="14" t="s">
        <v>144</v>
      </c>
      <c r="R8" t="s">
        <v>325</v>
      </c>
      <c r="S8" t="s">
        <v>327</v>
      </c>
      <c r="T8" t="s">
        <v>329</v>
      </c>
    </row>
    <row r="9" spans="2:20">
      <c r="B9" s="14">
        <v>14</v>
      </c>
      <c r="C9" s="13">
        <v>14</v>
      </c>
      <c r="D9" t="s">
        <v>714</v>
      </c>
      <c r="F9">
        <v>0</v>
      </c>
      <c r="G9" t="s">
        <v>260</v>
      </c>
      <c r="H9" t="s">
        <v>325</v>
      </c>
      <c r="J9" s="10"/>
      <c r="K9">
        <v>160.82</v>
      </c>
      <c r="L9" s="10"/>
      <c r="M9" s="10"/>
      <c r="N9" s="10"/>
      <c r="O9" s="4">
        <v>2.3E-3</v>
      </c>
      <c r="P9" s="4">
        <v>2.3E-3</v>
      </c>
      <c r="Q9" s="14"/>
      <c r="R9" t="s">
        <v>325</v>
      </c>
      <c r="S9" t="s">
        <v>325</v>
      </c>
      <c r="T9" t="s">
        <v>327</v>
      </c>
    </row>
    <row r="10" spans="2:20">
      <c r="B10" s="14">
        <v>14</v>
      </c>
      <c r="C10" s="13">
        <v>14</v>
      </c>
      <c r="D10" t="s">
        <v>478</v>
      </c>
      <c r="E10" t="s">
        <v>301</v>
      </c>
      <c r="F10">
        <v>0</v>
      </c>
      <c r="G10" t="s">
        <v>262</v>
      </c>
      <c r="H10" t="s">
        <v>325</v>
      </c>
      <c r="J10" s="10">
        <v>50</v>
      </c>
      <c r="K10">
        <v>69.099999999999994</v>
      </c>
      <c r="L10" s="10">
        <v>55</v>
      </c>
      <c r="M10" s="10">
        <f t="shared" ref="M10:M15" si="2" xml:space="preserve"> (L10 - K10)/(K10-J10)</f>
        <v>-0.73821989528795806</v>
      </c>
      <c r="N10" s="10">
        <f t="shared" ref="N10:N15" si="3">K10/L10</f>
        <v>1.2563636363636363</v>
      </c>
      <c r="O10" s="4">
        <v>2.63E-2</v>
      </c>
      <c r="P10" s="4">
        <v>2.63E-2</v>
      </c>
      <c r="Q10" s="15"/>
      <c r="R10" t="s">
        <v>326</v>
      </c>
      <c r="S10" t="s">
        <v>326</v>
      </c>
      <c r="T10" t="s">
        <v>327</v>
      </c>
    </row>
    <row r="11" spans="2:20">
      <c r="B11" s="14">
        <v>14</v>
      </c>
      <c r="C11" s="13">
        <v>14</v>
      </c>
      <c r="D11" t="s">
        <v>216</v>
      </c>
      <c r="E11" t="s">
        <v>217</v>
      </c>
      <c r="F11" t="s">
        <v>261</v>
      </c>
      <c r="G11" t="s">
        <v>261</v>
      </c>
      <c r="H11" t="s">
        <v>325</v>
      </c>
      <c r="J11" s="10">
        <v>82</v>
      </c>
      <c r="K11">
        <v>108.68</v>
      </c>
      <c r="L11" s="10">
        <v>94</v>
      </c>
      <c r="M11" s="10">
        <f t="shared" si="2"/>
        <v>-0.55022488755622201</v>
      </c>
      <c r="N11" s="10">
        <f t="shared" si="3"/>
        <v>1.1561702127659574</v>
      </c>
      <c r="O11" s="4">
        <v>1.84E-2</v>
      </c>
      <c r="P11" s="4">
        <v>1.84E-2</v>
      </c>
      <c r="Q11" s="14" t="s">
        <v>217</v>
      </c>
      <c r="R11" t="s">
        <v>325</v>
      </c>
      <c r="S11" t="s">
        <v>325</v>
      </c>
      <c r="T11" t="s">
        <v>329</v>
      </c>
    </row>
    <row r="12" spans="2:20">
      <c r="B12" s="14">
        <v>14</v>
      </c>
      <c r="C12" s="13">
        <v>14</v>
      </c>
      <c r="D12" t="s">
        <v>539</v>
      </c>
      <c r="E12" t="s">
        <v>534</v>
      </c>
      <c r="F12" t="s">
        <v>258</v>
      </c>
      <c r="G12" t="s">
        <v>258</v>
      </c>
      <c r="H12" t="s">
        <v>325</v>
      </c>
      <c r="J12" s="10">
        <v>44</v>
      </c>
      <c r="K12">
        <v>57.85</v>
      </c>
      <c r="L12" s="10">
        <v>50</v>
      </c>
      <c r="M12" s="10">
        <f t="shared" si="2"/>
        <v>-0.56678700361010836</v>
      </c>
      <c r="N12" s="10">
        <f t="shared" si="3"/>
        <v>1.157</v>
      </c>
      <c r="O12" s="4">
        <v>5.8999999999999999E-3</v>
      </c>
      <c r="P12" s="4">
        <v>5.8999999999999999E-3</v>
      </c>
      <c r="Q12" s="14"/>
      <c r="R12" t="s">
        <v>325</v>
      </c>
      <c r="S12" t="s">
        <v>326</v>
      </c>
      <c r="T12" t="s">
        <v>327</v>
      </c>
    </row>
    <row r="13" spans="2:20">
      <c r="B13" s="14">
        <v>14</v>
      </c>
      <c r="C13" s="13">
        <v>14</v>
      </c>
      <c r="D13" t="s">
        <v>250</v>
      </c>
      <c r="E13" t="s">
        <v>416</v>
      </c>
      <c r="F13" t="s">
        <v>260</v>
      </c>
      <c r="G13" t="s">
        <v>260</v>
      </c>
      <c r="H13" t="s">
        <v>325</v>
      </c>
      <c r="J13" s="10">
        <v>37.5</v>
      </c>
      <c r="K13">
        <v>38.799999999999997</v>
      </c>
      <c r="L13" s="10">
        <v>47.5</v>
      </c>
      <c r="M13" s="10">
        <f t="shared" si="2"/>
        <v>6.6923076923077094</v>
      </c>
      <c r="N13" s="10">
        <f t="shared" si="3"/>
        <v>0.81684210526315781</v>
      </c>
      <c r="O13" s="4">
        <v>-2.4199999999999999E-2</v>
      </c>
      <c r="P13" s="4">
        <v>-2.4199999999999999E-2</v>
      </c>
      <c r="Q13" s="14"/>
      <c r="R13" t="s">
        <v>325</v>
      </c>
      <c r="S13" t="s">
        <v>325</v>
      </c>
      <c r="T13" t="s">
        <v>327</v>
      </c>
    </row>
    <row r="14" spans="2:20">
      <c r="B14" s="14">
        <v>14</v>
      </c>
      <c r="C14" s="13">
        <v>14</v>
      </c>
      <c r="D14" t="s">
        <v>665</v>
      </c>
      <c r="F14" t="s">
        <v>258</v>
      </c>
      <c r="G14" t="s">
        <v>258</v>
      </c>
      <c r="H14" t="s">
        <v>325</v>
      </c>
      <c r="J14" s="10">
        <v>36</v>
      </c>
      <c r="K14">
        <v>47.36</v>
      </c>
      <c r="L14" s="10">
        <v>45</v>
      </c>
      <c r="M14" s="10">
        <f t="shared" si="2"/>
        <v>-0.20774647887323941</v>
      </c>
      <c r="N14" s="10">
        <f t="shared" si="3"/>
        <v>1.0524444444444445</v>
      </c>
      <c r="O14" s="4">
        <v>4.8999999999999998E-3</v>
      </c>
      <c r="P14" s="4">
        <v>4.8999999999999998E-3</v>
      </c>
      <c r="Q14" s="14"/>
      <c r="R14" t="s">
        <v>327</v>
      </c>
      <c r="S14" t="s">
        <v>326</v>
      </c>
      <c r="T14" t="s">
        <v>436</v>
      </c>
    </row>
    <row r="15" spans="2:20">
      <c r="B15" s="14">
        <v>14</v>
      </c>
      <c r="C15" s="13">
        <v>14</v>
      </c>
      <c r="D15" t="s">
        <v>548</v>
      </c>
      <c r="E15" t="s">
        <v>335</v>
      </c>
      <c r="F15"/>
      <c r="G15"/>
      <c r="H15" t="s">
        <v>326</v>
      </c>
      <c r="J15" s="10">
        <v>99</v>
      </c>
      <c r="K15">
        <v>106.66</v>
      </c>
      <c r="L15" s="10">
        <v>104</v>
      </c>
      <c r="M15" s="10">
        <f t="shared" si="2"/>
        <v>-0.34725848563968642</v>
      </c>
      <c r="N15" s="10">
        <f t="shared" si="3"/>
        <v>1.0255769230769229</v>
      </c>
      <c r="O15" s="4">
        <v>5.9999999999999995E-4</v>
      </c>
      <c r="P15" s="4">
        <v>5.9999999999999995E-4</v>
      </c>
      <c r="Q15" s="15" t="s">
        <v>549</v>
      </c>
      <c r="R15" t="s">
        <v>325</v>
      </c>
      <c r="S15" t="s">
        <v>327</v>
      </c>
      <c r="T15" t="s">
        <v>436</v>
      </c>
    </row>
    <row r="16" spans="2:20">
      <c r="B16" s="14">
        <v>14</v>
      </c>
      <c r="C16" s="13">
        <v>14</v>
      </c>
      <c r="D16" t="s">
        <v>728</v>
      </c>
      <c r="F16"/>
      <c r="G16"/>
      <c r="H16"/>
      <c r="J16" s="10"/>
      <c r="K16"/>
      <c r="L16" s="10"/>
      <c r="M16" s="10"/>
      <c r="N16" s="10"/>
      <c r="O16" s="4"/>
      <c r="P16" s="4"/>
      <c r="Q16" s="15"/>
    </row>
    <row r="17" spans="2:20">
      <c r="B17" s="14">
        <v>14</v>
      </c>
      <c r="C17" s="13">
        <v>14</v>
      </c>
      <c r="D17" t="s">
        <v>666</v>
      </c>
      <c r="F17" t="s">
        <v>259</v>
      </c>
      <c r="G17" t="s">
        <v>259</v>
      </c>
      <c r="H17" t="s">
        <v>325</v>
      </c>
      <c r="J17" s="10">
        <v>25</v>
      </c>
      <c r="K17">
        <v>33.479999999999997</v>
      </c>
      <c r="L17" s="10">
        <v>35</v>
      </c>
      <c r="M17" s="10">
        <f xml:space="preserve"> (L17 - K17)/(K17-J17)</f>
        <v>0.17924528301886836</v>
      </c>
      <c r="N17" s="10">
        <f>K17/L17</f>
        <v>0.95657142857142852</v>
      </c>
      <c r="O17" s="4">
        <v>7.1999999999999998E-3</v>
      </c>
      <c r="P17" s="4">
        <v>7.1999999999999998E-3</v>
      </c>
      <c r="Q17" s="14"/>
      <c r="R17" t="s">
        <v>326</v>
      </c>
      <c r="S17" t="s">
        <v>327</v>
      </c>
      <c r="T17" t="s">
        <v>327</v>
      </c>
    </row>
    <row r="18" spans="2:20">
      <c r="B18" s="14">
        <v>14</v>
      </c>
      <c r="C18" s="13">
        <v>14</v>
      </c>
      <c r="D18" t="s">
        <v>23</v>
      </c>
      <c r="E18" t="s">
        <v>265</v>
      </c>
      <c r="F18" t="s">
        <v>261</v>
      </c>
      <c r="G18" t="s">
        <v>261</v>
      </c>
      <c r="H18" t="s">
        <v>325</v>
      </c>
      <c r="J18" s="10">
        <v>120</v>
      </c>
      <c r="K18">
        <v>175.47</v>
      </c>
      <c r="L18" s="10">
        <v>150</v>
      </c>
      <c r="M18" s="10">
        <f xml:space="preserve"> (L18 - K18)/(K18-J18)</f>
        <v>-0.45916711736073551</v>
      </c>
      <c r="N18" s="10">
        <f>K18/L18</f>
        <v>1.1698</v>
      </c>
      <c r="O18" s="4">
        <v>2.2499999999999999E-2</v>
      </c>
      <c r="P18" s="4">
        <v>2.2499999999999999E-2</v>
      </c>
      <c r="Q18" s="14" t="s">
        <v>63</v>
      </c>
      <c r="R18" t="s">
        <v>325</v>
      </c>
      <c r="S18" t="s">
        <v>327</v>
      </c>
      <c r="T18" t="s">
        <v>329</v>
      </c>
    </row>
    <row r="19" spans="2:20">
      <c r="B19" s="14">
        <v>14</v>
      </c>
      <c r="C19" s="13">
        <v>14</v>
      </c>
      <c r="D19" t="s">
        <v>663</v>
      </c>
      <c r="E19" t="s">
        <v>88</v>
      </c>
      <c r="F19" t="s">
        <v>258</v>
      </c>
      <c r="G19" t="s">
        <v>258</v>
      </c>
      <c r="H19" t="s">
        <v>325</v>
      </c>
      <c r="J19" s="10"/>
      <c r="K19">
        <v>103.4</v>
      </c>
      <c r="L19" s="10"/>
      <c r="M19" s="10"/>
      <c r="N19" s="10"/>
      <c r="O19" s="4">
        <v>-2.8E-3</v>
      </c>
      <c r="P19" s="4">
        <v>-2.8E-3</v>
      </c>
      <c r="Q19" s="14"/>
      <c r="R19" t="s">
        <v>326</v>
      </c>
      <c r="S19" t="s">
        <v>326</v>
      </c>
      <c r="T19" t="s">
        <v>327</v>
      </c>
    </row>
    <row r="20" spans="2:20">
      <c r="B20" s="14">
        <v>8</v>
      </c>
      <c r="C20" s="38">
        <v>8</v>
      </c>
      <c r="D20" t="s">
        <v>490</v>
      </c>
      <c r="E20" t="s">
        <v>110</v>
      </c>
      <c r="F20" t="s">
        <v>261</v>
      </c>
      <c r="G20" t="s">
        <v>261</v>
      </c>
      <c r="H20" t="s">
        <v>325</v>
      </c>
      <c r="I20" s="8"/>
      <c r="J20" s="11">
        <v>18</v>
      </c>
      <c r="K20">
        <v>23.45</v>
      </c>
      <c r="L20" s="10">
        <v>24</v>
      </c>
      <c r="M20" s="10">
        <f xml:space="preserve"> (L20 - K20)/(K20-J20)</f>
        <v>0.10091743119266069</v>
      </c>
      <c r="N20" s="10">
        <f>K20/L20</f>
        <v>0.9770833333333333</v>
      </c>
      <c r="O20" s="4">
        <v>9.1999999999999998E-3</v>
      </c>
      <c r="P20" s="4">
        <v>9.1999999999999998E-3</v>
      </c>
      <c r="Q20" s="14"/>
      <c r="R20" t="s">
        <v>326</v>
      </c>
      <c r="S20" t="s">
        <v>326</v>
      </c>
      <c r="T20" t="s">
        <v>328</v>
      </c>
    </row>
    <row r="21" spans="2:20">
      <c r="B21" s="14">
        <v>7</v>
      </c>
      <c r="C21" s="20">
        <v>7</v>
      </c>
      <c r="D21" t="s">
        <v>77</v>
      </c>
      <c r="E21" t="s">
        <v>136</v>
      </c>
      <c r="F21" t="s">
        <v>257</v>
      </c>
      <c r="G21" t="s">
        <v>262</v>
      </c>
      <c r="H21" t="s">
        <v>326</v>
      </c>
      <c r="J21" s="10">
        <v>320</v>
      </c>
      <c r="K21">
        <v>454.09</v>
      </c>
      <c r="L21" s="10">
        <v>360</v>
      </c>
      <c r="M21" s="10">
        <f xml:space="preserve"> (L21 - K21)/(K21-J21)</f>
        <v>-0.70169289283317171</v>
      </c>
      <c r="N21" s="10">
        <f>K21/L21</f>
        <v>1.2613611111111109</v>
      </c>
      <c r="O21" s="4">
        <v>5.6899999999999999E-2</v>
      </c>
      <c r="P21" s="4">
        <v>5.6899999999999999E-2</v>
      </c>
      <c r="Q21" s="14" t="s">
        <v>186</v>
      </c>
      <c r="R21" t="s">
        <v>325</v>
      </c>
      <c r="S21" t="s">
        <v>325</v>
      </c>
      <c r="T21" t="s">
        <v>328</v>
      </c>
    </row>
    <row r="22" spans="2:20">
      <c r="B22" s="14">
        <v>7</v>
      </c>
      <c r="C22" s="20">
        <v>7</v>
      </c>
      <c r="D22" t="s">
        <v>175</v>
      </c>
      <c r="E22" t="s">
        <v>215</v>
      </c>
      <c r="F22" t="s">
        <v>264</v>
      </c>
      <c r="G22" t="s">
        <v>264</v>
      </c>
      <c r="H22" t="s">
        <v>326</v>
      </c>
      <c r="J22" s="10">
        <v>110</v>
      </c>
      <c r="K22">
        <v>200.55</v>
      </c>
      <c r="L22" s="10">
        <v>130</v>
      </c>
      <c r="M22" s="10">
        <f xml:space="preserve"> (L22 - K22)/(K22-J22)</f>
        <v>-0.77912755383765875</v>
      </c>
      <c r="N22" s="10">
        <f>K22/L22</f>
        <v>1.5426923076923078</v>
      </c>
      <c r="O22" s="4">
        <v>8.0000000000000004E-4</v>
      </c>
      <c r="P22" s="4">
        <v>8.0000000000000004E-4</v>
      </c>
      <c r="Q22" s="14" t="s">
        <v>99</v>
      </c>
      <c r="R22" t="s">
        <v>327</v>
      </c>
      <c r="S22" t="s">
        <v>326</v>
      </c>
      <c r="T22" t="s">
        <v>327</v>
      </c>
    </row>
    <row r="23" spans="2:20">
      <c r="B23" s="14">
        <v>7</v>
      </c>
      <c r="C23" s="20">
        <v>7</v>
      </c>
      <c r="D23" t="s">
        <v>378</v>
      </c>
      <c r="E23" t="s">
        <v>284</v>
      </c>
      <c r="F23" t="s">
        <v>262</v>
      </c>
      <c r="G23" t="s">
        <v>262</v>
      </c>
      <c r="H23" t="s">
        <v>326</v>
      </c>
      <c r="I23" s="7"/>
      <c r="J23" s="11">
        <v>58</v>
      </c>
      <c r="K23">
        <v>72.349999999999994</v>
      </c>
      <c r="L23" s="10">
        <v>70</v>
      </c>
      <c r="M23" s="10">
        <f xml:space="preserve"> (L23 - K23)/(K23-J23)</f>
        <v>-0.16376306620209027</v>
      </c>
      <c r="N23" s="10">
        <f>K23/L23</f>
        <v>1.0335714285714286</v>
      </c>
      <c r="O23" s="4">
        <v>-1.6000000000000001E-3</v>
      </c>
      <c r="P23" s="4">
        <v>-1.6000000000000001E-3</v>
      </c>
      <c r="Q23" s="15"/>
      <c r="R23" t="s">
        <v>326</v>
      </c>
      <c r="S23" t="s">
        <v>326</v>
      </c>
      <c r="T23" t="s">
        <v>328</v>
      </c>
    </row>
    <row r="24" spans="2:20">
      <c r="B24" s="14">
        <v>6</v>
      </c>
      <c r="C24" s="31">
        <v>6</v>
      </c>
      <c r="D24" t="s">
        <v>381</v>
      </c>
      <c r="E24" t="s">
        <v>293</v>
      </c>
      <c r="F24" t="s">
        <v>261</v>
      </c>
      <c r="G24" t="s">
        <v>261</v>
      </c>
      <c r="H24" t="s">
        <v>325</v>
      </c>
      <c r="J24" s="10"/>
      <c r="K24">
        <v>438.62</v>
      </c>
      <c r="L24" s="10"/>
      <c r="M24" s="10"/>
      <c r="N24" s="10"/>
      <c r="O24" s="4">
        <v>1.3599999999999999E-2</v>
      </c>
      <c r="P24" s="4">
        <v>1.3599999999999999E-2</v>
      </c>
      <c r="Q24" s="15"/>
      <c r="R24" t="s">
        <v>326</v>
      </c>
      <c r="S24" t="s">
        <v>326</v>
      </c>
      <c r="T24" t="s">
        <v>327</v>
      </c>
    </row>
    <row r="25" spans="2:20">
      <c r="B25" s="14">
        <v>6</v>
      </c>
      <c r="C25" s="31">
        <v>6</v>
      </c>
      <c r="D25" t="s">
        <v>366</v>
      </c>
      <c r="E25" t="s">
        <v>269</v>
      </c>
      <c r="F25" t="s">
        <v>258</v>
      </c>
      <c r="G25" t="s">
        <v>257</v>
      </c>
      <c r="H25" t="s">
        <v>326</v>
      </c>
      <c r="J25" s="10">
        <v>50</v>
      </c>
      <c r="K25">
        <v>58.18</v>
      </c>
      <c r="L25" s="10">
        <v>60</v>
      </c>
      <c r="M25" s="10">
        <f xml:space="preserve"> (L25 - K25)/(K25-J25)</f>
        <v>0.2224938875305624</v>
      </c>
      <c r="N25" s="10">
        <f>K25/L25</f>
        <v>0.96966666666666668</v>
      </c>
      <c r="O25" s="28">
        <v>0.01</v>
      </c>
      <c r="P25" s="28">
        <v>0.01</v>
      </c>
      <c r="Q25" s="15"/>
      <c r="R25" t="s">
        <v>325</v>
      </c>
      <c r="S25" t="s">
        <v>325</v>
      </c>
      <c r="T25" t="s">
        <v>328</v>
      </c>
    </row>
    <row r="26" spans="2:20">
      <c r="B26" s="14">
        <v>6</v>
      </c>
      <c r="C26" s="31">
        <v>6</v>
      </c>
      <c r="D26" t="s">
        <v>150</v>
      </c>
      <c r="E26" t="s">
        <v>273</v>
      </c>
      <c r="F26" t="s">
        <v>260</v>
      </c>
      <c r="G26" t="s">
        <v>260</v>
      </c>
      <c r="H26" t="s">
        <v>325</v>
      </c>
      <c r="J26" s="10">
        <v>90</v>
      </c>
      <c r="K26">
        <v>94.43</v>
      </c>
      <c r="L26" s="10">
        <v>110</v>
      </c>
      <c r="M26" s="10">
        <f xml:space="preserve"> (L26 - K26)/(K26-J26)</f>
        <v>3.5146726862302415</v>
      </c>
      <c r="N26" s="10"/>
      <c r="O26" s="4">
        <v>-1.34E-2</v>
      </c>
      <c r="P26" s="4">
        <v>-1.34E-2</v>
      </c>
      <c r="Q26" s="14" t="s">
        <v>151</v>
      </c>
      <c r="R26" t="s">
        <v>325</v>
      </c>
      <c r="S26" t="s">
        <v>325</v>
      </c>
      <c r="T26" t="s">
        <v>327</v>
      </c>
    </row>
    <row r="27" spans="2:20">
      <c r="B27" s="14">
        <v>6</v>
      </c>
      <c r="C27" s="31">
        <v>6</v>
      </c>
      <c r="D27" t="s">
        <v>246</v>
      </c>
      <c r="E27" t="s">
        <v>416</v>
      </c>
      <c r="F27" t="s">
        <v>261</v>
      </c>
      <c r="G27" t="s">
        <v>257</v>
      </c>
      <c r="H27" t="s">
        <v>325</v>
      </c>
      <c r="J27" s="10">
        <v>55</v>
      </c>
      <c r="K27">
        <v>73.260000000000005</v>
      </c>
      <c r="L27" s="10">
        <v>58</v>
      </c>
      <c r="M27" s="10">
        <f xml:space="preserve"> (L27 - K27)/(K27-J27)</f>
        <v>-0.83570646221248635</v>
      </c>
      <c r="N27" s="10">
        <f>K27/L27</f>
        <v>1.2631034482758621</v>
      </c>
      <c r="O27" s="4">
        <v>2.0899999999999998E-2</v>
      </c>
      <c r="P27" s="4">
        <v>2.0899999999999998E-2</v>
      </c>
      <c r="Q27" s="14"/>
      <c r="R27" t="s">
        <v>325</v>
      </c>
      <c r="S27" t="s">
        <v>325</v>
      </c>
      <c r="T27" t="s">
        <v>327</v>
      </c>
    </row>
    <row r="28" spans="2:20">
      <c r="B28" s="14">
        <v>6</v>
      </c>
      <c r="C28" s="31">
        <v>6</v>
      </c>
      <c r="D28" t="s">
        <v>171</v>
      </c>
      <c r="E28" t="s">
        <v>368</v>
      </c>
      <c r="F28" t="s">
        <v>262</v>
      </c>
      <c r="G28" t="s">
        <v>262</v>
      </c>
      <c r="H28" t="s">
        <v>326</v>
      </c>
      <c r="J28">
        <v>62.42</v>
      </c>
      <c r="K28">
        <v>64.489999999999995</v>
      </c>
      <c r="L28">
        <v>66.650000000000006</v>
      </c>
      <c r="M28" s="10">
        <f xml:space="preserve"> (L28 - K28)/(K28-J28)</f>
        <v>1.0434782608695738</v>
      </c>
      <c r="N28" s="10">
        <f>K28/L28</f>
        <v>0.96759189797449341</v>
      </c>
      <c r="O28" s="4">
        <v>3.5999999999999999E-3</v>
      </c>
      <c r="P28" s="4">
        <v>3.5999999999999999E-3</v>
      </c>
      <c r="Q28" s="15"/>
      <c r="R28" t="s">
        <v>325</v>
      </c>
      <c r="S28" t="s">
        <v>325</v>
      </c>
      <c r="T28" t="s">
        <v>329</v>
      </c>
    </row>
    <row r="29" spans="2:20">
      <c r="B29" s="14">
        <v>6</v>
      </c>
      <c r="C29" s="31">
        <v>6</v>
      </c>
      <c r="D29" t="s">
        <v>364</v>
      </c>
      <c r="E29" t="s">
        <v>272</v>
      </c>
      <c r="F29" t="s">
        <v>261</v>
      </c>
      <c r="G29" t="s">
        <v>261</v>
      </c>
      <c r="H29" t="s">
        <v>325</v>
      </c>
      <c r="I29" s="7"/>
      <c r="J29" s="10">
        <v>150</v>
      </c>
      <c r="K29">
        <v>235.61</v>
      </c>
      <c r="L29" s="10">
        <v>180</v>
      </c>
      <c r="M29" s="10">
        <f xml:space="preserve"> (L29 - K29)/(K29-J29)</f>
        <v>-0.64957364793832506</v>
      </c>
      <c r="N29" s="10">
        <f>K29/L29</f>
        <v>1.3089444444444445</v>
      </c>
      <c r="O29" s="4">
        <v>-4.4999999999999997E-3</v>
      </c>
      <c r="P29" s="4">
        <v>-4.4999999999999997E-3</v>
      </c>
      <c r="Q29" s="14"/>
      <c r="R29" t="s">
        <v>325</v>
      </c>
      <c r="S29" t="s">
        <v>325</v>
      </c>
      <c r="T29" t="s">
        <v>327</v>
      </c>
    </row>
    <row r="30" spans="2:20">
      <c r="B30" s="14">
        <v>5</v>
      </c>
      <c r="C30" s="21">
        <v>5</v>
      </c>
      <c r="D30" s="8" t="s">
        <v>707</v>
      </c>
      <c r="E30" t="s">
        <v>291</v>
      </c>
      <c r="F30" t="s">
        <v>257</v>
      </c>
      <c r="G30" t="s">
        <v>257</v>
      </c>
      <c r="H30" t="s">
        <v>325</v>
      </c>
      <c r="J30" s="10"/>
      <c r="K30">
        <v>13.96</v>
      </c>
      <c r="L30" s="10"/>
      <c r="M30" s="10"/>
      <c r="N30" s="10"/>
      <c r="O30" s="4">
        <v>-1.29E-2</v>
      </c>
      <c r="P30" s="4">
        <v>-1.29E-2</v>
      </c>
      <c r="Q30" s="15"/>
      <c r="R30" t="s">
        <v>327</v>
      </c>
      <c r="S30" t="s">
        <v>325</v>
      </c>
      <c r="T30" t="s">
        <v>328</v>
      </c>
    </row>
    <row r="31" spans="2:20">
      <c r="B31" s="14">
        <v>5</v>
      </c>
      <c r="C31" s="21">
        <v>5</v>
      </c>
      <c r="D31" s="8" t="s">
        <v>713</v>
      </c>
      <c r="E31" t="s">
        <v>341</v>
      </c>
      <c r="F31" t="s">
        <v>263</v>
      </c>
      <c r="G31" t="s">
        <v>263</v>
      </c>
      <c r="H31" t="s">
        <v>326</v>
      </c>
      <c r="J31" s="10"/>
      <c r="K31">
        <v>124.34</v>
      </c>
      <c r="L31" s="10"/>
      <c r="M31" s="10"/>
      <c r="N31" s="10"/>
      <c r="O31" s="4">
        <v>2.07E-2</v>
      </c>
      <c r="P31" s="4">
        <v>2.07E-2</v>
      </c>
      <c r="Q31" s="15"/>
      <c r="R31" t="s">
        <v>326</v>
      </c>
      <c r="S31" t="s">
        <v>327</v>
      </c>
      <c r="T31" t="s">
        <v>328</v>
      </c>
    </row>
    <row r="32" spans="2:20">
      <c r="B32" s="14">
        <v>5</v>
      </c>
      <c r="C32" s="21">
        <v>5</v>
      </c>
      <c r="D32" t="s">
        <v>349</v>
      </c>
      <c r="E32" t="s">
        <v>293</v>
      </c>
      <c r="F32" t="s">
        <v>260</v>
      </c>
      <c r="G32" t="s">
        <v>260</v>
      </c>
      <c r="H32" t="s">
        <v>325</v>
      </c>
      <c r="J32" s="10">
        <v>70</v>
      </c>
      <c r="K32">
        <v>114.95</v>
      </c>
      <c r="L32" s="10">
        <v>90</v>
      </c>
      <c r="M32" s="10">
        <f xml:space="preserve"> (L32 - K32)/(K32-J32)</f>
        <v>-0.55506117908787544</v>
      </c>
      <c r="N32" s="10">
        <f>K32/L32</f>
        <v>1.2772222222222223</v>
      </c>
      <c r="O32" s="4">
        <v>2.46E-2</v>
      </c>
      <c r="P32" s="4">
        <v>2.46E-2</v>
      </c>
      <c r="Q32" s="14"/>
      <c r="R32" t="s">
        <v>327</v>
      </c>
      <c r="S32" t="s">
        <v>327</v>
      </c>
      <c r="T32" t="s">
        <v>327</v>
      </c>
    </row>
    <row r="33" spans="2:20">
      <c r="B33" s="14">
        <v>5</v>
      </c>
      <c r="C33" s="21">
        <v>5</v>
      </c>
      <c r="D33" t="s">
        <v>486</v>
      </c>
      <c r="E33" t="s">
        <v>255</v>
      </c>
      <c r="F33" t="s">
        <v>261</v>
      </c>
      <c r="G33" t="s">
        <v>261</v>
      </c>
      <c r="H33" t="s">
        <v>325</v>
      </c>
      <c r="I33" s="8"/>
      <c r="J33" s="11">
        <v>16</v>
      </c>
      <c r="K33">
        <v>24.14</v>
      </c>
      <c r="L33" s="10">
        <v>20</v>
      </c>
      <c r="M33" s="10">
        <f xml:space="preserve"> (L33 - K33)/(K33-J33)</f>
        <v>-0.50859950859950864</v>
      </c>
      <c r="N33" s="10">
        <f>K33/L33</f>
        <v>1.2070000000000001</v>
      </c>
      <c r="O33" s="4">
        <v>-2.1000000000000001E-2</v>
      </c>
      <c r="P33" s="4">
        <v>-2.1000000000000001E-2</v>
      </c>
      <c r="Q33" s="15"/>
      <c r="R33" t="s">
        <v>325</v>
      </c>
      <c r="S33" t="s">
        <v>326</v>
      </c>
      <c r="T33" t="s">
        <v>329</v>
      </c>
    </row>
    <row r="34" spans="2:20">
      <c r="B34" s="14">
        <v>5</v>
      </c>
      <c r="C34" s="21">
        <v>5</v>
      </c>
      <c r="D34" s="8" t="s">
        <v>513</v>
      </c>
      <c r="E34" t="s">
        <v>164</v>
      </c>
      <c r="F34" t="s">
        <v>258</v>
      </c>
      <c r="G34" t="s">
        <v>258</v>
      </c>
      <c r="H34" t="s">
        <v>326</v>
      </c>
      <c r="J34" s="10">
        <v>60</v>
      </c>
      <c r="K34">
        <v>76.63</v>
      </c>
      <c r="L34" s="10">
        <v>90</v>
      </c>
      <c r="M34" s="10">
        <f xml:space="preserve"> (L34 - K34)/(K34-J34)</f>
        <v>0.80396873120865953</v>
      </c>
      <c r="N34" s="10">
        <f>K34/L34</f>
        <v>0.85144444444444445</v>
      </c>
      <c r="O34" s="4">
        <v>3.8999999999999998E-3</v>
      </c>
      <c r="P34" s="4">
        <v>3.8999999999999998E-3</v>
      </c>
      <c r="Q34" s="15"/>
      <c r="R34" t="s">
        <v>325</v>
      </c>
      <c r="S34" t="s">
        <v>325</v>
      </c>
      <c r="T34" t="s">
        <v>327</v>
      </c>
    </row>
    <row r="35" spans="2:20">
      <c r="B35" s="14">
        <v>5</v>
      </c>
      <c r="C35" s="21">
        <v>5</v>
      </c>
      <c r="D35" s="8" t="s">
        <v>722</v>
      </c>
      <c r="F35" t="s">
        <v>258</v>
      </c>
      <c r="G35" t="s">
        <v>258</v>
      </c>
      <c r="H35" t="s">
        <v>325</v>
      </c>
      <c r="J35" s="10"/>
      <c r="K35"/>
      <c r="L35" s="10"/>
      <c r="M35" s="10"/>
      <c r="N35" s="10"/>
      <c r="O35" s="4"/>
      <c r="P35" s="4"/>
      <c r="Q35" s="15"/>
    </row>
    <row r="36" spans="2:20">
      <c r="B36" s="14">
        <v>5</v>
      </c>
      <c r="C36" s="21">
        <v>5</v>
      </c>
      <c r="D36" t="s">
        <v>658</v>
      </c>
      <c r="E36" t="s">
        <v>267</v>
      </c>
      <c r="F36" t="s">
        <v>260</v>
      </c>
      <c r="G36" t="s">
        <v>260</v>
      </c>
      <c r="H36" t="s">
        <v>325</v>
      </c>
      <c r="I36" s="8"/>
      <c r="J36" s="11">
        <v>9</v>
      </c>
      <c r="K36">
        <v>14.05</v>
      </c>
      <c r="L36" s="11">
        <v>12</v>
      </c>
      <c r="M36" s="10">
        <f xml:space="preserve"> (L36 - K36)/(K36-J36)</f>
        <v>-0.40594059405940602</v>
      </c>
      <c r="N36" s="10">
        <f>K36/L36</f>
        <v>1.1708333333333334</v>
      </c>
      <c r="O36" s="4">
        <v>-2.29E-2</v>
      </c>
      <c r="P36" s="4">
        <v>-2.29E-2</v>
      </c>
      <c r="Q36" s="15"/>
      <c r="R36" t="s">
        <v>325</v>
      </c>
      <c r="S36" t="s">
        <v>325</v>
      </c>
      <c r="T36" t="s">
        <v>327</v>
      </c>
    </row>
    <row r="37" spans="2:20">
      <c r="B37" s="14">
        <v>5</v>
      </c>
      <c r="C37" s="21">
        <v>5</v>
      </c>
      <c r="D37" t="s">
        <v>424</v>
      </c>
      <c r="E37" t="s">
        <v>267</v>
      </c>
      <c r="F37" t="s">
        <v>260</v>
      </c>
      <c r="G37" t="s">
        <v>260</v>
      </c>
      <c r="H37" t="s">
        <v>325</v>
      </c>
      <c r="I37" s="8"/>
      <c r="J37" s="11">
        <v>35</v>
      </c>
      <c r="K37">
        <v>52.1</v>
      </c>
      <c r="L37" s="10">
        <v>43</v>
      </c>
      <c r="M37" s="10">
        <f xml:space="preserve"> (L37 - K37)/(K37-J37)</f>
        <v>-0.53216374269005851</v>
      </c>
      <c r="N37" s="10">
        <f>K37/L37</f>
        <v>1.2116279069767442</v>
      </c>
      <c r="O37" s="4">
        <v>1.29E-2</v>
      </c>
      <c r="P37" s="4">
        <v>1.29E-2</v>
      </c>
      <c r="Q37" s="33" t="s">
        <v>425</v>
      </c>
      <c r="R37" t="s">
        <v>325</v>
      </c>
      <c r="S37" t="s">
        <v>325</v>
      </c>
      <c r="T37" t="s">
        <v>436</v>
      </c>
    </row>
    <row r="38" spans="2:20">
      <c r="B38" s="14">
        <v>5</v>
      </c>
      <c r="C38" s="21">
        <v>5</v>
      </c>
      <c r="D38" t="s">
        <v>380</v>
      </c>
      <c r="E38" t="s">
        <v>375</v>
      </c>
      <c r="F38" t="s">
        <v>258</v>
      </c>
      <c r="G38" t="s">
        <v>258</v>
      </c>
      <c r="H38" t="s">
        <v>325</v>
      </c>
      <c r="I38" s="8"/>
      <c r="J38" s="11">
        <v>185</v>
      </c>
      <c r="K38">
        <v>300.98</v>
      </c>
      <c r="L38" s="10">
        <v>200</v>
      </c>
      <c r="M38" s="10">
        <f xml:space="preserve"> (L38 - K38)/(K38-J38)</f>
        <v>-0.87066735644076565</v>
      </c>
      <c r="N38" s="10">
        <f>K38/L38</f>
        <v>1.5049000000000001</v>
      </c>
      <c r="O38" s="4">
        <v>-1.06E-2</v>
      </c>
      <c r="P38" s="4">
        <v>-1.06E-2</v>
      </c>
      <c r="Q38" s="14"/>
      <c r="R38" t="s">
        <v>327</v>
      </c>
      <c r="S38" t="s">
        <v>326</v>
      </c>
      <c r="T38" t="s">
        <v>328</v>
      </c>
    </row>
    <row r="39" spans="2:20">
      <c r="B39" s="14">
        <v>4</v>
      </c>
      <c r="C39" s="14"/>
      <c r="D39" t="s">
        <v>619</v>
      </c>
      <c r="E39" t="s">
        <v>110</v>
      </c>
      <c r="F39" t="s">
        <v>258</v>
      </c>
      <c r="G39" t="s">
        <v>258</v>
      </c>
      <c r="H39" t="s">
        <v>325</v>
      </c>
      <c r="J39" s="10">
        <v>230</v>
      </c>
      <c r="K39">
        <v>203.67</v>
      </c>
      <c r="L39" s="10">
        <v>440</v>
      </c>
      <c r="M39" s="10">
        <f xml:space="preserve"> (L39 - K39)/(K39-J39)</f>
        <v>-8.9756931257121124</v>
      </c>
      <c r="N39" s="10">
        <f>K39/L39</f>
        <v>0.4628863636363636</v>
      </c>
      <c r="O39" s="4">
        <v>-3.4799999999999998E-2</v>
      </c>
      <c r="P39" s="4">
        <v>-3.4799999999999998E-2</v>
      </c>
      <c r="Q39" s="14"/>
      <c r="R39" t="s">
        <v>327</v>
      </c>
      <c r="S39" t="s">
        <v>326</v>
      </c>
      <c r="T39" t="s">
        <v>329</v>
      </c>
    </row>
    <row r="40" spans="2:20">
      <c r="B40" s="14">
        <v>4</v>
      </c>
      <c r="C40" s="14"/>
      <c r="D40" s="8" t="s">
        <v>711</v>
      </c>
      <c r="E40" t="s">
        <v>415</v>
      </c>
      <c r="F40" t="s">
        <v>260</v>
      </c>
      <c r="G40" t="s">
        <v>260</v>
      </c>
      <c r="H40" t="s">
        <v>325</v>
      </c>
      <c r="J40" s="10"/>
      <c r="K40">
        <v>52.19</v>
      </c>
      <c r="L40" s="10"/>
      <c r="M40" s="10"/>
      <c r="N40" s="10"/>
      <c r="O40" s="4">
        <v>0.18870000000000001</v>
      </c>
      <c r="P40" s="4">
        <v>0.18870000000000001</v>
      </c>
      <c r="Q40" s="14"/>
      <c r="R40" t="s">
        <v>325</v>
      </c>
      <c r="S40" t="s">
        <v>327</v>
      </c>
      <c r="T40" t="s">
        <v>329</v>
      </c>
    </row>
    <row r="41" spans="2:20">
      <c r="B41" s="14">
        <v>4</v>
      </c>
      <c r="C41" s="14"/>
      <c r="D41" s="8" t="s">
        <v>706</v>
      </c>
      <c r="E41" t="s">
        <v>293</v>
      </c>
      <c r="F41" t="s">
        <v>261</v>
      </c>
      <c r="G41" t="s">
        <v>261</v>
      </c>
      <c r="H41" t="s">
        <v>325</v>
      </c>
      <c r="J41" s="10"/>
      <c r="K41">
        <v>77.81</v>
      </c>
      <c r="L41" s="10"/>
      <c r="M41" s="10"/>
      <c r="N41" s="10"/>
      <c r="O41" s="4">
        <v>1.6799999999999999E-2</v>
      </c>
      <c r="P41" s="4">
        <v>1.6799999999999999E-2</v>
      </c>
      <c r="Q41" s="15"/>
      <c r="R41" t="s">
        <v>326</v>
      </c>
      <c r="S41" t="s">
        <v>326</v>
      </c>
      <c r="T41" t="s">
        <v>328</v>
      </c>
    </row>
    <row r="42" spans="2:20">
      <c r="B42" s="14">
        <v>4</v>
      </c>
      <c r="C42" s="14"/>
      <c r="D42" t="s">
        <v>492</v>
      </c>
      <c r="E42" t="s">
        <v>537</v>
      </c>
      <c r="F42"/>
      <c r="G42"/>
      <c r="H42" t="s">
        <v>325</v>
      </c>
      <c r="J42" s="10">
        <v>30</v>
      </c>
      <c r="K42">
        <v>18.149999999999999</v>
      </c>
      <c r="L42" s="10">
        <v>100</v>
      </c>
      <c r="M42" s="10">
        <f xml:space="preserve"> (L42 - K42)/(K42-J42)</f>
        <v>-6.9071729957805896</v>
      </c>
      <c r="N42" s="10">
        <f>K42/L42</f>
        <v>0.18149999999999999</v>
      </c>
      <c r="O42" s="4">
        <v>-2.0999999999999999E-3</v>
      </c>
      <c r="P42" s="4">
        <v>-2.0999999999999999E-3</v>
      </c>
      <c r="Q42" s="14" t="s">
        <v>493</v>
      </c>
      <c r="R42" t="s">
        <v>327</v>
      </c>
      <c r="S42" t="s">
        <v>325</v>
      </c>
      <c r="T42" t="s">
        <v>436</v>
      </c>
    </row>
    <row r="43" spans="2:20">
      <c r="B43" s="14">
        <v>4</v>
      </c>
      <c r="C43" s="14"/>
      <c r="D43" t="s">
        <v>712</v>
      </c>
      <c r="E43" t="s">
        <v>284</v>
      </c>
      <c r="F43" t="s">
        <v>263</v>
      </c>
      <c r="G43" t="s">
        <v>263</v>
      </c>
      <c r="H43" t="s">
        <v>326</v>
      </c>
      <c r="J43" s="10"/>
      <c r="K43">
        <v>190.1</v>
      </c>
      <c r="L43" s="10"/>
      <c r="M43" s="10"/>
      <c r="N43" s="10"/>
      <c r="O43" s="4">
        <v>9.7000000000000003E-3</v>
      </c>
      <c r="P43" s="4">
        <v>9.7000000000000003E-3</v>
      </c>
      <c r="Q43" s="14"/>
      <c r="R43" t="s">
        <v>326</v>
      </c>
      <c r="S43" t="s">
        <v>326</v>
      </c>
      <c r="T43" t="s">
        <v>327</v>
      </c>
    </row>
    <row r="44" spans="2:20">
      <c r="B44" s="14">
        <v>4</v>
      </c>
      <c r="C44" s="14"/>
      <c r="D44" t="s">
        <v>715</v>
      </c>
      <c r="E44" t="s">
        <v>289</v>
      </c>
      <c r="F44" t="s">
        <v>264</v>
      </c>
      <c r="G44" t="s">
        <v>264</v>
      </c>
      <c r="H44" t="s">
        <v>326</v>
      </c>
      <c r="J44" s="10"/>
      <c r="K44">
        <v>69.5</v>
      </c>
      <c r="L44" s="10"/>
      <c r="M44" s="10"/>
      <c r="N44" s="10"/>
      <c r="O44" s="4">
        <v>8.2000000000000007E-3</v>
      </c>
      <c r="P44" s="4">
        <v>8.2000000000000007E-3</v>
      </c>
      <c r="Q44" s="14"/>
      <c r="R44" t="s">
        <v>326</v>
      </c>
      <c r="S44" t="s">
        <v>326</v>
      </c>
      <c r="T44" t="s">
        <v>328</v>
      </c>
    </row>
    <row r="45" spans="2:20">
      <c r="B45" s="14">
        <v>4</v>
      </c>
      <c r="C45" s="14"/>
      <c r="D45" t="s">
        <v>456</v>
      </c>
      <c r="E45" t="s">
        <v>289</v>
      </c>
      <c r="F45" t="s">
        <v>258</v>
      </c>
      <c r="G45" t="s">
        <v>258</v>
      </c>
      <c r="H45" t="s">
        <v>326</v>
      </c>
      <c r="J45" s="10">
        <v>220</v>
      </c>
      <c r="K45">
        <v>173.08</v>
      </c>
      <c r="L45" s="10">
        <v>240</v>
      </c>
      <c r="M45" s="10">
        <f t="shared" ref="M45:M83" si="4" xml:space="preserve"> (L45 - K45)/(K45-J45)</f>
        <v>-1.4262574595055415</v>
      </c>
      <c r="N45" s="10">
        <f t="shared" ref="N45:N90" si="5">K45/L45</f>
        <v>0.72116666666666673</v>
      </c>
      <c r="O45" s="4">
        <v>1.5800000000000002E-2</v>
      </c>
      <c r="P45" s="4">
        <v>1.5800000000000002E-2</v>
      </c>
      <c r="Q45" s="14"/>
      <c r="R45" t="s">
        <v>325</v>
      </c>
      <c r="S45" t="s">
        <v>327</v>
      </c>
      <c r="T45" t="s">
        <v>329</v>
      </c>
    </row>
    <row r="46" spans="2:20">
      <c r="B46" s="14">
        <v>4</v>
      </c>
      <c r="C46" s="14"/>
      <c r="D46" t="s">
        <v>318</v>
      </c>
      <c r="E46" t="s">
        <v>104</v>
      </c>
      <c r="F46" t="s">
        <v>261</v>
      </c>
      <c r="G46" t="s">
        <v>261</v>
      </c>
      <c r="H46" t="s">
        <v>326</v>
      </c>
      <c r="J46" s="10">
        <v>330</v>
      </c>
      <c r="K46">
        <v>199.86</v>
      </c>
      <c r="L46" s="10">
        <v>380</v>
      </c>
      <c r="M46" s="10">
        <f t="shared" si="4"/>
        <v>-1.3842016290149071</v>
      </c>
      <c r="N46" s="10">
        <f t="shared" si="5"/>
        <v>0.52594736842105272</v>
      </c>
      <c r="O46" s="4">
        <v>9.7999999999999997E-3</v>
      </c>
      <c r="P46" s="4">
        <v>9.7999999999999997E-3</v>
      </c>
      <c r="Q46" s="14"/>
      <c r="R46" t="s">
        <v>326</v>
      </c>
      <c r="S46" t="s">
        <v>326</v>
      </c>
      <c r="T46" t="s">
        <v>436</v>
      </c>
    </row>
    <row r="47" spans="2:20">
      <c r="B47" s="14">
        <v>4</v>
      </c>
      <c r="C47" s="14"/>
      <c r="D47" t="s">
        <v>655</v>
      </c>
      <c r="E47" t="s">
        <v>256</v>
      </c>
      <c r="F47" t="s">
        <v>258</v>
      </c>
      <c r="G47" t="s">
        <v>258</v>
      </c>
      <c r="H47" t="s">
        <v>326</v>
      </c>
      <c r="J47" s="10">
        <v>15</v>
      </c>
      <c r="K47">
        <v>17.32</v>
      </c>
      <c r="L47" s="10">
        <v>20</v>
      </c>
      <c r="M47" s="10">
        <f t="shared" si="4"/>
        <v>1.1551724137931032</v>
      </c>
      <c r="N47" s="10">
        <f t="shared" si="5"/>
        <v>0.86599999999999999</v>
      </c>
      <c r="O47" s="4">
        <v>3.4200000000000001E-2</v>
      </c>
      <c r="P47" s="4">
        <v>3.4200000000000001E-2</v>
      </c>
      <c r="Q47" s="15" t="s">
        <v>656</v>
      </c>
      <c r="R47" t="s">
        <v>325</v>
      </c>
      <c r="S47" t="s">
        <v>327</v>
      </c>
      <c r="T47" t="s">
        <v>329</v>
      </c>
    </row>
    <row r="48" spans="2:20">
      <c r="B48" s="14">
        <v>4</v>
      </c>
      <c r="C48" s="14"/>
      <c r="D48" t="s">
        <v>447</v>
      </c>
      <c r="E48" t="s">
        <v>255</v>
      </c>
      <c r="F48" t="s">
        <v>258</v>
      </c>
      <c r="G48" t="s">
        <v>257</v>
      </c>
      <c r="H48" t="s">
        <v>325</v>
      </c>
      <c r="I48" s="8"/>
      <c r="J48" s="11">
        <v>100</v>
      </c>
      <c r="K48">
        <v>128.49</v>
      </c>
      <c r="L48" s="10">
        <v>170</v>
      </c>
      <c r="M48" s="10">
        <f t="shared" si="4"/>
        <v>1.4570024570024562</v>
      </c>
      <c r="N48" s="10">
        <f t="shared" si="5"/>
        <v>0.75582352941176478</v>
      </c>
      <c r="O48" s="4">
        <v>4.65E-2</v>
      </c>
      <c r="P48" s="4">
        <v>4.65E-2</v>
      </c>
      <c r="Q48" s="14"/>
      <c r="R48" t="s">
        <v>326</v>
      </c>
      <c r="S48" t="s">
        <v>326</v>
      </c>
      <c r="T48" t="s">
        <v>436</v>
      </c>
    </row>
    <row r="49" spans="2:20">
      <c r="B49" s="14">
        <v>4</v>
      </c>
      <c r="C49" s="14"/>
      <c r="D49" t="s">
        <v>433</v>
      </c>
      <c r="E49" t="s">
        <v>88</v>
      </c>
      <c r="F49" t="s">
        <v>260</v>
      </c>
      <c r="G49" t="s">
        <v>260</v>
      </c>
      <c r="H49" t="s">
        <v>325</v>
      </c>
      <c r="J49" s="10">
        <v>160</v>
      </c>
      <c r="K49">
        <v>357.31</v>
      </c>
      <c r="L49" s="10">
        <v>220</v>
      </c>
      <c r="M49" s="10">
        <f t="shared" si="4"/>
        <v>-0.69590998935684967</v>
      </c>
      <c r="N49" s="10">
        <f t="shared" si="5"/>
        <v>1.6241363636363637</v>
      </c>
      <c r="O49" s="4">
        <v>8.0799999999999997E-2</v>
      </c>
      <c r="P49" s="4">
        <v>8.0799999999999997E-2</v>
      </c>
      <c r="Q49" s="15"/>
      <c r="R49" t="s">
        <v>325</v>
      </c>
      <c r="S49" t="s">
        <v>327</v>
      </c>
      <c r="T49" t="s">
        <v>327</v>
      </c>
    </row>
    <row r="50" spans="2:20">
      <c r="B50" s="14">
        <v>4</v>
      </c>
      <c r="C50" s="14"/>
      <c r="D50" t="s">
        <v>358</v>
      </c>
      <c r="E50" t="s">
        <v>276</v>
      </c>
      <c r="F50" t="s">
        <v>261</v>
      </c>
      <c r="G50" t="s">
        <v>261</v>
      </c>
      <c r="H50" t="s">
        <v>325</v>
      </c>
      <c r="J50" s="10">
        <v>400</v>
      </c>
      <c r="K50">
        <v>627.65</v>
      </c>
      <c r="L50" s="10">
        <v>600</v>
      </c>
      <c r="M50" s="10">
        <f t="shared" si="4"/>
        <v>-0.12145837909070933</v>
      </c>
      <c r="N50" s="10">
        <f t="shared" si="5"/>
        <v>1.0460833333333333</v>
      </c>
      <c r="O50" s="4">
        <v>2.3800000000000002E-2</v>
      </c>
      <c r="P50" s="4">
        <v>2.3800000000000002E-2</v>
      </c>
      <c r="Q50" s="14"/>
      <c r="R50" t="s">
        <v>325</v>
      </c>
      <c r="S50" t="s">
        <v>325</v>
      </c>
      <c r="T50" t="s">
        <v>327</v>
      </c>
    </row>
    <row r="51" spans="2:20">
      <c r="B51" s="14">
        <v>4</v>
      </c>
      <c r="C51" s="14"/>
      <c r="D51" t="s">
        <v>633</v>
      </c>
      <c r="E51" t="s">
        <v>164</v>
      </c>
      <c r="F51" t="s">
        <v>257</v>
      </c>
      <c r="G51" t="s">
        <v>257</v>
      </c>
      <c r="H51" t="s">
        <v>326</v>
      </c>
      <c r="J51" s="10">
        <v>150</v>
      </c>
      <c r="K51">
        <v>150.75</v>
      </c>
      <c r="L51" s="10">
        <v>200</v>
      </c>
      <c r="M51" s="10">
        <f t="shared" si="4"/>
        <v>65.666666666666671</v>
      </c>
      <c r="N51" s="10">
        <f t="shared" si="5"/>
        <v>0.75375000000000003</v>
      </c>
      <c r="O51" s="4">
        <v>1.77E-2</v>
      </c>
      <c r="P51" s="4">
        <v>1.77E-2</v>
      </c>
      <c r="Q51" s="14"/>
      <c r="R51" t="s">
        <v>326</v>
      </c>
      <c r="S51" t="s">
        <v>326</v>
      </c>
      <c r="T51" t="s">
        <v>327</v>
      </c>
    </row>
    <row r="52" spans="2:20">
      <c r="B52" s="14">
        <v>4</v>
      </c>
      <c r="C52" s="14"/>
      <c r="D52" t="s">
        <v>577</v>
      </c>
      <c r="E52" t="s">
        <v>332</v>
      </c>
      <c r="F52" t="s">
        <v>264</v>
      </c>
      <c r="G52" t="s">
        <v>264</v>
      </c>
      <c r="H52" t="s">
        <v>326</v>
      </c>
      <c r="J52" s="10">
        <v>118</v>
      </c>
      <c r="K52">
        <v>90.55</v>
      </c>
      <c r="L52" s="10">
        <v>180</v>
      </c>
      <c r="M52" s="10">
        <f t="shared" si="4"/>
        <v>-3.258652094717668</v>
      </c>
      <c r="N52" s="10">
        <f t="shared" si="5"/>
        <v>0.50305555555555559</v>
      </c>
      <c r="O52" s="4">
        <v>1.2E-2</v>
      </c>
      <c r="P52" s="4">
        <v>1.2E-2</v>
      </c>
      <c r="Q52" s="14"/>
      <c r="R52" t="s">
        <v>325</v>
      </c>
      <c r="S52" t="s">
        <v>326</v>
      </c>
      <c r="T52" t="s">
        <v>329</v>
      </c>
    </row>
    <row r="53" spans="2:20">
      <c r="B53" s="14">
        <v>4</v>
      </c>
      <c r="C53" s="14"/>
      <c r="D53" t="s">
        <v>523</v>
      </c>
      <c r="E53" t="s">
        <v>88</v>
      </c>
      <c r="F53" t="s">
        <v>260</v>
      </c>
      <c r="G53" t="s">
        <v>260</v>
      </c>
      <c r="H53" t="s">
        <v>325</v>
      </c>
      <c r="J53" s="10">
        <v>670</v>
      </c>
      <c r="K53">
        <v>1317.24</v>
      </c>
      <c r="L53" s="10">
        <v>1000</v>
      </c>
      <c r="M53" s="10">
        <f t="shared" si="4"/>
        <v>-0.49014276002719237</v>
      </c>
      <c r="N53" s="10">
        <f t="shared" si="5"/>
        <v>1.31724</v>
      </c>
      <c r="O53" s="4">
        <v>-2.0000000000000001E-4</v>
      </c>
      <c r="P53" s="4">
        <v>-2.0000000000000001E-4</v>
      </c>
      <c r="Q53" s="14"/>
      <c r="R53" t="s">
        <v>325</v>
      </c>
      <c r="S53" t="s">
        <v>327</v>
      </c>
      <c r="T53" t="s">
        <v>327</v>
      </c>
    </row>
    <row r="54" spans="2:20">
      <c r="B54" s="14">
        <v>4</v>
      </c>
      <c r="C54" s="14"/>
      <c r="D54" t="s">
        <v>677</v>
      </c>
      <c r="E54" t="s">
        <v>88</v>
      </c>
      <c r="F54" t="s">
        <v>257</v>
      </c>
      <c r="G54" t="s">
        <v>257</v>
      </c>
      <c r="H54" t="s">
        <v>325</v>
      </c>
      <c r="J54" s="10">
        <v>62</v>
      </c>
      <c r="K54">
        <v>165.92</v>
      </c>
      <c r="L54" s="10">
        <v>100</v>
      </c>
      <c r="M54" s="10">
        <f t="shared" si="4"/>
        <v>-0.63433410315627403</v>
      </c>
      <c r="N54" s="10">
        <f t="shared" si="5"/>
        <v>1.6591999999999998</v>
      </c>
      <c r="O54" s="4">
        <v>4.2599999999999999E-2</v>
      </c>
      <c r="P54" s="4">
        <v>4.2599999999999999E-2</v>
      </c>
      <c r="Q54" s="14"/>
      <c r="R54" t="s">
        <v>325</v>
      </c>
      <c r="S54" t="s">
        <v>326</v>
      </c>
      <c r="T54" t="s">
        <v>327</v>
      </c>
    </row>
    <row r="55" spans="2:20">
      <c r="B55" s="14">
        <v>4</v>
      </c>
      <c r="C55" s="14"/>
      <c r="D55" t="s">
        <v>60</v>
      </c>
      <c r="E55" t="s">
        <v>88</v>
      </c>
      <c r="F55" t="s">
        <v>260</v>
      </c>
      <c r="G55" t="s">
        <v>260</v>
      </c>
      <c r="H55" t="s">
        <v>325</v>
      </c>
      <c r="J55" s="10">
        <v>120</v>
      </c>
      <c r="K55">
        <v>423</v>
      </c>
      <c r="L55" s="10">
        <v>160</v>
      </c>
      <c r="M55" s="10">
        <f t="shared" si="4"/>
        <v>-0.86798679867986794</v>
      </c>
      <c r="N55" s="10">
        <f t="shared" si="5"/>
        <v>2.6437499999999998</v>
      </c>
      <c r="O55" s="4">
        <v>-5.5999999999999999E-3</v>
      </c>
      <c r="P55" s="4">
        <v>-5.5999999999999999E-3</v>
      </c>
      <c r="Q55" s="15"/>
      <c r="R55" t="s">
        <v>325</v>
      </c>
      <c r="S55" t="s">
        <v>325</v>
      </c>
      <c r="T55" t="s">
        <v>436</v>
      </c>
    </row>
    <row r="56" spans="2:20">
      <c r="B56" s="14">
        <v>4</v>
      </c>
      <c r="C56" s="14"/>
      <c r="D56" t="s">
        <v>26</v>
      </c>
      <c r="E56" t="s">
        <v>265</v>
      </c>
      <c r="F56" t="s">
        <v>260</v>
      </c>
      <c r="G56" t="s">
        <v>260</v>
      </c>
      <c r="H56" t="s">
        <v>325</v>
      </c>
      <c r="J56" s="10">
        <v>24.32</v>
      </c>
      <c r="K56">
        <v>33.97</v>
      </c>
      <c r="L56" s="10">
        <v>28.28</v>
      </c>
      <c r="M56" s="10">
        <f t="shared" si="4"/>
        <v>-0.5896373056994817</v>
      </c>
      <c r="N56" s="10">
        <f t="shared" si="5"/>
        <v>1.2012022630834511</v>
      </c>
      <c r="O56" s="4">
        <v>1.9199999999999998E-2</v>
      </c>
      <c r="P56" s="4">
        <v>1.9199999999999998E-2</v>
      </c>
      <c r="Q56" s="14" t="s">
        <v>63</v>
      </c>
      <c r="R56" t="s">
        <v>325</v>
      </c>
      <c r="S56" t="s">
        <v>327</v>
      </c>
      <c r="T56" t="s">
        <v>329</v>
      </c>
    </row>
    <row r="57" spans="2:20">
      <c r="B57" s="14">
        <v>4</v>
      </c>
      <c r="C57" s="14"/>
      <c r="D57" t="s">
        <v>639</v>
      </c>
      <c r="E57" t="s">
        <v>265</v>
      </c>
      <c r="F57" t="s">
        <v>260</v>
      </c>
      <c r="G57" t="s">
        <v>260</v>
      </c>
      <c r="H57" t="s">
        <v>325</v>
      </c>
      <c r="I57" s="8"/>
      <c r="J57" s="11">
        <v>26</v>
      </c>
      <c r="K57">
        <v>44.79</v>
      </c>
      <c r="L57" s="10">
        <v>40</v>
      </c>
      <c r="M57" s="10">
        <f t="shared" si="4"/>
        <v>-0.25492283129324106</v>
      </c>
      <c r="N57" s="10">
        <f t="shared" si="5"/>
        <v>1.11975</v>
      </c>
      <c r="O57" s="4">
        <v>1.26E-2</v>
      </c>
      <c r="P57" s="4">
        <v>1.26E-2</v>
      </c>
      <c r="Q57" s="15" t="s">
        <v>640</v>
      </c>
      <c r="R57" t="s">
        <v>325</v>
      </c>
      <c r="S57" t="s">
        <v>325</v>
      </c>
      <c r="T57" t="s">
        <v>327</v>
      </c>
    </row>
    <row r="58" spans="2:20">
      <c r="B58" s="14">
        <v>4</v>
      </c>
      <c r="C58" s="14"/>
      <c r="D58" s="6" t="s">
        <v>123</v>
      </c>
      <c r="E58" t="s">
        <v>617</v>
      </c>
      <c r="F58" t="s">
        <v>258</v>
      </c>
      <c r="G58" t="s">
        <v>258</v>
      </c>
      <c r="H58" t="s">
        <v>325</v>
      </c>
      <c r="J58" s="10">
        <v>10</v>
      </c>
      <c r="K58">
        <v>14.09</v>
      </c>
      <c r="L58" s="10">
        <v>15</v>
      </c>
      <c r="M58" s="10">
        <f t="shared" si="4"/>
        <v>0.2224938875305624</v>
      </c>
      <c r="N58" s="10">
        <f t="shared" si="5"/>
        <v>0.93933333333333335</v>
      </c>
      <c r="O58" s="4">
        <v>4.8999999999999998E-3</v>
      </c>
      <c r="P58" s="4">
        <v>4.8999999999999998E-3</v>
      </c>
      <c r="Q58" s="15"/>
      <c r="R58" t="s">
        <v>325</v>
      </c>
      <c r="S58" t="s">
        <v>327</v>
      </c>
      <c r="T58" t="s">
        <v>329</v>
      </c>
    </row>
    <row r="59" spans="2:20">
      <c r="B59" s="14">
        <v>4</v>
      </c>
      <c r="C59" s="14"/>
      <c r="D59" t="s">
        <v>204</v>
      </c>
      <c r="E59" t="s">
        <v>265</v>
      </c>
      <c r="F59" t="s">
        <v>258</v>
      </c>
      <c r="G59" t="s">
        <v>261</v>
      </c>
      <c r="H59" t="s">
        <v>325</v>
      </c>
      <c r="J59" s="11">
        <v>155</v>
      </c>
      <c r="K59">
        <v>201.76</v>
      </c>
      <c r="L59" s="10">
        <v>180</v>
      </c>
      <c r="M59" s="10">
        <f t="shared" si="4"/>
        <v>-0.46535500427715987</v>
      </c>
      <c r="N59" s="10">
        <f t="shared" si="5"/>
        <v>1.1208888888888888</v>
      </c>
      <c r="O59" s="4">
        <v>7.3000000000000001E-3</v>
      </c>
      <c r="P59" s="4">
        <v>7.3000000000000001E-3</v>
      </c>
      <c r="Q59" s="14" t="s">
        <v>205</v>
      </c>
      <c r="R59" t="s">
        <v>325</v>
      </c>
      <c r="S59" t="s">
        <v>327</v>
      </c>
      <c r="T59" t="s">
        <v>327</v>
      </c>
    </row>
    <row r="60" spans="2:20">
      <c r="B60" s="14">
        <v>4</v>
      </c>
      <c r="C60" s="14"/>
      <c r="D60" t="s">
        <v>13</v>
      </c>
      <c r="E60" t="s">
        <v>296</v>
      </c>
      <c r="F60" t="s">
        <v>260</v>
      </c>
      <c r="G60" t="s">
        <v>260</v>
      </c>
      <c r="H60" t="s">
        <v>325</v>
      </c>
      <c r="I60" s="7"/>
      <c r="J60" s="10">
        <v>88</v>
      </c>
      <c r="K60">
        <v>59.35</v>
      </c>
      <c r="L60" s="10">
        <v>100</v>
      </c>
      <c r="M60" s="10">
        <f t="shared" si="4"/>
        <v>-1.418848167539267</v>
      </c>
      <c r="N60" s="10">
        <f t="shared" si="5"/>
        <v>0.59350000000000003</v>
      </c>
      <c r="O60" s="4">
        <v>6.7000000000000002E-3</v>
      </c>
      <c r="P60" s="4">
        <v>6.7000000000000002E-3</v>
      </c>
      <c r="Q60" t="s">
        <v>74</v>
      </c>
      <c r="R60" t="s">
        <v>325</v>
      </c>
      <c r="S60" t="s">
        <v>327</v>
      </c>
      <c r="T60" t="s">
        <v>329</v>
      </c>
    </row>
    <row r="61" spans="2:20" ht="13.5" customHeight="1">
      <c r="B61" s="14">
        <v>4</v>
      </c>
      <c r="C61" s="14"/>
      <c r="D61" t="s">
        <v>423</v>
      </c>
      <c r="E61" t="s">
        <v>291</v>
      </c>
      <c r="F61" t="s">
        <v>258</v>
      </c>
      <c r="G61" t="s">
        <v>258</v>
      </c>
      <c r="H61" t="s">
        <v>325</v>
      </c>
      <c r="I61" s="56"/>
      <c r="J61" s="11">
        <v>47.5</v>
      </c>
      <c r="K61">
        <v>51.24</v>
      </c>
      <c r="L61" s="10">
        <v>55</v>
      </c>
      <c r="M61" s="10">
        <f t="shared" si="4"/>
        <v>1.0053475935828866</v>
      </c>
      <c r="N61" s="10">
        <f t="shared" si="5"/>
        <v>0.93163636363636371</v>
      </c>
      <c r="O61" s="4">
        <v>-2.3999999999999998E-3</v>
      </c>
      <c r="P61" s="4">
        <v>-2.3999999999999998E-3</v>
      </c>
      <c r="Q61" s="15" t="s">
        <v>618</v>
      </c>
      <c r="R61" t="s">
        <v>325</v>
      </c>
      <c r="S61" t="s">
        <v>325</v>
      </c>
      <c r="T61" t="s">
        <v>327</v>
      </c>
    </row>
    <row r="62" spans="2:20" ht="15" customHeight="1">
      <c r="B62" s="14">
        <v>4</v>
      </c>
      <c r="C62" s="13">
        <v>14</v>
      </c>
      <c r="D62" t="s">
        <v>53</v>
      </c>
      <c r="E62" t="s">
        <v>290</v>
      </c>
      <c r="F62" t="s">
        <v>262</v>
      </c>
      <c r="G62" t="s">
        <v>262</v>
      </c>
      <c r="H62" t="s">
        <v>326</v>
      </c>
      <c r="J62" s="10">
        <v>140</v>
      </c>
      <c r="K62">
        <v>145.33000000000001</v>
      </c>
      <c r="L62" s="10">
        <v>150</v>
      </c>
      <c r="M62" s="10">
        <f t="shared" si="4"/>
        <v>0.87617260787992057</v>
      </c>
      <c r="N62" s="10">
        <f t="shared" si="5"/>
        <v>0.96886666666666676</v>
      </c>
      <c r="O62" s="4">
        <v>1.0699999999999999E-2</v>
      </c>
      <c r="P62" s="4">
        <v>1.0699999999999999E-2</v>
      </c>
      <c r="Q62" s="15" t="s">
        <v>547</v>
      </c>
      <c r="R62" t="s">
        <v>325</v>
      </c>
      <c r="S62" t="s">
        <v>326</v>
      </c>
      <c r="T62" t="s">
        <v>327</v>
      </c>
    </row>
    <row r="63" spans="2:20" ht="15" customHeight="1">
      <c r="B63" s="14">
        <v>4</v>
      </c>
      <c r="C63" s="14"/>
      <c r="D63" t="s">
        <v>454</v>
      </c>
      <c r="E63" t="s">
        <v>293</v>
      </c>
      <c r="F63" t="s">
        <v>257</v>
      </c>
      <c r="G63" t="s">
        <v>257</v>
      </c>
      <c r="H63" t="s">
        <v>325</v>
      </c>
      <c r="J63" s="10">
        <v>500</v>
      </c>
      <c r="K63">
        <v>552.64</v>
      </c>
      <c r="L63" s="10">
        <v>610</v>
      </c>
      <c r="M63" s="10">
        <f t="shared" si="4"/>
        <v>1.0896656534954412</v>
      </c>
      <c r="N63" s="10">
        <f t="shared" si="5"/>
        <v>0.90596721311475403</v>
      </c>
      <c r="O63" s="4">
        <v>1.1299999999999999E-2</v>
      </c>
      <c r="P63" s="4">
        <v>1.1299999999999999E-2</v>
      </c>
      <c r="Q63" s="14"/>
      <c r="R63" t="s">
        <v>326</v>
      </c>
      <c r="S63" t="s">
        <v>326</v>
      </c>
      <c r="T63" t="s">
        <v>328</v>
      </c>
    </row>
    <row r="64" spans="2:20">
      <c r="B64" s="14">
        <v>4</v>
      </c>
      <c r="C64" s="14"/>
      <c r="D64" t="s">
        <v>673</v>
      </c>
      <c r="E64" t="s">
        <v>521</v>
      </c>
      <c r="F64" t="s">
        <v>261</v>
      </c>
      <c r="G64" t="s">
        <v>261</v>
      </c>
      <c r="H64" t="s">
        <v>325</v>
      </c>
      <c r="J64" s="10">
        <v>7</v>
      </c>
      <c r="K64">
        <v>7.78</v>
      </c>
      <c r="L64" s="10">
        <v>10</v>
      </c>
      <c r="M64" s="10">
        <f t="shared" si="4"/>
        <v>2.8461538461538449</v>
      </c>
      <c r="N64" s="10">
        <f t="shared" si="5"/>
        <v>0.77800000000000002</v>
      </c>
      <c r="O64" s="4">
        <v>8.6999999999999994E-3</v>
      </c>
      <c r="P64" s="4">
        <v>8.6999999999999994E-3</v>
      </c>
      <c r="Q64" s="14"/>
      <c r="R64" t="s">
        <v>327</v>
      </c>
      <c r="S64" t="s">
        <v>326</v>
      </c>
      <c r="T64" t="s">
        <v>328</v>
      </c>
    </row>
    <row r="65" spans="1:20">
      <c r="B65" s="14">
        <v>4</v>
      </c>
      <c r="C65" s="14"/>
      <c r="D65" t="s">
        <v>371</v>
      </c>
      <c r="E65" t="s">
        <v>301</v>
      </c>
      <c r="F65" t="s">
        <v>264</v>
      </c>
      <c r="G65" t="s">
        <v>262</v>
      </c>
      <c r="H65" t="s">
        <v>325</v>
      </c>
      <c r="I65" s="8"/>
      <c r="J65" s="11">
        <v>32</v>
      </c>
      <c r="K65">
        <v>28.23</v>
      </c>
      <c r="L65" s="10">
        <v>40</v>
      </c>
      <c r="M65" s="10">
        <f t="shared" si="4"/>
        <v>-3.1220159151193636</v>
      </c>
      <c r="N65" s="10">
        <f t="shared" si="5"/>
        <v>0.70574999999999999</v>
      </c>
      <c r="O65" s="4">
        <v>5.9999999999999995E-4</v>
      </c>
      <c r="P65" s="4">
        <v>5.9999999999999995E-4</v>
      </c>
      <c r="Q65" s="15" t="s">
        <v>632</v>
      </c>
      <c r="R65" t="s">
        <v>326</v>
      </c>
      <c r="S65" t="s">
        <v>326</v>
      </c>
      <c r="T65" t="s">
        <v>436</v>
      </c>
    </row>
    <row r="66" spans="1:20">
      <c r="B66" s="14">
        <v>4</v>
      </c>
      <c r="C66" s="14"/>
      <c r="D66" t="s">
        <v>604</v>
      </c>
      <c r="E66" t="s">
        <v>88</v>
      </c>
      <c r="F66" t="s">
        <v>260</v>
      </c>
      <c r="G66" t="s">
        <v>260</v>
      </c>
      <c r="H66" t="s">
        <v>325</v>
      </c>
      <c r="J66" s="10">
        <v>200</v>
      </c>
      <c r="K66">
        <v>329.21</v>
      </c>
      <c r="L66" s="10">
        <v>250</v>
      </c>
      <c r="M66" s="10">
        <f t="shared" si="4"/>
        <v>-0.61303304697778804</v>
      </c>
      <c r="N66" s="10">
        <f t="shared" si="5"/>
        <v>1.31684</v>
      </c>
      <c r="O66" s="4">
        <v>-4.7000000000000002E-3</v>
      </c>
      <c r="P66" s="4">
        <v>-4.7000000000000002E-3</v>
      </c>
      <c r="Q66" s="14"/>
      <c r="R66" t="s">
        <v>325</v>
      </c>
      <c r="S66" t="s">
        <v>326</v>
      </c>
      <c r="T66" t="s">
        <v>329</v>
      </c>
    </row>
    <row r="67" spans="1:20">
      <c r="B67" s="14">
        <v>4</v>
      </c>
      <c r="C67" s="14"/>
      <c r="D67" t="s">
        <v>426</v>
      </c>
      <c r="E67" t="s">
        <v>164</v>
      </c>
      <c r="F67" t="s">
        <v>257</v>
      </c>
      <c r="G67" t="s">
        <v>257</v>
      </c>
      <c r="H67" t="s">
        <v>326</v>
      </c>
      <c r="J67" s="10">
        <v>570</v>
      </c>
      <c r="K67">
        <v>455.76</v>
      </c>
      <c r="L67" s="10">
        <v>675</v>
      </c>
      <c r="M67" s="10">
        <f t="shared" si="4"/>
        <v>-1.9191176470588234</v>
      </c>
      <c r="N67" s="10">
        <f t="shared" si="5"/>
        <v>0.67520000000000002</v>
      </c>
      <c r="O67" s="4">
        <v>3.5999999999999999E-3</v>
      </c>
      <c r="P67" s="4">
        <v>3.5999999999999999E-3</v>
      </c>
      <c r="Q67" s="14"/>
      <c r="R67" t="s">
        <v>326</v>
      </c>
      <c r="S67" t="s">
        <v>326</v>
      </c>
      <c r="T67" t="s">
        <v>328</v>
      </c>
    </row>
    <row r="68" spans="1:20">
      <c r="B68" s="14">
        <v>4</v>
      </c>
      <c r="C68" s="14"/>
      <c r="D68" t="s">
        <v>31</v>
      </c>
      <c r="E68" t="s">
        <v>267</v>
      </c>
      <c r="F68" t="s">
        <v>261</v>
      </c>
      <c r="G68" t="s">
        <v>261</v>
      </c>
      <c r="H68" t="s">
        <v>325</v>
      </c>
      <c r="I68">
        <v>50.5</v>
      </c>
      <c r="J68">
        <v>40</v>
      </c>
      <c r="K68">
        <v>60.17</v>
      </c>
      <c r="L68">
        <v>60</v>
      </c>
      <c r="M68" s="10">
        <f t="shared" si="4"/>
        <v>-8.4283589489341452E-3</v>
      </c>
      <c r="N68" s="10">
        <f t="shared" si="5"/>
        <v>1.0028333333333335</v>
      </c>
      <c r="O68" s="4">
        <v>-1.5E-3</v>
      </c>
      <c r="P68" s="4">
        <v>-1.5E-3</v>
      </c>
      <c r="Q68" s="15" t="s">
        <v>73</v>
      </c>
      <c r="R68" t="s">
        <v>325</v>
      </c>
      <c r="S68" t="s">
        <v>325</v>
      </c>
      <c r="T68" t="s">
        <v>327</v>
      </c>
    </row>
    <row r="69" spans="1:20">
      <c r="B69" s="14">
        <v>4</v>
      </c>
      <c r="C69" s="14"/>
      <c r="D69" t="s">
        <v>659</v>
      </c>
      <c r="E69" t="s">
        <v>274</v>
      </c>
      <c r="F69" t="s">
        <v>261</v>
      </c>
      <c r="G69" t="s">
        <v>261</v>
      </c>
      <c r="H69" t="s">
        <v>326</v>
      </c>
      <c r="J69" s="10">
        <v>170</v>
      </c>
      <c r="K69">
        <v>205.02</v>
      </c>
      <c r="L69" s="10">
        <v>200</v>
      </c>
      <c r="M69" s="10">
        <f t="shared" si="4"/>
        <v>-0.14334665905197055</v>
      </c>
      <c r="N69" s="10">
        <f t="shared" si="5"/>
        <v>1.0251000000000001</v>
      </c>
      <c r="O69" s="4">
        <v>2.75E-2</v>
      </c>
      <c r="P69" s="4">
        <v>2.75E-2</v>
      </c>
      <c r="Q69" s="15" t="s">
        <v>664</v>
      </c>
      <c r="R69" t="s">
        <v>325</v>
      </c>
      <c r="S69" t="s">
        <v>327</v>
      </c>
      <c r="T69" t="s">
        <v>329</v>
      </c>
    </row>
    <row r="70" spans="1:20">
      <c r="B70" s="14">
        <v>4</v>
      </c>
      <c r="C70" s="13">
        <v>14</v>
      </c>
      <c r="D70" t="s">
        <v>137</v>
      </c>
      <c r="E70" t="s">
        <v>268</v>
      </c>
      <c r="F70" t="s">
        <v>260</v>
      </c>
      <c r="G70" t="s">
        <v>260</v>
      </c>
      <c r="H70" t="s">
        <v>325</v>
      </c>
      <c r="J70" s="10">
        <v>113</v>
      </c>
      <c r="K70">
        <v>259.74</v>
      </c>
      <c r="L70" s="10">
        <v>175</v>
      </c>
      <c r="M70" s="10">
        <f t="shared" si="4"/>
        <v>-0.57748398528008726</v>
      </c>
      <c r="N70" s="10">
        <f t="shared" si="5"/>
        <v>1.4842285714285715</v>
      </c>
      <c r="O70" s="4">
        <v>2.29E-2</v>
      </c>
      <c r="P70" s="4">
        <v>2.29E-2</v>
      </c>
      <c r="Q70" s="14" t="s">
        <v>138</v>
      </c>
      <c r="R70" t="s">
        <v>325</v>
      </c>
      <c r="S70" t="s">
        <v>325</v>
      </c>
      <c r="T70" t="s">
        <v>327</v>
      </c>
    </row>
    <row r="71" spans="1:20">
      <c r="B71" s="14">
        <v>4</v>
      </c>
      <c r="C71" s="14"/>
      <c r="D71" t="s">
        <v>624</v>
      </c>
      <c r="E71" t="s">
        <v>301</v>
      </c>
      <c r="F71" t="s">
        <v>260</v>
      </c>
      <c r="G71" t="s">
        <v>260</v>
      </c>
      <c r="H71" t="s">
        <v>325</v>
      </c>
      <c r="J71" s="10">
        <v>43</v>
      </c>
      <c r="K71">
        <v>69.08</v>
      </c>
      <c r="L71" s="10">
        <v>50</v>
      </c>
      <c r="M71" s="10">
        <f t="shared" si="4"/>
        <v>-0.73159509202453987</v>
      </c>
      <c r="N71" s="10">
        <f t="shared" si="5"/>
        <v>1.3815999999999999</v>
      </c>
      <c r="O71" s="4">
        <v>9.1000000000000004E-3</v>
      </c>
      <c r="P71" s="4">
        <v>9.1000000000000004E-3</v>
      </c>
      <c r="Q71" s="15" t="s">
        <v>629</v>
      </c>
      <c r="R71" t="s">
        <v>325</v>
      </c>
      <c r="S71" t="s">
        <v>325</v>
      </c>
      <c r="T71" t="s">
        <v>436</v>
      </c>
    </row>
    <row r="72" spans="1:20">
      <c r="A72" s="10"/>
      <c r="B72" s="14">
        <v>4</v>
      </c>
      <c r="C72" s="14"/>
      <c r="D72" t="s">
        <v>190</v>
      </c>
      <c r="E72" t="s">
        <v>301</v>
      </c>
      <c r="F72"/>
      <c r="G72"/>
      <c r="H72" t="s">
        <v>325</v>
      </c>
      <c r="J72" s="10">
        <v>70</v>
      </c>
      <c r="K72">
        <v>43.11</v>
      </c>
      <c r="L72" s="10">
        <v>90</v>
      </c>
      <c r="M72" s="11">
        <f t="shared" si="4"/>
        <v>-1.7437709185570844</v>
      </c>
      <c r="N72" s="10">
        <f t="shared" si="5"/>
        <v>0.47899999999999998</v>
      </c>
      <c r="O72" s="4">
        <v>4.4000000000000003E-3</v>
      </c>
      <c r="P72" s="4">
        <v>4.4000000000000003E-3</v>
      </c>
      <c r="Q72" s="14"/>
      <c r="R72" t="s">
        <v>326</v>
      </c>
      <c r="S72" t="s">
        <v>326</v>
      </c>
      <c r="T72" t="s">
        <v>436</v>
      </c>
    </row>
    <row r="73" spans="1:20">
      <c r="B73" s="14">
        <v>4</v>
      </c>
      <c r="C73" s="15"/>
      <c r="D73" t="s">
        <v>550</v>
      </c>
      <c r="E73" t="s">
        <v>419</v>
      </c>
      <c r="F73" t="s">
        <v>262</v>
      </c>
      <c r="G73" t="s">
        <v>257</v>
      </c>
      <c r="H73" t="s">
        <v>325</v>
      </c>
      <c r="I73" s="8"/>
      <c r="J73" s="11">
        <v>73</v>
      </c>
      <c r="K73">
        <v>73.89</v>
      </c>
      <c r="L73" s="11">
        <v>90</v>
      </c>
      <c r="M73" s="10">
        <f t="shared" si="4"/>
        <v>18.101123595505605</v>
      </c>
      <c r="N73" s="10">
        <f t="shared" si="5"/>
        <v>0.82099999999999995</v>
      </c>
      <c r="O73" s="4">
        <v>-1.7299999999999999E-2</v>
      </c>
      <c r="P73" s="4">
        <v>-1.7299999999999999E-2</v>
      </c>
      <c r="Q73" s="14"/>
      <c r="R73" t="s">
        <v>326</v>
      </c>
      <c r="S73" t="s">
        <v>326</v>
      </c>
      <c r="T73" t="s">
        <v>328</v>
      </c>
    </row>
    <row r="74" spans="1:20">
      <c r="B74" s="14">
        <v>4</v>
      </c>
      <c r="C74" s="14"/>
      <c r="D74" t="s">
        <v>446</v>
      </c>
      <c r="E74" t="s">
        <v>286</v>
      </c>
      <c r="F74" t="s">
        <v>257</v>
      </c>
      <c r="G74" t="s">
        <v>257</v>
      </c>
      <c r="H74" t="s">
        <v>325</v>
      </c>
      <c r="J74" s="10">
        <v>15</v>
      </c>
      <c r="K74">
        <v>21.69</v>
      </c>
      <c r="L74" s="10">
        <v>22</v>
      </c>
      <c r="M74" s="10">
        <f t="shared" si="4"/>
        <v>4.6337817638265867E-2</v>
      </c>
      <c r="N74" s="10">
        <f t="shared" si="5"/>
        <v>0.98590909090909096</v>
      </c>
      <c r="O74" s="4">
        <v>2.2100000000000002E-2</v>
      </c>
      <c r="P74" s="4">
        <v>2.2100000000000002E-2</v>
      </c>
      <c r="Q74" s="14"/>
      <c r="R74" t="s">
        <v>327</v>
      </c>
      <c r="S74" t="s">
        <v>327</v>
      </c>
      <c r="T74" t="s">
        <v>329</v>
      </c>
    </row>
    <row r="75" spans="1:20">
      <c r="B75" s="14">
        <v>4</v>
      </c>
      <c r="C75" s="14"/>
      <c r="D75" t="s">
        <v>641</v>
      </c>
      <c r="E75" t="s">
        <v>298</v>
      </c>
      <c r="F75" t="s">
        <v>257</v>
      </c>
      <c r="G75" t="s">
        <v>257</v>
      </c>
      <c r="H75" t="s">
        <v>325</v>
      </c>
      <c r="J75" s="10">
        <v>140</v>
      </c>
      <c r="K75">
        <v>142.55000000000001</v>
      </c>
      <c r="L75" s="10">
        <v>160</v>
      </c>
      <c r="M75" s="10">
        <f t="shared" si="4"/>
        <v>6.8431372549019258</v>
      </c>
      <c r="N75" s="10">
        <f t="shared" si="5"/>
        <v>0.89093750000000005</v>
      </c>
      <c r="O75" s="4">
        <v>7.3000000000000001E-3</v>
      </c>
      <c r="P75" s="4">
        <v>7.3000000000000001E-3</v>
      </c>
      <c r="Q75" s="14"/>
      <c r="R75" t="s">
        <v>325</v>
      </c>
      <c r="S75" t="s">
        <v>327</v>
      </c>
      <c r="T75" t="s">
        <v>329</v>
      </c>
    </row>
    <row r="76" spans="1:20">
      <c r="B76" s="14">
        <v>4</v>
      </c>
      <c r="C76" s="14"/>
      <c r="D76" t="s">
        <v>450</v>
      </c>
      <c r="E76" t="s">
        <v>332</v>
      </c>
      <c r="F76" t="s">
        <v>263</v>
      </c>
      <c r="G76" t="s">
        <v>263</v>
      </c>
      <c r="H76" t="s">
        <v>326</v>
      </c>
      <c r="J76" s="11">
        <v>130</v>
      </c>
      <c r="K76">
        <v>133.13</v>
      </c>
      <c r="L76" s="10">
        <v>170</v>
      </c>
      <c r="M76" s="10">
        <f t="shared" si="4"/>
        <v>11.779552715654971</v>
      </c>
      <c r="N76" s="10">
        <f t="shared" si="5"/>
        <v>0.78311764705882347</v>
      </c>
      <c r="O76" s="4">
        <v>1.9400000000000001E-2</v>
      </c>
      <c r="P76" s="4">
        <v>1.9400000000000001E-2</v>
      </c>
      <c r="Q76" s="14"/>
      <c r="R76" t="s">
        <v>325</v>
      </c>
      <c r="S76" t="s">
        <v>327</v>
      </c>
      <c r="T76" t="s">
        <v>329</v>
      </c>
    </row>
    <row r="77" spans="1:20">
      <c r="B77" s="14">
        <v>4</v>
      </c>
      <c r="C77" s="14"/>
      <c r="D77" t="s">
        <v>411</v>
      </c>
      <c r="E77" t="s">
        <v>293</v>
      </c>
      <c r="F77" t="s">
        <v>261</v>
      </c>
      <c r="G77" t="s">
        <v>261</v>
      </c>
      <c r="H77" t="s">
        <v>325</v>
      </c>
      <c r="J77" s="11">
        <v>72</v>
      </c>
      <c r="K77">
        <v>94.67</v>
      </c>
      <c r="L77" s="10">
        <v>83</v>
      </c>
      <c r="M77" s="10">
        <f t="shared" si="4"/>
        <v>-0.51477723864137626</v>
      </c>
      <c r="N77" s="10">
        <f t="shared" si="5"/>
        <v>1.1406024096385543</v>
      </c>
      <c r="O77" s="4">
        <v>-1.0999999999999999E-2</v>
      </c>
      <c r="P77" s="4">
        <v>-1.0999999999999999E-2</v>
      </c>
      <c r="Q77" s="14"/>
      <c r="R77" t="s">
        <v>327</v>
      </c>
      <c r="S77" t="s">
        <v>326</v>
      </c>
      <c r="T77" t="s">
        <v>327</v>
      </c>
    </row>
    <row r="78" spans="1:20">
      <c r="B78" s="14">
        <v>4</v>
      </c>
      <c r="C78" s="14"/>
      <c r="D78" t="s">
        <v>348</v>
      </c>
      <c r="E78" t="s">
        <v>291</v>
      </c>
      <c r="F78" t="s">
        <v>261</v>
      </c>
      <c r="G78" t="s">
        <v>258</v>
      </c>
      <c r="H78" t="s">
        <v>325</v>
      </c>
      <c r="J78" s="10">
        <v>200</v>
      </c>
      <c r="K78">
        <v>286.72000000000003</v>
      </c>
      <c r="L78" s="10">
        <v>250</v>
      </c>
      <c r="M78" s="10">
        <f t="shared" si="4"/>
        <v>-0.42343173431734338</v>
      </c>
      <c r="N78" s="10">
        <f t="shared" si="5"/>
        <v>1.1468800000000001</v>
      </c>
      <c r="O78" s="4">
        <v>-2.9999999999999997E-4</v>
      </c>
      <c r="P78" s="4">
        <v>-2.9999999999999997E-4</v>
      </c>
      <c r="Q78" s="14"/>
      <c r="R78" t="s">
        <v>327</v>
      </c>
      <c r="S78" t="s">
        <v>326</v>
      </c>
      <c r="T78" t="s">
        <v>327</v>
      </c>
    </row>
    <row r="79" spans="1:20">
      <c r="B79" s="14">
        <v>4</v>
      </c>
      <c r="C79" s="14"/>
      <c r="D79" t="s">
        <v>314</v>
      </c>
      <c r="E79" t="s">
        <v>110</v>
      </c>
      <c r="F79" t="s">
        <v>260</v>
      </c>
      <c r="G79" t="s">
        <v>260</v>
      </c>
      <c r="H79" t="s">
        <v>325</v>
      </c>
      <c r="J79" s="10">
        <v>150</v>
      </c>
      <c r="K79">
        <v>253.54</v>
      </c>
      <c r="L79" s="10">
        <v>175</v>
      </c>
      <c r="M79" s="10">
        <f t="shared" si="4"/>
        <v>-0.75854742128645936</v>
      </c>
      <c r="N79" s="10">
        <f t="shared" si="5"/>
        <v>1.4487999999999999</v>
      </c>
      <c r="O79" s="4">
        <v>1.37E-2</v>
      </c>
      <c r="P79" s="4">
        <v>1.37E-2</v>
      </c>
      <c r="Q79" s="15" t="s">
        <v>661</v>
      </c>
      <c r="R79" t="s">
        <v>325</v>
      </c>
      <c r="S79" t="s">
        <v>325</v>
      </c>
      <c r="T79" t="s">
        <v>327</v>
      </c>
    </row>
    <row r="80" spans="1:20">
      <c r="B80" s="14">
        <v>4</v>
      </c>
      <c r="C80" s="31">
        <v>6</v>
      </c>
      <c r="D80" t="s">
        <v>367</v>
      </c>
      <c r="E80" t="s">
        <v>271</v>
      </c>
      <c r="F80" t="s">
        <v>261</v>
      </c>
      <c r="G80" t="s">
        <v>261</v>
      </c>
      <c r="H80" t="s">
        <v>325</v>
      </c>
      <c r="J80" s="10">
        <v>100</v>
      </c>
      <c r="K80">
        <v>207.88</v>
      </c>
      <c r="L80" s="10">
        <v>120</v>
      </c>
      <c r="M80" s="10">
        <f t="shared" si="4"/>
        <v>-0.8146088246199481</v>
      </c>
      <c r="N80" s="10">
        <f t="shared" si="5"/>
        <v>1.7323333333333333</v>
      </c>
      <c r="O80" s="4">
        <v>2.6599999999999999E-2</v>
      </c>
      <c r="P80" s="4">
        <v>2.6599999999999999E-2</v>
      </c>
      <c r="Q80" s="15"/>
      <c r="R80" t="s">
        <v>325</v>
      </c>
      <c r="S80" t="s">
        <v>326</v>
      </c>
      <c r="T80" t="s">
        <v>327</v>
      </c>
    </row>
    <row r="81" spans="2:20">
      <c r="B81" s="14">
        <v>4</v>
      </c>
      <c r="C81" s="20">
        <v>7</v>
      </c>
      <c r="D81" t="s">
        <v>645</v>
      </c>
      <c r="E81" t="s">
        <v>276</v>
      </c>
      <c r="F81" t="s">
        <v>257</v>
      </c>
      <c r="G81" t="s">
        <v>257</v>
      </c>
      <c r="H81" t="s">
        <v>325</v>
      </c>
      <c r="I81" s="8"/>
      <c r="J81" s="11">
        <v>120</v>
      </c>
      <c r="K81">
        <v>231.25</v>
      </c>
      <c r="L81" s="10">
        <v>140</v>
      </c>
      <c r="M81" s="10">
        <f t="shared" si="4"/>
        <v>-0.8202247191011236</v>
      </c>
      <c r="N81" s="10">
        <f t="shared" si="5"/>
        <v>1.6517857142857142</v>
      </c>
      <c r="O81" s="4">
        <v>2.2100000000000002E-2</v>
      </c>
      <c r="P81" s="4">
        <v>2.2100000000000002E-2</v>
      </c>
      <c r="Q81" s="15"/>
      <c r="R81" t="s">
        <v>325</v>
      </c>
      <c r="S81" t="s">
        <v>326</v>
      </c>
      <c r="T81" t="s">
        <v>329</v>
      </c>
    </row>
    <row r="82" spans="2:20">
      <c r="B82" s="14">
        <v>4</v>
      </c>
      <c r="C82" s="14"/>
      <c r="D82" t="s">
        <v>699</v>
      </c>
      <c r="E82" t="s">
        <v>415</v>
      </c>
      <c r="F82" t="s">
        <v>264</v>
      </c>
      <c r="G82" t="s">
        <v>264</v>
      </c>
      <c r="H82" t="s">
        <v>326</v>
      </c>
      <c r="J82" s="10">
        <v>25</v>
      </c>
      <c r="K82">
        <v>37.840000000000003</v>
      </c>
      <c r="L82" s="10">
        <v>35</v>
      </c>
      <c r="M82" s="10">
        <f t="shared" si="4"/>
        <v>-0.22118380062305318</v>
      </c>
      <c r="N82" s="10">
        <f t="shared" si="5"/>
        <v>1.0811428571428572</v>
      </c>
      <c r="O82" s="28">
        <v>0</v>
      </c>
      <c r="P82" s="28">
        <v>0</v>
      </c>
      <c r="Q82" s="14"/>
      <c r="R82" t="s">
        <v>326</v>
      </c>
      <c r="S82" t="s">
        <v>326</v>
      </c>
      <c r="T82" t="s">
        <v>327</v>
      </c>
    </row>
    <row r="83" spans="2:20">
      <c r="B83" s="14">
        <v>4</v>
      </c>
      <c r="C83" s="14"/>
      <c r="D83" t="s">
        <v>388</v>
      </c>
      <c r="E83" t="s">
        <v>280</v>
      </c>
      <c r="F83" t="s">
        <v>261</v>
      </c>
      <c r="G83" t="s">
        <v>261</v>
      </c>
      <c r="H83" t="s">
        <v>326</v>
      </c>
      <c r="J83" s="10">
        <v>95</v>
      </c>
      <c r="K83">
        <v>165.83</v>
      </c>
      <c r="L83" s="10">
        <v>105</v>
      </c>
      <c r="M83" s="10">
        <f t="shared" si="4"/>
        <v>-0.85881688550049418</v>
      </c>
      <c r="N83" s="10">
        <f t="shared" si="5"/>
        <v>1.5793333333333335</v>
      </c>
      <c r="O83" s="4">
        <v>2.8299999999999999E-2</v>
      </c>
      <c r="P83" s="4">
        <v>2.8299999999999999E-2</v>
      </c>
      <c r="Q83" s="14"/>
      <c r="R83" t="s">
        <v>326</v>
      </c>
      <c r="S83" t="s">
        <v>325</v>
      </c>
      <c r="T83" t="s">
        <v>327</v>
      </c>
    </row>
    <row r="84" spans="2:20">
      <c r="B84" s="14">
        <v>4</v>
      </c>
      <c r="C84" s="14"/>
      <c r="D84" t="s">
        <v>696</v>
      </c>
      <c r="E84" t="s">
        <v>293</v>
      </c>
      <c r="F84" t="s">
        <v>264</v>
      </c>
      <c r="G84" t="s">
        <v>264</v>
      </c>
      <c r="H84" t="s">
        <v>325</v>
      </c>
      <c r="J84">
        <v>206.1</v>
      </c>
      <c r="K84">
        <v>197.6</v>
      </c>
      <c r="L84">
        <v>227.73</v>
      </c>
      <c r="M84">
        <v>0.99</v>
      </c>
      <c r="N84" s="10">
        <f t="shared" si="5"/>
        <v>0.86769419927106661</v>
      </c>
      <c r="O84" s="4">
        <v>0.1646</v>
      </c>
      <c r="P84" s="4">
        <v>0.1646</v>
      </c>
      <c r="Q84" s="15"/>
      <c r="R84" t="s">
        <v>326</v>
      </c>
      <c r="S84" t="s">
        <v>326</v>
      </c>
      <c r="T84" t="s">
        <v>327</v>
      </c>
    </row>
    <row r="85" spans="2:20">
      <c r="B85" s="14">
        <v>4</v>
      </c>
      <c r="C85" s="14"/>
      <c r="D85" s="8" t="s">
        <v>688</v>
      </c>
      <c r="E85" t="s">
        <v>473</v>
      </c>
      <c r="F85" t="s">
        <v>258</v>
      </c>
      <c r="G85" t="s">
        <v>258</v>
      </c>
      <c r="H85" t="s">
        <v>325</v>
      </c>
      <c r="I85" s="7"/>
      <c r="J85">
        <v>173.25</v>
      </c>
      <c r="K85">
        <v>209.59</v>
      </c>
      <c r="L85">
        <v>186</v>
      </c>
      <c r="M85">
        <v>0.4</v>
      </c>
      <c r="N85" s="10">
        <f t="shared" si="5"/>
        <v>1.1268279569892474</v>
      </c>
      <c r="O85" s="4">
        <v>4.2099999999999999E-2</v>
      </c>
      <c r="P85" s="4">
        <v>4.2099999999999999E-2</v>
      </c>
      <c r="Q85" s="15"/>
      <c r="R85" t="s">
        <v>326</v>
      </c>
      <c r="S85" t="s">
        <v>326</v>
      </c>
      <c r="T85" t="s">
        <v>329</v>
      </c>
    </row>
    <row r="86" spans="2:20">
      <c r="B86" s="14">
        <v>4</v>
      </c>
      <c r="C86" s="14"/>
      <c r="D86" s="8" t="s">
        <v>678</v>
      </c>
      <c r="E86" t="s">
        <v>104</v>
      </c>
      <c r="F86" t="s">
        <v>262</v>
      </c>
      <c r="G86" t="s">
        <v>262</v>
      </c>
      <c r="H86" t="s">
        <v>326</v>
      </c>
      <c r="J86">
        <v>98.52</v>
      </c>
      <c r="K86">
        <v>84.87</v>
      </c>
      <c r="L86">
        <v>117.48</v>
      </c>
      <c r="M86">
        <v>2.66</v>
      </c>
      <c r="N86" s="10">
        <f t="shared" si="5"/>
        <v>0.72242083758937692</v>
      </c>
      <c r="O86" s="4">
        <v>9.7000000000000003E-3</v>
      </c>
      <c r="P86" s="4">
        <v>9.7000000000000003E-3</v>
      </c>
      <c r="Q86" s="14"/>
      <c r="R86" t="s">
        <v>326</v>
      </c>
      <c r="S86" t="s">
        <v>326</v>
      </c>
      <c r="T86" t="s">
        <v>327</v>
      </c>
    </row>
    <row r="87" spans="2:20">
      <c r="B87" s="14">
        <v>4</v>
      </c>
      <c r="C87" s="14"/>
      <c r="D87" t="s">
        <v>697</v>
      </c>
      <c r="E87" t="s">
        <v>276</v>
      </c>
      <c r="F87" t="s">
        <v>257</v>
      </c>
      <c r="G87" t="s">
        <v>257</v>
      </c>
      <c r="H87" t="s">
        <v>325</v>
      </c>
      <c r="J87">
        <v>1348.23</v>
      </c>
      <c r="K87">
        <v>1177.3</v>
      </c>
      <c r="L87">
        <v>1449.98</v>
      </c>
      <c r="M87">
        <v>0.43</v>
      </c>
      <c r="N87" s="10">
        <f t="shared" si="5"/>
        <v>0.81194223368598184</v>
      </c>
      <c r="O87" s="4">
        <v>-7.1999999999999998E-3</v>
      </c>
      <c r="P87" s="4">
        <v>-7.1999999999999998E-3</v>
      </c>
      <c r="Q87" s="15"/>
      <c r="R87" t="s">
        <v>326</v>
      </c>
      <c r="S87" t="s">
        <v>325</v>
      </c>
      <c r="T87" t="s">
        <v>436</v>
      </c>
    </row>
    <row r="88" spans="2:20">
      <c r="B88" s="14">
        <v>4</v>
      </c>
      <c r="C88" s="14"/>
      <c r="D88" t="s">
        <v>699</v>
      </c>
      <c r="E88" t="s">
        <v>164</v>
      </c>
      <c r="F88" t="s">
        <v>264</v>
      </c>
      <c r="G88" t="s">
        <v>264</v>
      </c>
      <c r="H88" t="s">
        <v>326</v>
      </c>
      <c r="J88">
        <v>36.9</v>
      </c>
      <c r="K88">
        <v>37.840000000000003</v>
      </c>
      <c r="L88">
        <v>39.14</v>
      </c>
      <c r="M88">
        <v>0.15</v>
      </c>
      <c r="N88" s="10">
        <f t="shared" si="5"/>
        <v>0.96678589678078697</v>
      </c>
      <c r="O88" s="28">
        <v>0</v>
      </c>
      <c r="P88" s="28">
        <v>0</v>
      </c>
      <c r="Q88" s="14"/>
      <c r="R88" t="s">
        <v>326</v>
      </c>
      <c r="S88" t="s">
        <v>326</v>
      </c>
      <c r="T88" t="s">
        <v>327</v>
      </c>
    </row>
    <row r="89" spans="2:20" ht="13.5" customHeight="1">
      <c r="B89" s="14">
        <v>4</v>
      </c>
      <c r="C89" s="14"/>
      <c r="D89" t="s">
        <v>683</v>
      </c>
      <c r="E89" t="s">
        <v>356</v>
      </c>
      <c r="F89" t="s">
        <v>262</v>
      </c>
      <c r="G89" t="s">
        <v>262</v>
      </c>
      <c r="H89" t="s">
        <v>325</v>
      </c>
      <c r="J89">
        <v>18.52</v>
      </c>
      <c r="K89">
        <v>12.24</v>
      </c>
      <c r="L89">
        <v>20.47</v>
      </c>
      <c r="M89">
        <v>0.99</v>
      </c>
      <c r="N89" s="10">
        <f t="shared" si="5"/>
        <v>0.59794821690278466</v>
      </c>
      <c r="O89" s="4">
        <v>4.8899999999999999E-2</v>
      </c>
      <c r="P89" s="4">
        <v>4.8899999999999999E-2</v>
      </c>
      <c r="Q89" s="14"/>
      <c r="R89" t="s">
        <v>327</v>
      </c>
      <c r="S89" t="s">
        <v>326</v>
      </c>
      <c r="T89" t="s">
        <v>328</v>
      </c>
    </row>
    <row r="90" spans="2:20" ht="13.5" customHeight="1">
      <c r="B90" s="14">
        <v>4</v>
      </c>
      <c r="C90" s="14"/>
      <c r="D90" t="s">
        <v>686</v>
      </c>
      <c r="E90" t="s">
        <v>136</v>
      </c>
      <c r="F90" t="s">
        <v>257</v>
      </c>
      <c r="G90" t="s">
        <v>257</v>
      </c>
      <c r="H90" t="s">
        <v>326</v>
      </c>
      <c r="J90">
        <v>715.87</v>
      </c>
      <c r="K90">
        <v>732.76</v>
      </c>
      <c r="L90">
        <v>801.01</v>
      </c>
      <c r="M90">
        <v>1.26</v>
      </c>
      <c r="N90" s="10">
        <f t="shared" si="5"/>
        <v>0.91479507122258152</v>
      </c>
      <c r="O90" s="4">
        <v>2.4899999999999999E-2</v>
      </c>
      <c r="P90" s="4">
        <v>2.4899999999999999E-2</v>
      </c>
      <c r="Q90" s="14"/>
      <c r="R90" t="s">
        <v>325</v>
      </c>
      <c r="S90" t="s">
        <v>327</v>
      </c>
      <c r="T90" t="s">
        <v>329</v>
      </c>
    </row>
    <row r="91" spans="2:20" ht="13.5" customHeight="1">
      <c r="B91" s="14">
        <v>4</v>
      </c>
      <c r="C91" s="14"/>
      <c r="D91" t="s">
        <v>102</v>
      </c>
      <c r="E91" t="s">
        <v>282</v>
      </c>
      <c r="F91" t="s">
        <v>257</v>
      </c>
      <c r="G91" t="s">
        <v>257</v>
      </c>
      <c r="H91" t="s">
        <v>325</v>
      </c>
      <c r="J91" s="10">
        <v>50</v>
      </c>
      <c r="K91">
        <v>31.81</v>
      </c>
      <c r="L91" s="10">
        <v>65</v>
      </c>
      <c r="M91" s="10">
        <f t="shared" ref="M91:M96" si="6" xml:space="preserve"> (L91 - K91)/(K91-J91)</f>
        <v>-1.8246289169873555</v>
      </c>
      <c r="N91" s="10"/>
      <c r="O91" s="4">
        <v>9.5600000000000004E-2</v>
      </c>
      <c r="P91" s="4">
        <v>9.5600000000000004E-2</v>
      </c>
      <c r="Q91" s="14" t="s">
        <v>103</v>
      </c>
      <c r="R91" t="s">
        <v>326</v>
      </c>
      <c r="S91" t="s">
        <v>326</v>
      </c>
      <c r="T91" t="s">
        <v>436</v>
      </c>
    </row>
    <row r="92" spans="2:20" ht="13.5" customHeight="1">
      <c r="B92" s="14">
        <v>4</v>
      </c>
      <c r="C92" s="14"/>
      <c r="D92" t="s">
        <v>124</v>
      </c>
      <c r="E92" t="s">
        <v>476</v>
      </c>
      <c r="F92" t="s">
        <v>263</v>
      </c>
      <c r="G92" t="s">
        <v>263</v>
      </c>
      <c r="H92" t="s">
        <v>325</v>
      </c>
      <c r="J92" s="10">
        <v>4</v>
      </c>
      <c r="K92">
        <v>3.37</v>
      </c>
      <c r="L92" s="10">
        <v>10</v>
      </c>
      <c r="M92" s="10">
        <f t="shared" si="6"/>
        <v>-10.523809523809526</v>
      </c>
      <c r="N92" s="10"/>
      <c r="O92" s="4">
        <v>-2.8E-3</v>
      </c>
      <c r="P92" s="4">
        <v>-2.8E-3</v>
      </c>
      <c r="Q92" s="15" t="s">
        <v>125</v>
      </c>
      <c r="R92" t="s">
        <v>325</v>
      </c>
      <c r="S92" t="s">
        <v>325</v>
      </c>
      <c r="T92" t="s">
        <v>328</v>
      </c>
    </row>
    <row r="93" spans="2:20" ht="13.5" customHeight="1">
      <c r="B93" s="14">
        <v>4</v>
      </c>
      <c r="C93" s="13">
        <v>14</v>
      </c>
      <c r="D93" t="s">
        <v>84</v>
      </c>
      <c r="E93" t="s">
        <v>88</v>
      </c>
      <c r="F93" t="s">
        <v>261</v>
      </c>
      <c r="G93" t="s">
        <v>261</v>
      </c>
      <c r="H93" t="s">
        <v>325</v>
      </c>
      <c r="J93" s="11">
        <v>160</v>
      </c>
      <c r="K93">
        <v>129.97999999999999</v>
      </c>
      <c r="L93" s="10">
        <v>200</v>
      </c>
      <c r="M93" s="10">
        <f t="shared" si="6"/>
        <v>-2.332445036642238</v>
      </c>
      <c r="N93" s="10"/>
      <c r="O93" s="4">
        <v>1.61E-2</v>
      </c>
      <c r="P93" s="4">
        <v>1.61E-2</v>
      </c>
      <c r="Q93" s="15" t="s">
        <v>95</v>
      </c>
      <c r="R93" t="s">
        <v>326</v>
      </c>
      <c r="S93" t="s">
        <v>326</v>
      </c>
      <c r="T93" t="s">
        <v>329</v>
      </c>
    </row>
    <row r="94" spans="2:20" ht="13.5" customHeight="1">
      <c r="B94" s="14">
        <v>4</v>
      </c>
      <c r="C94" s="14"/>
      <c r="D94" s="8" t="s">
        <v>649</v>
      </c>
      <c r="E94" t="s">
        <v>288</v>
      </c>
      <c r="F94" t="s">
        <v>258</v>
      </c>
      <c r="G94" t="s">
        <v>258</v>
      </c>
      <c r="H94" t="s">
        <v>325</v>
      </c>
      <c r="J94" s="10">
        <v>250</v>
      </c>
      <c r="K94">
        <v>329.87</v>
      </c>
      <c r="L94" s="10">
        <v>300</v>
      </c>
      <c r="M94" s="10">
        <f t="shared" si="6"/>
        <v>-0.37398272192312509</v>
      </c>
      <c r="N94" s="10"/>
      <c r="O94" s="4">
        <v>1.6899999999999998E-2</v>
      </c>
      <c r="P94" s="4">
        <v>1.6899999999999998E-2</v>
      </c>
      <c r="Q94" s="15"/>
      <c r="R94" t="s">
        <v>327</v>
      </c>
      <c r="S94" t="s">
        <v>327</v>
      </c>
      <c r="T94" t="s">
        <v>329</v>
      </c>
    </row>
    <row r="95" spans="2:20" ht="13.5" customHeight="1">
      <c r="B95" s="14">
        <v>4</v>
      </c>
      <c r="C95" s="14"/>
      <c r="D95" t="s">
        <v>685</v>
      </c>
      <c r="E95" t="s">
        <v>88</v>
      </c>
      <c r="F95" t="s">
        <v>257</v>
      </c>
      <c r="G95" t="s">
        <v>257</v>
      </c>
      <c r="H95" t="s">
        <v>325</v>
      </c>
      <c r="J95" s="10">
        <v>75</v>
      </c>
      <c r="K95">
        <v>116.22</v>
      </c>
      <c r="L95" s="10">
        <v>125</v>
      </c>
      <c r="M95" s="10">
        <f t="shared" si="6"/>
        <v>0.21300339640950999</v>
      </c>
      <c r="N95" s="10"/>
      <c r="O95" s="4">
        <v>2.1600000000000001E-2</v>
      </c>
      <c r="P95" s="4">
        <v>2.1600000000000001E-2</v>
      </c>
      <c r="Q95" s="14"/>
      <c r="R95" t="s">
        <v>326</v>
      </c>
      <c r="S95" t="s">
        <v>326</v>
      </c>
      <c r="T95" t="s">
        <v>327</v>
      </c>
    </row>
    <row r="96" spans="2:20" ht="13.5" customHeight="1">
      <c r="B96" s="14">
        <v>4</v>
      </c>
      <c r="C96" s="14"/>
      <c r="D96" t="s">
        <v>689</v>
      </c>
      <c r="E96" t="s">
        <v>282</v>
      </c>
      <c r="F96"/>
      <c r="G96"/>
      <c r="H96" t="s">
        <v>325</v>
      </c>
      <c r="J96" s="10">
        <v>30</v>
      </c>
      <c r="K96">
        <v>17.739999999999998</v>
      </c>
      <c r="L96" s="10">
        <v>70</v>
      </c>
      <c r="M96" s="10">
        <f t="shared" si="6"/>
        <v>-4.2626427406199019</v>
      </c>
      <c r="N96" s="10"/>
      <c r="O96" s="4">
        <v>9.5999999999999992E-3</v>
      </c>
      <c r="P96" s="4">
        <v>9.5999999999999992E-3</v>
      </c>
      <c r="Q96" s="14"/>
      <c r="R96" t="s">
        <v>681</v>
      </c>
      <c r="S96" t="s">
        <v>327</v>
      </c>
      <c r="T96" t="s">
        <v>329</v>
      </c>
    </row>
    <row r="97" spans="2:20" ht="13.5" customHeight="1">
      <c r="B97" s="14">
        <v>4</v>
      </c>
      <c r="C97" s="14"/>
      <c r="D97" s="8" t="s">
        <v>679</v>
      </c>
      <c r="F97"/>
      <c r="G97"/>
      <c r="H97" t="s">
        <v>326</v>
      </c>
      <c r="J97" s="10"/>
      <c r="K97">
        <v>15.69</v>
      </c>
      <c r="L97" s="10"/>
      <c r="M97" s="10"/>
      <c r="N97" s="10"/>
      <c r="O97" s="4">
        <v>0.13489999999999999</v>
      </c>
      <c r="P97" s="4">
        <v>0.13489999999999999</v>
      </c>
      <c r="Q97" s="14" t="s">
        <v>680</v>
      </c>
      <c r="R97" t="s">
        <v>326</v>
      </c>
      <c r="S97" t="s">
        <v>326</v>
      </c>
      <c r="T97" t="s">
        <v>436</v>
      </c>
    </row>
    <row r="98" spans="2:20" ht="13.5" customHeight="1">
      <c r="B98" s="14">
        <v>4</v>
      </c>
      <c r="C98" s="14"/>
      <c r="D98" s="8" t="s">
        <v>684</v>
      </c>
      <c r="E98" t="s">
        <v>104</v>
      </c>
      <c r="F98" t="s">
        <v>261</v>
      </c>
      <c r="G98" t="s">
        <v>261</v>
      </c>
      <c r="H98" t="s">
        <v>326</v>
      </c>
      <c r="J98" s="10">
        <v>120</v>
      </c>
      <c r="K98">
        <v>78.45</v>
      </c>
      <c r="L98" s="10">
        <v>150</v>
      </c>
      <c r="M98" s="10">
        <f t="shared" ref="M98:M111" si="7" xml:space="preserve"> (L98 - K98)/(K98-J98)</f>
        <v>-1.7220216606498195</v>
      </c>
      <c r="N98" s="10">
        <f>K98/L98</f>
        <v>0.52300000000000002</v>
      </c>
      <c r="O98" s="4">
        <v>2.7699999999999999E-2</v>
      </c>
      <c r="P98" s="4">
        <v>2.7699999999999999E-2</v>
      </c>
      <c r="Q98" s="15"/>
      <c r="R98" t="s">
        <v>326</v>
      </c>
      <c r="S98" t="s">
        <v>326</v>
      </c>
      <c r="T98" t="s">
        <v>329</v>
      </c>
    </row>
    <row r="99" spans="2:20" ht="13.5" customHeight="1">
      <c r="B99" s="14">
        <v>4</v>
      </c>
      <c r="C99" s="14"/>
      <c r="D99" t="s">
        <v>409</v>
      </c>
      <c r="E99" t="s">
        <v>332</v>
      </c>
      <c r="F99" t="s">
        <v>264</v>
      </c>
      <c r="G99" t="s">
        <v>264</v>
      </c>
      <c r="H99" t="s">
        <v>326</v>
      </c>
      <c r="I99" s="8"/>
      <c r="J99" s="11">
        <v>120</v>
      </c>
      <c r="K99">
        <v>96.21</v>
      </c>
      <c r="L99" s="10">
        <v>160</v>
      </c>
      <c r="M99" s="10">
        <f t="shared" si="7"/>
        <v>-2.6813787305590582</v>
      </c>
      <c r="N99" s="11">
        <f>K99/L99</f>
        <v>0.60131249999999992</v>
      </c>
      <c r="O99" s="4">
        <v>-6.6E-3</v>
      </c>
      <c r="P99" s="4">
        <v>-6.6E-3</v>
      </c>
      <c r="Q99" s="14"/>
      <c r="R99" t="s">
        <v>325</v>
      </c>
      <c r="S99" t="s">
        <v>325</v>
      </c>
      <c r="T99" t="s">
        <v>329</v>
      </c>
    </row>
    <row r="100" spans="2:20" ht="13.5" customHeight="1">
      <c r="B100" s="14">
        <v>4</v>
      </c>
      <c r="C100" s="14"/>
      <c r="D100" t="s">
        <v>538</v>
      </c>
      <c r="E100" t="s">
        <v>283</v>
      </c>
      <c r="F100" t="s">
        <v>258</v>
      </c>
      <c r="G100" t="s">
        <v>258</v>
      </c>
      <c r="H100" t="s">
        <v>325</v>
      </c>
      <c r="I100" s="7"/>
      <c r="J100" s="10">
        <v>48</v>
      </c>
      <c r="K100">
        <v>77.67</v>
      </c>
      <c r="L100" s="10">
        <v>53</v>
      </c>
      <c r="M100" s="10">
        <f t="shared" si="7"/>
        <v>-0.83147960903269291</v>
      </c>
      <c r="N100" s="10"/>
      <c r="O100" s="4">
        <v>2.47E-2</v>
      </c>
      <c r="P100" s="4">
        <v>2.47E-2</v>
      </c>
      <c r="Q100" s="14"/>
      <c r="R100" t="s">
        <v>327</v>
      </c>
      <c r="S100" t="s">
        <v>327</v>
      </c>
      <c r="T100" t="s">
        <v>327</v>
      </c>
    </row>
    <row r="101" spans="2:20" ht="13.5" customHeight="1">
      <c r="B101" s="14">
        <v>4</v>
      </c>
      <c r="C101" s="14"/>
      <c r="D101" t="s">
        <v>479</v>
      </c>
      <c r="E101" t="s">
        <v>215</v>
      </c>
      <c r="F101" t="s">
        <v>264</v>
      </c>
      <c r="G101" t="s">
        <v>264</v>
      </c>
      <c r="H101" t="s">
        <v>326</v>
      </c>
      <c r="J101" s="10">
        <v>10.5</v>
      </c>
      <c r="K101">
        <v>27.44</v>
      </c>
      <c r="L101" s="10">
        <v>14</v>
      </c>
      <c r="M101" s="10">
        <f t="shared" si="7"/>
        <v>-0.79338842975206614</v>
      </c>
      <c r="N101" s="10">
        <f t="shared" ref="N101:N111" si="8">K101/L101</f>
        <v>1.9600000000000002</v>
      </c>
      <c r="O101" s="4">
        <v>-4.3E-3</v>
      </c>
      <c r="P101" s="4">
        <v>-4.3E-3</v>
      </c>
      <c r="Q101" s="14"/>
      <c r="R101" t="s">
        <v>325</v>
      </c>
      <c r="S101" t="s">
        <v>326</v>
      </c>
      <c r="T101" t="s">
        <v>329</v>
      </c>
    </row>
    <row r="102" spans="2:20" ht="13.5" customHeight="1">
      <c r="B102" s="14">
        <v>4</v>
      </c>
      <c r="C102" s="14"/>
      <c r="D102" t="s">
        <v>362</v>
      </c>
      <c r="E102" t="s">
        <v>88</v>
      </c>
      <c r="F102" t="s">
        <v>258</v>
      </c>
      <c r="G102" t="s">
        <v>258</v>
      </c>
      <c r="H102" t="s">
        <v>325</v>
      </c>
      <c r="I102" s="7"/>
      <c r="J102" s="10">
        <v>80</v>
      </c>
      <c r="K102">
        <v>290.86</v>
      </c>
      <c r="L102" s="10">
        <v>140</v>
      </c>
      <c r="M102" s="10">
        <f t="shared" si="7"/>
        <v>-0.71545101014891399</v>
      </c>
      <c r="N102" s="10">
        <f t="shared" si="8"/>
        <v>2.0775714285714288</v>
      </c>
      <c r="O102" s="4">
        <v>1.21E-2</v>
      </c>
      <c r="P102" s="4">
        <v>1.21E-2</v>
      </c>
      <c r="Q102" s="15"/>
      <c r="R102" t="s">
        <v>325</v>
      </c>
      <c r="S102" t="s">
        <v>325</v>
      </c>
      <c r="T102" t="s">
        <v>329</v>
      </c>
    </row>
    <row r="103" spans="2:20" ht="13.5" customHeight="1">
      <c r="B103" s="14">
        <v>4</v>
      </c>
      <c r="C103" s="14"/>
      <c r="D103" s="8" t="s">
        <v>176</v>
      </c>
      <c r="E103" t="s">
        <v>356</v>
      </c>
      <c r="F103" t="s">
        <v>257</v>
      </c>
      <c r="G103" t="s">
        <v>257</v>
      </c>
      <c r="H103" t="s">
        <v>325</v>
      </c>
      <c r="J103" s="10">
        <v>180</v>
      </c>
      <c r="K103">
        <v>199.23</v>
      </c>
      <c r="L103" s="10">
        <v>200</v>
      </c>
      <c r="M103" s="10">
        <f t="shared" si="7"/>
        <v>4.0041601664067117E-2</v>
      </c>
      <c r="N103" s="10">
        <f t="shared" si="8"/>
        <v>0.99614999999999998</v>
      </c>
      <c r="O103" s="4">
        <v>4.0399999999999998E-2</v>
      </c>
      <c r="P103" s="4">
        <v>4.0399999999999998E-2</v>
      </c>
      <c r="Q103" s="15"/>
      <c r="R103" t="s">
        <v>325</v>
      </c>
      <c r="S103" t="s">
        <v>325</v>
      </c>
      <c r="T103" t="s">
        <v>329</v>
      </c>
    </row>
    <row r="104" spans="2:20" ht="13.5" customHeight="1">
      <c r="B104" s="14">
        <v>4</v>
      </c>
      <c r="C104" s="15"/>
      <c r="D104" t="s">
        <v>497</v>
      </c>
      <c r="E104" t="s">
        <v>356</v>
      </c>
      <c r="F104" t="s">
        <v>261</v>
      </c>
      <c r="G104" t="s">
        <v>261</v>
      </c>
      <c r="H104" t="s">
        <v>325</v>
      </c>
      <c r="I104" s="8"/>
      <c r="J104" s="11">
        <v>4</v>
      </c>
      <c r="K104">
        <v>6.09</v>
      </c>
      <c r="L104" s="11">
        <v>7</v>
      </c>
      <c r="M104" s="10">
        <f t="shared" si="7"/>
        <v>0.43540669856459341</v>
      </c>
      <c r="N104" s="10">
        <f t="shared" si="8"/>
        <v>0.87</v>
      </c>
      <c r="O104" s="28">
        <v>0.06</v>
      </c>
      <c r="P104" s="28">
        <v>0.06</v>
      </c>
      <c r="Q104" s="14"/>
      <c r="R104" t="s">
        <v>325</v>
      </c>
      <c r="S104" t="s">
        <v>327</v>
      </c>
      <c r="T104" t="s">
        <v>327</v>
      </c>
    </row>
    <row r="105" spans="2:20" ht="13.5" customHeight="1">
      <c r="B105" s="14">
        <v>4</v>
      </c>
      <c r="C105" s="14"/>
      <c r="D105" t="s">
        <v>76</v>
      </c>
      <c r="E105" t="s">
        <v>271</v>
      </c>
      <c r="F105" t="s">
        <v>260</v>
      </c>
      <c r="G105" t="s">
        <v>258</v>
      </c>
      <c r="H105" t="s">
        <v>325</v>
      </c>
      <c r="J105" s="10">
        <v>65</v>
      </c>
      <c r="K105">
        <v>34.39</v>
      </c>
      <c r="L105" s="10">
        <v>80</v>
      </c>
      <c r="M105" s="10">
        <f t="shared" si="7"/>
        <v>-1.4900359359686377</v>
      </c>
      <c r="N105" s="10">
        <f t="shared" si="8"/>
        <v>0.42987500000000001</v>
      </c>
      <c r="O105" s="4">
        <v>3.5700000000000003E-2</v>
      </c>
      <c r="P105" s="4">
        <v>3.5700000000000003E-2</v>
      </c>
      <c r="Q105" s="14" t="s">
        <v>92</v>
      </c>
      <c r="R105" t="s">
        <v>325</v>
      </c>
      <c r="S105" t="s">
        <v>325</v>
      </c>
      <c r="T105" t="s">
        <v>327</v>
      </c>
    </row>
    <row r="106" spans="2:20" ht="13.5" customHeight="1">
      <c r="B106" s="14">
        <v>4</v>
      </c>
      <c r="C106" s="14"/>
      <c r="D106" t="s">
        <v>223</v>
      </c>
      <c r="E106" t="s">
        <v>299</v>
      </c>
      <c r="F106" t="s">
        <v>258</v>
      </c>
      <c r="G106" t="s">
        <v>258</v>
      </c>
      <c r="H106" t="s">
        <v>325</v>
      </c>
      <c r="J106" s="10">
        <v>65</v>
      </c>
      <c r="K106">
        <v>68.56</v>
      </c>
      <c r="L106" s="10">
        <v>90</v>
      </c>
      <c r="M106" s="10">
        <f t="shared" si="7"/>
        <v>6.0224719101123547</v>
      </c>
      <c r="N106" s="10">
        <f t="shared" si="8"/>
        <v>0.76177777777777778</v>
      </c>
      <c r="O106" s="4">
        <v>-5.9999999999999995E-4</v>
      </c>
      <c r="P106" s="4">
        <v>-5.9999999999999995E-4</v>
      </c>
      <c r="Q106" s="14"/>
      <c r="R106" t="s">
        <v>326</v>
      </c>
      <c r="S106" t="s">
        <v>326</v>
      </c>
      <c r="T106" t="s">
        <v>327</v>
      </c>
    </row>
    <row r="107" spans="2:20" ht="13.5" customHeight="1">
      <c r="B107" s="14">
        <v>4</v>
      </c>
      <c r="C107" s="14"/>
      <c r="D107" t="s">
        <v>469</v>
      </c>
      <c r="E107" t="s">
        <v>416</v>
      </c>
      <c r="F107" t="s">
        <v>258</v>
      </c>
      <c r="G107" t="s">
        <v>258</v>
      </c>
      <c r="H107" t="s">
        <v>325</v>
      </c>
      <c r="I107">
        <v>141</v>
      </c>
      <c r="J107" s="10">
        <v>140</v>
      </c>
      <c r="K107">
        <v>113.22</v>
      </c>
      <c r="L107" s="10">
        <v>180</v>
      </c>
      <c r="M107" s="10">
        <f t="shared" si="7"/>
        <v>-2.493651979088872</v>
      </c>
      <c r="N107" s="10">
        <f t="shared" si="8"/>
        <v>0.629</v>
      </c>
      <c r="O107" s="4">
        <v>2.7199999999999998E-2</v>
      </c>
      <c r="P107" s="4">
        <v>2.7199999999999998E-2</v>
      </c>
      <c r="Q107" s="14"/>
      <c r="R107" t="s">
        <v>325</v>
      </c>
      <c r="S107" t="s">
        <v>325</v>
      </c>
      <c r="T107" t="s">
        <v>329</v>
      </c>
    </row>
    <row r="108" spans="2:20" ht="13.5" customHeight="1">
      <c r="B108" s="14">
        <v>4</v>
      </c>
      <c r="C108" s="14"/>
      <c r="D108" t="s">
        <v>29</v>
      </c>
      <c r="E108" t="s">
        <v>265</v>
      </c>
      <c r="F108" t="s">
        <v>260</v>
      </c>
      <c r="G108" t="s">
        <v>260</v>
      </c>
      <c r="H108" t="s">
        <v>325</v>
      </c>
      <c r="J108" s="10">
        <v>20</v>
      </c>
      <c r="K108">
        <v>39.1</v>
      </c>
      <c r="L108" s="10">
        <v>37.5</v>
      </c>
      <c r="M108" s="10">
        <f t="shared" si="7"/>
        <v>-8.3769633507853478E-2</v>
      </c>
      <c r="N108" s="10">
        <f t="shared" si="8"/>
        <v>1.0426666666666666</v>
      </c>
      <c r="O108" s="4">
        <v>3.7100000000000001E-2</v>
      </c>
      <c r="P108" s="4">
        <v>3.7100000000000001E-2</v>
      </c>
      <c r="Q108" s="15"/>
      <c r="R108" t="s">
        <v>325</v>
      </c>
      <c r="S108" t="s">
        <v>327</v>
      </c>
      <c r="T108" t="s">
        <v>329</v>
      </c>
    </row>
    <row r="109" spans="2:20" ht="13.5" customHeight="1">
      <c r="B109" s="14">
        <v>4</v>
      </c>
      <c r="C109" s="14"/>
      <c r="D109" t="s">
        <v>652</v>
      </c>
      <c r="E109" t="s">
        <v>256</v>
      </c>
      <c r="F109" t="s">
        <v>260</v>
      </c>
      <c r="G109" t="s">
        <v>260</v>
      </c>
      <c r="H109" t="s">
        <v>326</v>
      </c>
      <c r="I109" s="7"/>
      <c r="J109" s="10">
        <v>60</v>
      </c>
      <c r="K109">
        <v>69.739999999999995</v>
      </c>
      <c r="L109" s="10">
        <v>85</v>
      </c>
      <c r="M109" s="10">
        <f t="shared" si="7"/>
        <v>1.5667351129363463</v>
      </c>
      <c r="N109" s="10">
        <f t="shared" si="8"/>
        <v>0.82047058823529406</v>
      </c>
      <c r="O109" s="4">
        <v>3.4500000000000003E-2</v>
      </c>
      <c r="P109" s="4">
        <v>3.4500000000000003E-2</v>
      </c>
      <c r="Q109" s="15" t="s">
        <v>654</v>
      </c>
      <c r="R109" t="s">
        <v>325</v>
      </c>
      <c r="S109" t="s">
        <v>325</v>
      </c>
      <c r="T109" t="s">
        <v>329</v>
      </c>
    </row>
    <row r="110" spans="2:20" ht="13.5" customHeight="1">
      <c r="B110" s="14">
        <v>4</v>
      </c>
      <c r="C110" s="14"/>
      <c r="D110" t="s">
        <v>414</v>
      </c>
      <c r="E110" t="s">
        <v>276</v>
      </c>
      <c r="F110" t="s">
        <v>258</v>
      </c>
      <c r="G110" t="s">
        <v>258</v>
      </c>
      <c r="H110" t="s">
        <v>325</v>
      </c>
      <c r="J110" s="10">
        <v>58</v>
      </c>
      <c r="K110">
        <v>101.35</v>
      </c>
      <c r="L110" s="10">
        <v>70</v>
      </c>
      <c r="M110" s="10">
        <f t="shared" si="7"/>
        <v>-0.72318339100346019</v>
      </c>
      <c r="N110" s="10">
        <f t="shared" si="8"/>
        <v>1.4478571428571427</v>
      </c>
      <c r="O110" s="4">
        <v>-2.0999999999999999E-3</v>
      </c>
      <c r="P110" s="4">
        <v>-2.0999999999999999E-3</v>
      </c>
      <c r="Q110" s="14"/>
      <c r="R110" t="s">
        <v>325</v>
      </c>
      <c r="S110" t="s">
        <v>325</v>
      </c>
      <c r="T110" t="s">
        <v>327</v>
      </c>
    </row>
    <row r="111" spans="2:20" ht="13.5" customHeight="1">
      <c r="B111" s="14">
        <v>4</v>
      </c>
      <c r="C111" s="14"/>
      <c r="D111" t="s">
        <v>501</v>
      </c>
      <c r="E111" t="s">
        <v>418</v>
      </c>
      <c r="F111" t="s">
        <v>263</v>
      </c>
      <c r="G111" t="s">
        <v>263</v>
      </c>
      <c r="H111" t="s">
        <v>326</v>
      </c>
      <c r="J111" s="10">
        <v>40</v>
      </c>
      <c r="K111">
        <v>88.97</v>
      </c>
      <c r="L111" s="10">
        <v>48</v>
      </c>
      <c r="M111" s="10">
        <f t="shared" si="7"/>
        <v>-0.83663467429038185</v>
      </c>
      <c r="N111" s="10">
        <f t="shared" si="8"/>
        <v>1.8535416666666666</v>
      </c>
      <c r="O111" s="4">
        <v>3.7400000000000003E-2</v>
      </c>
      <c r="P111" s="4">
        <v>3.7400000000000003E-2</v>
      </c>
      <c r="Q111" s="14"/>
      <c r="R111" t="s">
        <v>326</v>
      </c>
      <c r="S111" t="s">
        <v>326</v>
      </c>
      <c r="T111" t="s">
        <v>328</v>
      </c>
    </row>
    <row r="112" spans="2:20" ht="13.5" customHeight="1">
      <c r="B112" s="14">
        <v>4</v>
      </c>
      <c r="C112" s="14"/>
      <c r="D112" s="8" t="s">
        <v>703</v>
      </c>
      <c r="E112" t="s">
        <v>104</v>
      </c>
      <c r="F112" t="s">
        <v>257</v>
      </c>
      <c r="G112" t="s">
        <v>257</v>
      </c>
      <c r="H112" t="s">
        <v>326</v>
      </c>
      <c r="J112" s="10"/>
      <c r="K112">
        <v>62.07</v>
      </c>
      <c r="L112" s="10"/>
      <c r="M112" s="10"/>
      <c r="N112" s="10"/>
      <c r="O112" s="4">
        <v>1.09E-2</v>
      </c>
      <c r="P112" s="4">
        <v>1.09E-2</v>
      </c>
      <c r="Q112" s="14"/>
      <c r="R112" t="s">
        <v>326</v>
      </c>
      <c r="S112" t="s">
        <v>326</v>
      </c>
      <c r="T112" t="s">
        <v>328</v>
      </c>
    </row>
    <row r="113" spans="2:20" ht="13.5" customHeight="1">
      <c r="B113" s="14">
        <v>4</v>
      </c>
      <c r="C113" s="14"/>
      <c r="D113" t="s">
        <v>317</v>
      </c>
      <c r="E113" t="s">
        <v>136</v>
      </c>
      <c r="F113" t="s">
        <v>258</v>
      </c>
      <c r="G113" t="s">
        <v>258</v>
      </c>
      <c r="H113" t="s">
        <v>326</v>
      </c>
      <c r="I113" s="8"/>
      <c r="J113" s="11">
        <v>23</v>
      </c>
      <c r="K113">
        <v>51.41</v>
      </c>
      <c r="L113" s="10">
        <v>50</v>
      </c>
      <c r="M113" s="10">
        <f xml:space="preserve"> (L113 - K113)/(K113-J113)</f>
        <v>-4.963041182682143E-2</v>
      </c>
      <c r="N113" s="10">
        <f t="shared" ref="N113:N121" si="9">K113/L113</f>
        <v>1.0282</v>
      </c>
      <c r="O113" s="4">
        <v>5.2900000000000003E-2</v>
      </c>
      <c r="P113" s="4">
        <v>5.2900000000000003E-2</v>
      </c>
      <c r="Q113" s="14"/>
      <c r="R113" t="s">
        <v>325</v>
      </c>
      <c r="S113" t="s">
        <v>327</v>
      </c>
      <c r="T113" t="s">
        <v>436</v>
      </c>
    </row>
    <row r="114" spans="2:20">
      <c r="B114" s="14">
        <v>4</v>
      </c>
      <c r="C114" s="14"/>
      <c r="D114" t="s">
        <v>233</v>
      </c>
      <c r="E114" t="s">
        <v>284</v>
      </c>
      <c r="F114" t="s">
        <v>262</v>
      </c>
      <c r="G114" t="s">
        <v>262</v>
      </c>
      <c r="H114" t="s">
        <v>326</v>
      </c>
      <c r="I114" s="8"/>
      <c r="J114" s="11">
        <v>70</v>
      </c>
      <c r="K114">
        <v>154.94999999999999</v>
      </c>
      <c r="L114" s="10">
        <v>80</v>
      </c>
      <c r="M114" s="10">
        <f xml:space="preserve"> (L114 - K114)/(K114-J114)</f>
        <v>-0.88228369629193637</v>
      </c>
      <c r="N114" s="10">
        <f t="shared" si="9"/>
        <v>1.9368749999999999</v>
      </c>
      <c r="O114" s="4">
        <v>1.8E-3</v>
      </c>
      <c r="P114" s="4">
        <v>1.8E-3</v>
      </c>
      <c r="Q114" s="14"/>
      <c r="R114" t="s">
        <v>327</v>
      </c>
      <c r="S114" t="s">
        <v>327</v>
      </c>
      <c r="T114" t="s">
        <v>329</v>
      </c>
    </row>
    <row r="115" spans="2:20">
      <c r="B115" s="14">
        <v>4</v>
      </c>
      <c r="C115" s="14"/>
      <c r="D115" t="s">
        <v>343</v>
      </c>
      <c r="E115" t="s">
        <v>88</v>
      </c>
      <c r="F115" t="s">
        <v>260</v>
      </c>
      <c r="G115" t="s">
        <v>260</v>
      </c>
      <c r="H115" t="s">
        <v>325</v>
      </c>
      <c r="J115" s="10">
        <v>68</v>
      </c>
      <c r="K115">
        <v>64.739999999999995</v>
      </c>
      <c r="L115" s="10">
        <v>82</v>
      </c>
      <c r="M115" s="10">
        <f xml:space="preserve"> (L115 - K115)/(K115-J115)</f>
        <v>-5.2944785276073549</v>
      </c>
      <c r="N115" s="10">
        <f t="shared" si="9"/>
        <v>0.78951219512195114</v>
      </c>
      <c r="O115" s="4">
        <v>-1.4E-2</v>
      </c>
      <c r="P115" s="4">
        <v>-1.4E-2</v>
      </c>
      <c r="Q115" s="15"/>
      <c r="R115" t="s">
        <v>325</v>
      </c>
      <c r="S115" t="s">
        <v>325</v>
      </c>
      <c r="T115" t="s">
        <v>327</v>
      </c>
    </row>
    <row r="116" spans="2:20">
      <c r="B116" s="14">
        <v>4</v>
      </c>
      <c r="C116" s="14"/>
      <c r="D116" t="s">
        <v>672</v>
      </c>
      <c r="E116" t="s">
        <v>418</v>
      </c>
      <c r="F116" t="s">
        <v>264</v>
      </c>
      <c r="G116" t="s">
        <v>264</v>
      </c>
      <c r="H116" t="s">
        <v>326</v>
      </c>
      <c r="J116" s="10">
        <v>100</v>
      </c>
      <c r="K116">
        <v>122.44</v>
      </c>
      <c r="L116" s="10">
        <v>150</v>
      </c>
      <c r="M116" s="10">
        <f xml:space="preserve"> (L116 - K116)/(K116-J116)</f>
        <v>1.2281639928698755</v>
      </c>
      <c r="N116" s="10">
        <f t="shared" si="9"/>
        <v>0.8162666666666667</v>
      </c>
      <c r="O116" s="4">
        <v>-1.89E-2</v>
      </c>
      <c r="P116" s="4">
        <v>-1.89E-2</v>
      </c>
      <c r="Q116" s="14"/>
      <c r="R116" t="s">
        <v>327</v>
      </c>
      <c r="S116" t="s">
        <v>326</v>
      </c>
      <c r="T116" t="s">
        <v>328</v>
      </c>
    </row>
    <row r="117" spans="2:20">
      <c r="B117" s="14">
        <v>4</v>
      </c>
      <c r="C117" s="14"/>
      <c r="D117" t="s">
        <v>339</v>
      </c>
      <c r="E117" t="s">
        <v>104</v>
      </c>
      <c r="F117" t="s">
        <v>261</v>
      </c>
      <c r="G117" t="s">
        <v>261</v>
      </c>
      <c r="H117" t="s">
        <v>326</v>
      </c>
      <c r="J117" s="10"/>
      <c r="K117">
        <v>137.37</v>
      </c>
      <c r="L117" s="10"/>
      <c r="M117" s="10"/>
      <c r="N117" s="10" t="e">
        <f t="shared" si="9"/>
        <v>#DIV/0!</v>
      </c>
      <c r="O117" s="4">
        <v>1.9900000000000001E-2</v>
      </c>
      <c r="P117" s="4">
        <v>1.9900000000000001E-2</v>
      </c>
      <c r="Q117" s="14"/>
      <c r="R117" t="s">
        <v>326</v>
      </c>
      <c r="S117" t="s">
        <v>327</v>
      </c>
      <c r="T117" t="s">
        <v>328</v>
      </c>
    </row>
    <row r="118" spans="2:20">
      <c r="B118" s="14">
        <v>4</v>
      </c>
      <c r="C118" s="14"/>
      <c r="D118" t="s">
        <v>603</v>
      </c>
      <c r="E118" t="s">
        <v>473</v>
      </c>
      <c r="F118" t="s">
        <v>258</v>
      </c>
      <c r="G118" t="s">
        <v>260</v>
      </c>
      <c r="H118" t="s">
        <v>325</v>
      </c>
      <c r="J118" s="10">
        <v>38</v>
      </c>
      <c r="K118">
        <v>38.43</v>
      </c>
      <c r="L118" s="10">
        <v>45</v>
      </c>
      <c r="M118" s="10">
        <f xml:space="preserve"> (L118 - K118)/(K118-J118)</f>
        <v>15.279069767441872</v>
      </c>
      <c r="N118" s="10">
        <f t="shared" si="9"/>
        <v>0.85399999999999998</v>
      </c>
      <c r="O118" s="4">
        <v>-6.9999999999999999E-4</v>
      </c>
      <c r="P118" s="4">
        <v>-6.9999999999999999E-4</v>
      </c>
      <c r="Q118" s="14"/>
      <c r="R118" t="s">
        <v>326</v>
      </c>
      <c r="S118" t="s">
        <v>326</v>
      </c>
      <c r="T118" t="s">
        <v>327</v>
      </c>
    </row>
    <row r="119" spans="2:20">
      <c r="B119" s="14">
        <v>4</v>
      </c>
      <c r="C119" s="14"/>
      <c r="D119" t="s">
        <v>559</v>
      </c>
      <c r="E119" t="s">
        <v>332</v>
      </c>
      <c r="F119"/>
      <c r="G119"/>
      <c r="H119" t="s">
        <v>710</v>
      </c>
      <c r="J119" s="10">
        <v>10</v>
      </c>
      <c r="K119">
        <v>0</v>
      </c>
      <c r="L119" s="10">
        <v>30</v>
      </c>
      <c r="M119" s="10">
        <f xml:space="preserve"> (L119 - K119)/(K119-J119)</f>
        <v>-3</v>
      </c>
      <c r="N119" s="10">
        <f t="shared" si="9"/>
        <v>0</v>
      </c>
      <c r="O119" s="28">
        <v>0</v>
      </c>
      <c r="P119" s="28">
        <v>0</v>
      </c>
      <c r="Q119" s="14"/>
      <c r="R119" t="s">
        <v>710</v>
      </c>
      <c r="S119" t="s">
        <v>710</v>
      </c>
      <c r="T119" t="s">
        <v>710</v>
      </c>
    </row>
    <row r="120" spans="2:20">
      <c r="B120" s="14">
        <v>4</v>
      </c>
      <c r="C120" s="14"/>
      <c r="D120" t="s">
        <v>531</v>
      </c>
      <c r="E120" t="s">
        <v>284</v>
      </c>
      <c r="F120" t="s">
        <v>264</v>
      </c>
      <c r="G120" t="s">
        <v>263</v>
      </c>
      <c r="H120" t="s">
        <v>326</v>
      </c>
      <c r="J120" s="10">
        <v>220</v>
      </c>
      <c r="K120">
        <v>224.73</v>
      </c>
      <c r="L120" s="10">
        <v>275</v>
      </c>
      <c r="M120" s="10">
        <f xml:space="preserve"> (L120 - K120)/(K120-J120)</f>
        <v>10.627906976744212</v>
      </c>
      <c r="N120" s="10">
        <f t="shared" si="9"/>
        <v>0.81719999999999993</v>
      </c>
      <c r="O120" s="4">
        <v>6.4999999999999997E-3</v>
      </c>
      <c r="P120" s="4">
        <v>6.4999999999999997E-3</v>
      </c>
      <c r="Q120" s="14"/>
      <c r="R120" t="s">
        <v>325</v>
      </c>
      <c r="S120" t="s">
        <v>325</v>
      </c>
      <c r="T120" t="s">
        <v>329</v>
      </c>
    </row>
    <row r="121" spans="2:20">
      <c r="B121" s="14">
        <v>4</v>
      </c>
      <c r="C121" s="14"/>
      <c r="D121" t="s">
        <v>495</v>
      </c>
      <c r="E121" t="s">
        <v>274</v>
      </c>
      <c r="F121" t="s">
        <v>261</v>
      </c>
      <c r="G121" t="s">
        <v>261</v>
      </c>
      <c r="H121" t="s">
        <v>326</v>
      </c>
      <c r="J121" s="10">
        <v>9</v>
      </c>
      <c r="K121">
        <v>11.52</v>
      </c>
      <c r="L121" s="10">
        <v>13</v>
      </c>
      <c r="M121" s="10">
        <f xml:space="preserve"> (L121 - K121)/(K121-J121)</f>
        <v>0.58730158730158755</v>
      </c>
      <c r="N121" s="10">
        <f t="shared" si="9"/>
        <v>0.88615384615384607</v>
      </c>
      <c r="O121" s="4">
        <v>1.95E-2</v>
      </c>
      <c r="P121" s="4">
        <v>1.95E-2</v>
      </c>
      <c r="Q121" s="14"/>
      <c r="R121" t="s">
        <v>325</v>
      </c>
      <c r="S121" t="s">
        <v>326</v>
      </c>
      <c r="T121" t="s">
        <v>327</v>
      </c>
    </row>
    <row r="122" spans="2:20">
      <c r="B122" s="14">
        <v>4</v>
      </c>
      <c r="C122" s="14"/>
      <c r="D122" s="8" t="s">
        <v>709</v>
      </c>
      <c r="E122" t="s">
        <v>420</v>
      </c>
      <c r="F122" t="s">
        <v>261</v>
      </c>
      <c r="G122" t="s">
        <v>261</v>
      </c>
      <c r="H122" t="s">
        <v>325</v>
      </c>
      <c r="J122" s="10"/>
      <c r="K122">
        <v>39.42</v>
      </c>
      <c r="L122" s="10"/>
      <c r="M122" s="10"/>
      <c r="N122" s="10"/>
      <c r="O122" s="4">
        <v>5.4999999999999997E-3</v>
      </c>
      <c r="P122" s="4">
        <v>5.4999999999999997E-3</v>
      </c>
      <c r="Q122" s="15"/>
      <c r="R122" t="s">
        <v>325</v>
      </c>
      <c r="S122" t="s">
        <v>327</v>
      </c>
      <c r="T122" t="s">
        <v>329</v>
      </c>
    </row>
    <row r="123" spans="2:20">
      <c r="B123" s="14">
        <v>4</v>
      </c>
      <c r="C123" s="14"/>
      <c r="D123" t="s">
        <v>695</v>
      </c>
      <c r="E123" t="s">
        <v>110</v>
      </c>
      <c r="F123" t="s">
        <v>258</v>
      </c>
      <c r="G123" t="s">
        <v>258</v>
      </c>
      <c r="H123" t="s">
        <v>325</v>
      </c>
      <c r="J123" s="10"/>
      <c r="K123">
        <v>268.89999999999998</v>
      </c>
      <c r="L123" s="10"/>
      <c r="M123" s="10"/>
      <c r="N123" s="10" t="e">
        <f t="shared" ref="N123:N129" si="10">K123/L123</f>
        <v>#DIV/0!</v>
      </c>
      <c r="O123" s="4">
        <v>2.1399999999999999E-2</v>
      </c>
      <c r="P123" s="4">
        <v>2.1399999999999999E-2</v>
      </c>
      <c r="Q123" s="14"/>
      <c r="R123" t="s">
        <v>327</v>
      </c>
      <c r="S123" t="s">
        <v>325</v>
      </c>
      <c r="T123" t="s">
        <v>328</v>
      </c>
    </row>
    <row r="124" spans="2:20">
      <c r="B124" s="14">
        <v>4</v>
      </c>
      <c r="C124" s="14"/>
      <c r="D124" t="s">
        <v>322</v>
      </c>
      <c r="E124" t="s">
        <v>288</v>
      </c>
      <c r="F124" t="s">
        <v>264</v>
      </c>
      <c r="G124" t="s">
        <v>264</v>
      </c>
      <c r="H124" t="s">
        <v>325</v>
      </c>
      <c r="J124" s="10">
        <v>100</v>
      </c>
      <c r="K124">
        <v>52.39</v>
      </c>
      <c r="L124" s="10">
        <v>130</v>
      </c>
      <c r="M124" s="10">
        <f t="shared" ref="M124:M129" si="11" xml:space="preserve"> (L124 - K124)/(K124-J124)</f>
        <v>-1.6301197227473221</v>
      </c>
      <c r="N124" s="10">
        <f t="shared" si="10"/>
        <v>0.40300000000000002</v>
      </c>
      <c r="O124" s="4">
        <v>3.32E-2</v>
      </c>
      <c r="P124" s="4">
        <v>3.32E-2</v>
      </c>
      <c r="Q124" s="14"/>
      <c r="R124" t="s">
        <v>327</v>
      </c>
      <c r="S124" t="s">
        <v>326</v>
      </c>
      <c r="T124" t="s">
        <v>327</v>
      </c>
    </row>
    <row r="125" spans="2:20">
      <c r="B125" s="14">
        <v>4</v>
      </c>
      <c r="C125" s="14"/>
      <c r="D125" t="s">
        <v>83</v>
      </c>
      <c r="E125" t="s">
        <v>416</v>
      </c>
      <c r="F125" t="s">
        <v>257</v>
      </c>
      <c r="G125" t="s">
        <v>257</v>
      </c>
      <c r="H125" t="s">
        <v>325</v>
      </c>
      <c r="J125" s="10">
        <v>900</v>
      </c>
      <c r="K125">
        <v>972.42</v>
      </c>
      <c r="L125" s="10">
        <v>1100</v>
      </c>
      <c r="M125" s="10">
        <f t="shared" si="11"/>
        <v>1.7616680475006921</v>
      </c>
      <c r="N125" s="10">
        <f t="shared" si="10"/>
        <v>0.88401818181818181</v>
      </c>
      <c r="O125" s="4">
        <v>1.9599999999999999E-2</v>
      </c>
      <c r="P125" s="4">
        <v>1.9599999999999999E-2</v>
      </c>
      <c r="Q125" s="14"/>
      <c r="R125" t="s">
        <v>325</v>
      </c>
      <c r="S125" t="s">
        <v>325</v>
      </c>
      <c r="T125" t="s">
        <v>327</v>
      </c>
    </row>
    <row r="126" spans="2:20">
      <c r="B126" s="14">
        <v>4</v>
      </c>
      <c r="C126" s="14"/>
      <c r="D126" t="s">
        <v>647</v>
      </c>
      <c r="F126" t="s">
        <v>259</v>
      </c>
      <c r="G126" t="s">
        <v>259</v>
      </c>
      <c r="H126" t="s">
        <v>325</v>
      </c>
      <c r="I126" s="8"/>
      <c r="J126" s="11">
        <v>50</v>
      </c>
      <c r="K126">
        <v>49.08</v>
      </c>
      <c r="L126" s="11">
        <v>52.5</v>
      </c>
      <c r="M126" s="10">
        <f t="shared" si="11"/>
        <v>-3.7173913043478208</v>
      </c>
      <c r="N126" s="10">
        <f t="shared" si="10"/>
        <v>0.93485714285714283</v>
      </c>
      <c r="O126" s="4">
        <v>-5.9999999999999995E-4</v>
      </c>
      <c r="P126" s="4">
        <v>-5.9999999999999995E-4</v>
      </c>
      <c r="Q126" s="15"/>
      <c r="R126" t="s">
        <v>326</v>
      </c>
      <c r="S126" t="s">
        <v>326</v>
      </c>
      <c r="T126" t="s">
        <v>327</v>
      </c>
    </row>
    <row r="127" spans="2:20">
      <c r="B127" s="14">
        <v>4</v>
      </c>
      <c r="C127" s="14"/>
      <c r="D127" t="s">
        <v>408</v>
      </c>
      <c r="E127" t="s">
        <v>279</v>
      </c>
      <c r="F127" t="s">
        <v>258</v>
      </c>
      <c r="G127" t="s">
        <v>258</v>
      </c>
      <c r="H127" t="s">
        <v>325</v>
      </c>
      <c r="I127" s="8"/>
      <c r="J127" s="11">
        <v>8</v>
      </c>
      <c r="K127">
        <v>6.83</v>
      </c>
      <c r="L127" s="10">
        <v>10</v>
      </c>
      <c r="M127" s="10">
        <f t="shared" si="11"/>
        <v>-2.7094017094017095</v>
      </c>
      <c r="N127" s="10">
        <f t="shared" si="10"/>
        <v>0.68300000000000005</v>
      </c>
      <c r="O127" s="4">
        <v>3.3700000000000001E-2</v>
      </c>
      <c r="P127" s="4">
        <v>3.3700000000000001E-2</v>
      </c>
      <c r="Q127" s="14"/>
      <c r="R127" t="s">
        <v>325</v>
      </c>
      <c r="S127" t="s">
        <v>327</v>
      </c>
      <c r="T127" t="s">
        <v>436</v>
      </c>
    </row>
    <row r="128" spans="2:20">
      <c r="B128" s="14">
        <v>4</v>
      </c>
      <c r="C128" s="14"/>
      <c r="D128" t="s">
        <v>525</v>
      </c>
      <c r="E128" t="s">
        <v>88</v>
      </c>
      <c r="F128" t="s">
        <v>258</v>
      </c>
      <c r="G128" t="s">
        <v>258</v>
      </c>
      <c r="H128" t="s">
        <v>325</v>
      </c>
      <c r="I128" s="8"/>
      <c r="J128" s="11">
        <v>120</v>
      </c>
      <c r="K128">
        <v>84.44</v>
      </c>
      <c r="L128" s="10">
        <v>160</v>
      </c>
      <c r="M128" s="10">
        <f t="shared" si="11"/>
        <v>-2.124859392575928</v>
      </c>
      <c r="N128" s="10">
        <f t="shared" si="10"/>
        <v>0.52774999999999994</v>
      </c>
      <c r="O128" s="4">
        <v>4.4299999999999999E-2</v>
      </c>
      <c r="P128" s="4">
        <v>4.4299999999999999E-2</v>
      </c>
      <c r="Q128" s="15"/>
      <c r="R128" t="s">
        <v>325</v>
      </c>
      <c r="S128" t="s">
        <v>326</v>
      </c>
      <c r="T128" t="s">
        <v>327</v>
      </c>
    </row>
    <row r="129" spans="2:20">
      <c r="B129" s="14">
        <v>4</v>
      </c>
      <c r="C129" s="14"/>
      <c r="D129" t="s">
        <v>615</v>
      </c>
      <c r="E129" t="s">
        <v>617</v>
      </c>
      <c r="F129" t="s">
        <v>264</v>
      </c>
      <c r="G129" t="s">
        <v>264</v>
      </c>
      <c r="H129" t="s">
        <v>325</v>
      </c>
      <c r="J129" s="10">
        <v>200</v>
      </c>
      <c r="K129">
        <v>146.25</v>
      </c>
      <c r="L129" s="10">
        <v>250</v>
      </c>
      <c r="M129" s="10">
        <f t="shared" si="11"/>
        <v>-1.930232558139535</v>
      </c>
      <c r="N129" s="10">
        <f t="shared" si="10"/>
        <v>0.58499999999999996</v>
      </c>
      <c r="O129" s="4">
        <v>5.1400000000000001E-2</v>
      </c>
      <c r="P129" s="4">
        <v>5.1400000000000001E-2</v>
      </c>
      <c r="Q129" s="14"/>
      <c r="R129" t="s">
        <v>326</v>
      </c>
      <c r="S129" t="s">
        <v>326</v>
      </c>
      <c r="T129" t="s">
        <v>329</v>
      </c>
    </row>
    <row r="130" spans="2:20">
      <c r="B130" s="14">
        <v>4</v>
      </c>
      <c r="C130" s="14"/>
      <c r="D130" t="s">
        <v>725</v>
      </c>
      <c r="F130"/>
      <c r="G130"/>
      <c r="H130"/>
      <c r="J130" s="10"/>
      <c r="K130"/>
      <c r="L130" s="10"/>
      <c r="M130" s="10"/>
      <c r="N130" s="10"/>
      <c r="O130" s="4"/>
      <c r="P130" s="4"/>
      <c r="Q130" s="14"/>
    </row>
    <row r="131" spans="2:20">
      <c r="B131" s="14">
        <v>4</v>
      </c>
      <c r="C131" s="15"/>
      <c r="D131" t="s">
        <v>7</v>
      </c>
      <c r="E131" t="s">
        <v>279</v>
      </c>
      <c r="F131" t="s">
        <v>260</v>
      </c>
      <c r="G131" t="s">
        <v>260</v>
      </c>
      <c r="H131" t="s">
        <v>325</v>
      </c>
      <c r="I131" s="8"/>
      <c r="J131" s="11">
        <v>16</v>
      </c>
      <c r="K131">
        <v>31.47</v>
      </c>
      <c r="L131" s="10">
        <v>19</v>
      </c>
      <c r="M131" s="10">
        <f xml:space="preserve"> (L131 - K131)/(K131-J131)</f>
        <v>-0.80607627666451198</v>
      </c>
      <c r="N131" s="10">
        <f>K131/L131</f>
        <v>1.6563157894736842</v>
      </c>
      <c r="O131" s="4">
        <v>4.5600000000000002E-2</v>
      </c>
      <c r="P131" s="4">
        <v>4.5600000000000002E-2</v>
      </c>
      <c r="Q131" s="14" t="s">
        <v>185</v>
      </c>
      <c r="R131" t="s">
        <v>325</v>
      </c>
      <c r="S131" t="s">
        <v>325</v>
      </c>
      <c r="T131" t="s">
        <v>328</v>
      </c>
    </row>
    <row r="132" spans="2:20">
      <c r="B132" s="14">
        <v>4</v>
      </c>
      <c r="C132" s="14"/>
      <c r="D132" t="s">
        <v>231</v>
      </c>
      <c r="E132" t="s">
        <v>280</v>
      </c>
      <c r="F132" t="s">
        <v>262</v>
      </c>
      <c r="G132" t="s">
        <v>262</v>
      </c>
      <c r="H132" t="s">
        <v>326</v>
      </c>
      <c r="J132" s="10">
        <v>43</v>
      </c>
      <c r="K132">
        <v>49.82</v>
      </c>
      <c r="L132" s="10">
        <v>49</v>
      </c>
      <c r="M132" s="10">
        <f xml:space="preserve"> (L132 - K132)/(K132-J132)</f>
        <v>-0.12023460410557188</v>
      </c>
      <c r="N132" s="10">
        <f>K132/L132</f>
        <v>1.016734693877551</v>
      </c>
      <c r="O132" s="4">
        <v>1.1299999999999999E-2</v>
      </c>
      <c r="P132" s="4">
        <v>1.1299999999999999E-2</v>
      </c>
      <c r="Q132" s="33">
        <v>46</v>
      </c>
      <c r="R132" t="s">
        <v>326</v>
      </c>
      <c r="S132" t="s">
        <v>326</v>
      </c>
      <c r="T132" t="s">
        <v>436</v>
      </c>
    </row>
    <row r="133" spans="2:20">
      <c r="B133" s="14">
        <v>4</v>
      </c>
      <c r="C133" s="14"/>
      <c r="D133" t="s">
        <v>22</v>
      </c>
      <c r="E133" t="s">
        <v>265</v>
      </c>
      <c r="F133" t="s">
        <v>260</v>
      </c>
      <c r="G133" t="s">
        <v>260</v>
      </c>
      <c r="H133" t="s">
        <v>325</v>
      </c>
      <c r="J133" s="10">
        <v>45</v>
      </c>
      <c r="K133">
        <v>48.75</v>
      </c>
      <c r="L133" s="10">
        <v>55</v>
      </c>
      <c r="M133" s="10">
        <f xml:space="preserve"> (L133 - K133)/(K133-J133)</f>
        <v>1.6666666666666667</v>
      </c>
      <c r="N133" s="10">
        <f>K133/L133</f>
        <v>0.88636363636363635</v>
      </c>
      <c r="O133" s="4">
        <v>1.5900000000000001E-2</v>
      </c>
      <c r="P133" s="4">
        <v>1.5900000000000001E-2</v>
      </c>
      <c r="Q133" s="15"/>
      <c r="R133" t="s">
        <v>325</v>
      </c>
      <c r="S133" t="s">
        <v>327</v>
      </c>
      <c r="T133" t="s">
        <v>329</v>
      </c>
    </row>
    <row r="134" spans="2:20">
      <c r="B134" s="14">
        <v>4</v>
      </c>
      <c r="C134" s="14"/>
      <c r="D134" t="s">
        <v>599</v>
      </c>
      <c r="E134" t="s">
        <v>288</v>
      </c>
      <c r="F134" t="s">
        <v>260</v>
      </c>
      <c r="G134" t="s">
        <v>260</v>
      </c>
      <c r="H134" t="s">
        <v>325</v>
      </c>
      <c r="I134" s="7"/>
      <c r="J134" s="10">
        <v>80</v>
      </c>
      <c r="K134">
        <v>100.39</v>
      </c>
      <c r="L134" s="10">
        <v>225</v>
      </c>
      <c r="M134" s="10">
        <f xml:space="preserve"> (L134 - K134)/(K134-J134)</f>
        <v>6.1113290828837661</v>
      </c>
      <c r="N134" s="10">
        <f>K134/L134</f>
        <v>0.44617777777777778</v>
      </c>
      <c r="O134" s="4">
        <v>-2.5000000000000001E-3</v>
      </c>
      <c r="P134" s="4">
        <v>-2.5000000000000001E-3</v>
      </c>
      <c r="Q134" s="14"/>
      <c r="R134" t="s">
        <v>325</v>
      </c>
      <c r="S134" t="s">
        <v>325</v>
      </c>
      <c r="T134" t="s">
        <v>329</v>
      </c>
    </row>
    <row r="135" spans="2:20">
      <c r="B135" s="14">
        <v>4</v>
      </c>
      <c r="C135" s="14"/>
      <c r="D135" t="s">
        <v>718</v>
      </c>
      <c r="F135" t="s">
        <v>262</v>
      </c>
      <c r="G135" t="s">
        <v>262</v>
      </c>
      <c r="H135" t="s">
        <v>325</v>
      </c>
      <c r="J135" s="10"/>
      <c r="K135">
        <v>68.09</v>
      </c>
      <c r="L135" s="10"/>
      <c r="M135" s="10"/>
      <c r="N135" s="10"/>
      <c r="O135" s="4">
        <v>2.6499999999999999E-2</v>
      </c>
      <c r="P135" s="4">
        <v>2.6499999999999999E-2</v>
      </c>
      <c r="Q135" s="14"/>
      <c r="R135" t="s">
        <v>325</v>
      </c>
      <c r="S135" t="s">
        <v>326</v>
      </c>
      <c r="T135" t="s">
        <v>329</v>
      </c>
    </row>
    <row r="136" spans="2:20">
      <c r="B136" s="14">
        <v>4</v>
      </c>
      <c r="C136" s="14"/>
      <c r="D136" t="s">
        <v>716</v>
      </c>
      <c r="E136" t="s">
        <v>476</v>
      </c>
      <c r="F136" t="s">
        <v>258</v>
      </c>
      <c r="G136" t="s">
        <v>258</v>
      </c>
      <c r="H136" t="s">
        <v>325</v>
      </c>
      <c r="I136" s="8"/>
      <c r="J136" s="11"/>
      <c r="K136">
        <v>3.84</v>
      </c>
      <c r="L136" s="11"/>
      <c r="M136" s="10"/>
      <c r="N136" s="10"/>
      <c r="O136" s="4">
        <v>4.7000000000000002E-3</v>
      </c>
      <c r="P136" s="4">
        <v>4.7000000000000002E-3</v>
      </c>
      <c r="Q136" s="15"/>
      <c r="R136" t="s">
        <v>326</v>
      </c>
      <c r="S136" t="s">
        <v>326</v>
      </c>
      <c r="T136" t="s">
        <v>328</v>
      </c>
    </row>
    <row r="137" spans="2:20">
      <c r="B137" s="14">
        <v>4</v>
      </c>
      <c r="C137" s="14"/>
      <c r="D137" t="s">
        <v>468</v>
      </c>
      <c r="E137" t="s">
        <v>288</v>
      </c>
      <c r="F137" t="s">
        <v>258</v>
      </c>
      <c r="G137" t="s">
        <v>258</v>
      </c>
      <c r="H137" t="s">
        <v>325</v>
      </c>
      <c r="J137" s="10">
        <v>110</v>
      </c>
      <c r="K137">
        <v>63.25</v>
      </c>
      <c r="L137" s="10">
        <v>140</v>
      </c>
      <c r="M137" s="10">
        <f xml:space="preserve"> (L137 - K137)/(K137-J137)</f>
        <v>-1.641711229946524</v>
      </c>
      <c r="N137" s="10">
        <f>K137/L137</f>
        <v>0.45178571428571429</v>
      </c>
      <c r="O137" s="4">
        <v>8.2000000000000007E-3</v>
      </c>
      <c r="P137" s="4">
        <v>8.2000000000000007E-3</v>
      </c>
      <c r="Q137" s="15"/>
      <c r="R137" t="s">
        <v>326</v>
      </c>
      <c r="S137" t="s">
        <v>327</v>
      </c>
      <c r="T137" t="s">
        <v>329</v>
      </c>
    </row>
    <row r="138" spans="2:20">
      <c r="B138" s="14">
        <v>4</v>
      </c>
      <c r="C138" s="14"/>
      <c r="D138" t="s">
        <v>44</v>
      </c>
      <c r="E138" t="s">
        <v>256</v>
      </c>
      <c r="F138" t="s">
        <v>261</v>
      </c>
      <c r="G138" t="s">
        <v>261</v>
      </c>
      <c r="H138" t="s">
        <v>326</v>
      </c>
      <c r="J138" s="10">
        <v>150</v>
      </c>
      <c r="K138">
        <v>145.83000000000001</v>
      </c>
      <c r="L138" s="10">
        <v>175</v>
      </c>
      <c r="M138" s="10">
        <f xml:space="preserve"> (L138 - K138)/(K138-J138)</f>
        <v>-6.9952038369304734</v>
      </c>
      <c r="N138" s="10">
        <f>K138/L138</f>
        <v>0.83331428571428579</v>
      </c>
      <c r="O138" s="4">
        <v>6.5199999999999994E-2</v>
      </c>
      <c r="P138" s="4">
        <v>6.5199999999999994E-2</v>
      </c>
      <c r="Q138" s="14" t="s">
        <v>97</v>
      </c>
      <c r="R138" t="s">
        <v>327</v>
      </c>
      <c r="S138" t="s">
        <v>327</v>
      </c>
      <c r="T138" t="s">
        <v>329</v>
      </c>
    </row>
    <row r="139" spans="2:20">
      <c r="B139" s="14">
        <v>4</v>
      </c>
      <c r="C139" s="14"/>
      <c r="D139" s="8" t="s">
        <v>719</v>
      </c>
      <c r="F139" t="s">
        <v>261</v>
      </c>
      <c r="G139" t="s">
        <v>261</v>
      </c>
      <c r="H139" t="s">
        <v>325</v>
      </c>
      <c r="J139" s="10"/>
      <c r="K139">
        <v>198.16</v>
      </c>
      <c r="L139" s="10"/>
      <c r="M139" s="10"/>
      <c r="N139" s="10"/>
      <c r="O139" s="4">
        <v>-5.4000000000000003E-3</v>
      </c>
      <c r="P139" s="4">
        <v>-5.4000000000000003E-3</v>
      </c>
      <c r="Q139" s="15"/>
      <c r="R139" t="s">
        <v>325</v>
      </c>
      <c r="S139" t="s">
        <v>327</v>
      </c>
      <c r="T139" t="s">
        <v>436</v>
      </c>
    </row>
    <row r="140" spans="2:20">
      <c r="B140" s="14">
        <v>4</v>
      </c>
      <c r="C140" s="14"/>
      <c r="D140" t="s">
        <v>209</v>
      </c>
      <c r="E140" t="s">
        <v>274</v>
      </c>
      <c r="F140" t="s">
        <v>258</v>
      </c>
      <c r="G140" t="s">
        <v>258</v>
      </c>
      <c r="H140" t="s">
        <v>326</v>
      </c>
      <c r="J140" s="10">
        <v>4</v>
      </c>
      <c r="K140">
        <v>5.44</v>
      </c>
      <c r="L140" s="10">
        <v>16</v>
      </c>
      <c r="M140" s="10">
        <f xml:space="preserve"> (L140 - K140)/(K140-J140)</f>
        <v>7.3333333333333304</v>
      </c>
      <c r="N140" s="10">
        <f>K140/L140</f>
        <v>0.34</v>
      </c>
      <c r="O140" s="28">
        <v>0</v>
      </c>
      <c r="P140" s="28">
        <v>0</v>
      </c>
      <c r="Q140" s="14" t="s">
        <v>210</v>
      </c>
      <c r="R140" t="s">
        <v>326</v>
      </c>
      <c r="S140" t="s">
        <v>326</v>
      </c>
      <c r="T140" t="s">
        <v>329</v>
      </c>
    </row>
    <row r="141" spans="2:20">
      <c r="B141" s="14">
        <v>4</v>
      </c>
      <c r="C141" s="14"/>
      <c r="D141" t="s">
        <v>546</v>
      </c>
      <c r="E141" t="s">
        <v>286</v>
      </c>
      <c r="F141" t="s">
        <v>260</v>
      </c>
      <c r="G141" t="s">
        <v>260</v>
      </c>
      <c r="H141" t="s">
        <v>325</v>
      </c>
      <c r="I141" s="10"/>
      <c r="J141" s="10">
        <v>90</v>
      </c>
      <c r="K141">
        <v>158.09</v>
      </c>
      <c r="L141" s="10">
        <v>100</v>
      </c>
      <c r="M141" s="10">
        <f xml:space="preserve"> (L141 - K141)/(K141-J141)</f>
        <v>-0.85313555588192103</v>
      </c>
      <c r="N141" s="10">
        <f>K141/L141</f>
        <v>1.5809</v>
      </c>
      <c r="O141" s="4">
        <v>4.1399999999999999E-2</v>
      </c>
      <c r="P141" s="4">
        <v>4.1399999999999999E-2</v>
      </c>
      <c r="Q141" s="15"/>
      <c r="R141" t="s">
        <v>326</v>
      </c>
      <c r="S141" t="s">
        <v>326</v>
      </c>
      <c r="T141" t="s">
        <v>327</v>
      </c>
    </row>
    <row r="142" spans="2:20">
      <c r="B142" s="14">
        <v>4</v>
      </c>
      <c r="C142" s="14"/>
      <c r="D142" t="s">
        <v>541</v>
      </c>
      <c r="E142" t="s">
        <v>355</v>
      </c>
      <c r="F142"/>
      <c r="G142"/>
      <c r="H142" t="s">
        <v>326</v>
      </c>
      <c r="I142" s="8"/>
      <c r="J142" s="11">
        <v>32.5</v>
      </c>
      <c r="K142">
        <v>41.88</v>
      </c>
      <c r="L142" s="10">
        <v>45</v>
      </c>
      <c r="M142" s="10">
        <f xml:space="preserve"> (L142 - K142)/(K142-J142)</f>
        <v>0.33262260127931731</v>
      </c>
      <c r="N142" s="10"/>
      <c r="O142" s="4">
        <v>4.5699999999999998E-2</v>
      </c>
      <c r="P142" s="4">
        <v>4.5699999999999998E-2</v>
      </c>
      <c r="Q142" s="15" t="s">
        <v>542</v>
      </c>
      <c r="R142" t="s">
        <v>325</v>
      </c>
      <c r="S142" t="s">
        <v>327</v>
      </c>
      <c r="T142" t="s">
        <v>329</v>
      </c>
    </row>
    <row r="143" spans="2:20">
      <c r="B143" s="14">
        <v>4</v>
      </c>
      <c r="C143" s="14"/>
      <c r="D143" s="8" t="s">
        <v>720</v>
      </c>
      <c r="E143" t="s">
        <v>88</v>
      </c>
      <c r="F143" t="s">
        <v>260</v>
      </c>
      <c r="G143" t="s">
        <v>260</v>
      </c>
      <c r="H143" t="s">
        <v>325</v>
      </c>
      <c r="J143" s="10"/>
      <c r="K143">
        <v>21.32</v>
      </c>
      <c r="L143" s="10"/>
      <c r="M143" s="10"/>
      <c r="N143" s="10"/>
      <c r="O143" s="4"/>
      <c r="P143" s="4"/>
      <c r="Q143" s="15"/>
    </row>
    <row r="144" spans="2:20">
      <c r="B144" s="14">
        <v>4</v>
      </c>
      <c r="C144" s="14"/>
      <c r="D144" s="8" t="s">
        <v>692</v>
      </c>
      <c r="F144" t="s">
        <v>259</v>
      </c>
      <c r="G144" t="s">
        <v>259</v>
      </c>
      <c r="H144" t="s">
        <v>325</v>
      </c>
      <c r="I144" s="7"/>
      <c r="J144" s="10"/>
      <c r="K144">
        <v>46.44</v>
      </c>
      <c r="L144" s="10"/>
      <c r="M144" s="10"/>
      <c r="N144" s="10"/>
      <c r="O144" s="4">
        <v>3.0999999999999999E-3</v>
      </c>
      <c r="P144" s="4">
        <v>3.0999999999999999E-3</v>
      </c>
      <c r="Q144" s="15" t="s">
        <v>693</v>
      </c>
      <c r="R144" t="s">
        <v>327</v>
      </c>
      <c r="S144" t="s">
        <v>325</v>
      </c>
      <c r="T144" t="s">
        <v>436</v>
      </c>
    </row>
    <row r="145" spans="2:20">
      <c r="B145" s="14">
        <v>4</v>
      </c>
      <c r="C145" s="20">
        <v>7</v>
      </c>
      <c r="D145" t="s">
        <v>169</v>
      </c>
      <c r="E145" t="s">
        <v>88</v>
      </c>
      <c r="F145" t="s">
        <v>258</v>
      </c>
      <c r="G145" t="s">
        <v>258</v>
      </c>
      <c r="H145" t="s">
        <v>325</v>
      </c>
      <c r="J145" s="10">
        <v>200</v>
      </c>
      <c r="K145">
        <v>310.58</v>
      </c>
      <c r="L145" s="10">
        <v>250</v>
      </c>
      <c r="M145" s="10">
        <f xml:space="preserve"> (L145 - K145)/(K145-J145)</f>
        <v>-0.54783866883704102</v>
      </c>
      <c r="N145" s="10">
        <f>K145/L145</f>
        <v>1.2423199999999999</v>
      </c>
      <c r="O145" s="4">
        <v>-1.8100000000000002E-2</v>
      </c>
      <c r="P145" s="4">
        <v>-1.8100000000000002E-2</v>
      </c>
      <c r="Q145" s="14"/>
      <c r="R145" t="s">
        <v>326</v>
      </c>
      <c r="S145" t="s">
        <v>326</v>
      </c>
      <c r="T145" t="s">
        <v>329</v>
      </c>
    </row>
    <row r="146" spans="2:20">
      <c r="B146" s="14">
        <v>4</v>
      </c>
      <c r="C146" s="14"/>
      <c r="D146" t="s">
        <v>717</v>
      </c>
      <c r="E146" t="s">
        <v>88</v>
      </c>
      <c r="F146" t="s">
        <v>260</v>
      </c>
      <c r="G146" t="s">
        <v>260</v>
      </c>
      <c r="H146" t="s">
        <v>325</v>
      </c>
      <c r="J146">
        <v>40.71</v>
      </c>
      <c r="K146">
        <v>43.09</v>
      </c>
      <c r="L146">
        <v>0</v>
      </c>
      <c r="M146">
        <v>0</v>
      </c>
      <c r="N146" s="10"/>
      <c r="O146" s="4">
        <v>6.0000000000000001E-3</v>
      </c>
      <c r="P146" s="4">
        <v>6.0000000000000001E-3</v>
      </c>
      <c r="Q146" s="14"/>
      <c r="R146" t="s">
        <v>325</v>
      </c>
      <c r="S146" t="s">
        <v>327</v>
      </c>
      <c r="T146" t="s">
        <v>327</v>
      </c>
    </row>
    <row r="147" spans="2:20">
      <c r="B147" s="14">
        <v>4</v>
      </c>
      <c r="C147" s="14"/>
      <c r="D147" t="s">
        <v>315</v>
      </c>
      <c r="E147" t="s">
        <v>301</v>
      </c>
      <c r="F147" t="s">
        <v>258</v>
      </c>
      <c r="G147"/>
      <c r="H147" t="s">
        <v>326</v>
      </c>
      <c r="J147" s="10">
        <v>35</v>
      </c>
      <c r="K147">
        <v>80.17</v>
      </c>
      <c r="L147" s="10">
        <v>40</v>
      </c>
      <c r="M147" s="10">
        <f xml:space="preserve"> (L147 - K147)/(K147-J147)</f>
        <v>-0.88930706220943101</v>
      </c>
      <c r="N147" s="10"/>
      <c r="O147" s="4">
        <v>5.7599999999999998E-2</v>
      </c>
      <c r="P147" s="4">
        <v>5.7599999999999998E-2</v>
      </c>
      <c r="Q147" s="15" t="s">
        <v>330</v>
      </c>
      <c r="R147" t="s">
        <v>325</v>
      </c>
      <c r="S147" t="s">
        <v>325</v>
      </c>
      <c r="T147" t="s">
        <v>436</v>
      </c>
    </row>
    <row r="148" spans="2:20">
      <c r="B148" s="14">
        <v>4</v>
      </c>
      <c r="C148" s="14"/>
      <c r="D148" t="s">
        <v>316</v>
      </c>
      <c r="E148" t="s">
        <v>88</v>
      </c>
      <c r="F148" t="s">
        <v>260</v>
      </c>
      <c r="G148" t="s">
        <v>260</v>
      </c>
      <c r="H148" t="s">
        <v>325</v>
      </c>
      <c r="J148" s="11">
        <v>198</v>
      </c>
      <c r="K148">
        <v>201.39</v>
      </c>
      <c r="L148" s="10">
        <v>225</v>
      </c>
      <c r="M148" s="10">
        <f xml:space="preserve"> (L148 - K148)/(K148-J148)</f>
        <v>6.9646017699115363</v>
      </c>
      <c r="N148" s="10">
        <f>K148/L148</f>
        <v>0.89506666666666657</v>
      </c>
      <c r="O148" s="4">
        <v>6.7000000000000002E-3</v>
      </c>
      <c r="P148" s="4">
        <v>6.7000000000000002E-3</v>
      </c>
      <c r="Q148" s="14"/>
      <c r="R148" t="s">
        <v>327</v>
      </c>
      <c r="S148" t="s">
        <v>326</v>
      </c>
      <c r="T148" t="s">
        <v>328</v>
      </c>
    </row>
    <row r="149" spans="2:20">
      <c r="B149" s="14">
        <v>4</v>
      </c>
      <c r="C149" s="14"/>
      <c r="D149" t="s">
        <v>232</v>
      </c>
      <c r="E149" t="s">
        <v>271</v>
      </c>
      <c r="F149" t="s">
        <v>257</v>
      </c>
      <c r="G149" t="s">
        <v>257</v>
      </c>
      <c r="H149" t="s">
        <v>325</v>
      </c>
      <c r="J149" s="10">
        <v>250</v>
      </c>
      <c r="K149">
        <v>169.87</v>
      </c>
      <c r="L149" s="10">
        <v>350</v>
      </c>
      <c r="M149" s="10">
        <f xml:space="preserve"> (L149 - K149)/(K149-J149)</f>
        <v>-2.2479720454261827</v>
      </c>
      <c r="N149" s="10">
        <f>K149/L149</f>
        <v>0.48534285714285713</v>
      </c>
      <c r="O149" s="4">
        <v>2.9499999999999998E-2</v>
      </c>
      <c r="P149" s="4">
        <v>2.9499999999999998E-2</v>
      </c>
      <c r="Q149" s="14"/>
      <c r="R149" t="s">
        <v>326</v>
      </c>
      <c r="S149" t="s">
        <v>326</v>
      </c>
      <c r="T149" t="s">
        <v>327</v>
      </c>
    </row>
    <row r="150" spans="2:20">
      <c r="B150" s="14">
        <v>4</v>
      </c>
      <c r="C150" s="14"/>
      <c r="D150" t="s">
        <v>694</v>
      </c>
      <c r="E150" t="s">
        <v>287</v>
      </c>
      <c r="F150" t="s">
        <v>264</v>
      </c>
      <c r="G150" t="s">
        <v>264</v>
      </c>
      <c r="H150" t="s">
        <v>325</v>
      </c>
      <c r="J150" s="10"/>
      <c r="K150">
        <v>90</v>
      </c>
      <c r="L150" s="10"/>
      <c r="M150" s="10"/>
      <c r="N150" s="10" t="e">
        <f>K150/L150</f>
        <v>#DIV/0!</v>
      </c>
      <c r="O150" s="4">
        <v>3.5000000000000001E-3</v>
      </c>
      <c r="P150" s="4">
        <v>3.5000000000000001E-3</v>
      </c>
      <c r="Q150" s="15"/>
      <c r="R150" t="s">
        <v>327</v>
      </c>
      <c r="S150" t="s">
        <v>326</v>
      </c>
      <c r="T150" t="s">
        <v>328</v>
      </c>
    </row>
    <row r="151" spans="2:20">
      <c r="B151" s="14">
        <v>4</v>
      </c>
      <c r="C151" s="14"/>
      <c r="D151" s="8" t="s">
        <v>82</v>
      </c>
      <c r="E151" t="s">
        <v>416</v>
      </c>
      <c r="F151" t="s">
        <v>264</v>
      </c>
      <c r="G151" t="s">
        <v>264</v>
      </c>
      <c r="H151" t="s">
        <v>325</v>
      </c>
      <c r="J151" s="10"/>
      <c r="K151">
        <v>5.81</v>
      </c>
      <c r="L151" s="10"/>
      <c r="M151" s="10"/>
      <c r="N151" s="10"/>
      <c r="O151" s="4">
        <v>1.9800000000000002E-2</v>
      </c>
      <c r="P151" s="4">
        <v>1.9800000000000002E-2</v>
      </c>
      <c r="Q151" s="15"/>
      <c r="R151" t="s">
        <v>326</v>
      </c>
      <c r="S151" t="s">
        <v>327</v>
      </c>
      <c r="T151" t="s">
        <v>329</v>
      </c>
    </row>
    <row r="152" spans="2:20">
      <c r="B152" s="14">
        <v>4</v>
      </c>
      <c r="C152" s="14"/>
      <c r="D152" t="s">
        <v>698</v>
      </c>
      <c r="E152" t="s">
        <v>164</v>
      </c>
      <c r="F152" t="s">
        <v>257</v>
      </c>
      <c r="G152" t="s">
        <v>257</v>
      </c>
      <c r="H152" t="s">
        <v>326</v>
      </c>
      <c r="J152">
        <v>126.45</v>
      </c>
      <c r="K152">
        <v>110.29</v>
      </c>
      <c r="L152">
        <v>146.19</v>
      </c>
      <c r="M152">
        <v>1.97</v>
      </c>
      <c r="N152" s="10">
        <f t="shared" ref="N152:N161" si="12">K152/L152</f>
        <v>0.7544291675217184</v>
      </c>
      <c r="O152" s="4">
        <v>3.6700000000000003E-2</v>
      </c>
      <c r="P152" s="4">
        <v>3.6700000000000003E-2</v>
      </c>
      <c r="Q152" s="14"/>
      <c r="R152" t="s">
        <v>326</v>
      </c>
      <c r="S152" t="s">
        <v>326</v>
      </c>
      <c r="T152" t="s">
        <v>327</v>
      </c>
    </row>
    <row r="153" spans="2:20">
      <c r="B153" s="14">
        <v>4</v>
      </c>
      <c r="C153" s="14"/>
      <c r="D153" t="s">
        <v>465</v>
      </c>
      <c r="E153" t="s">
        <v>88</v>
      </c>
      <c r="F153" t="s">
        <v>257</v>
      </c>
      <c r="G153" t="s">
        <v>257</v>
      </c>
      <c r="H153" t="s">
        <v>325</v>
      </c>
      <c r="J153" s="10">
        <v>3</v>
      </c>
      <c r="K153">
        <v>5.82</v>
      </c>
      <c r="L153" s="10">
        <v>4</v>
      </c>
      <c r="M153" s="10">
        <f t="shared" ref="M153:M159" si="13" xml:space="preserve"> (L153 - K153)/(K153-J153)</f>
        <v>-0.64539007092198586</v>
      </c>
      <c r="N153" s="10">
        <f t="shared" si="12"/>
        <v>1.4550000000000001</v>
      </c>
      <c r="O153" s="4">
        <v>4.07E-2</v>
      </c>
      <c r="P153" s="4">
        <v>4.07E-2</v>
      </c>
      <c r="Q153" s="14"/>
      <c r="R153" t="s">
        <v>326</v>
      </c>
      <c r="S153" t="s">
        <v>326</v>
      </c>
      <c r="T153" t="s">
        <v>436</v>
      </c>
    </row>
    <row r="154" spans="2:20">
      <c r="B154" s="14">
        <v>4</v>
      </c>
      <c r="C154" s="14"/>
      <c r="D154" t="s">
        <v>61</v>
      </c>
      <c r="E154" t="s">
        <v>286</v>
      </c>
      <c r="F154" t="s">
        <v>258</v>
      </c>
      <c r="G154" t="s">
        <v>258</v>
      </c>
      <c r="H154" t="s">
        <v>325</v>
      </c>
      <c r="J154" s="10">
        <v>200</v>
      </c>
      <c r="K154">
        <v>248.16</v>
      </c>
      <c r="L154" s="10">
        <v>240</v>
      </c>
      <c r="M154" s="10">
        <f t="shared" si="13"/>
        <v>-0.1694352159468438</v>
      </c>
      <c r="N154" s="10">
        <f t="shared" si="12"/>
        <v>1.034</v>
      </c>
      <c r="O154" s="4">
        <v>-2.2700000000000001E-2</v>
      </c>
      <c r="P154" s="4">
        <v>-2.2700000000000001E-2</v>
      </c>
      <c r="Q154" s="14"/>
      <c r="R154" t="s">
        <v>327</v>
      </c>
      <c r="S154" t="s">
        <v>326</v>
      </c>
      <c r="T154" t="s">
        <v>327</v>
      </c>
    </row>
    <row r="155" spans="2:20">
      <c r="B155" s="14">
        <v>4</v>
      </c>
      <c r="C155" s="14"/>
      <c r="D155" t="s">
        <v>105</v>
      </c>
      <c r="E155" t="s">
        <v>164</v>
      </c>
      <c r="F155" t="s">
        <v>263</v>
      </c>
      <c r="G155" t="s">
        <v>263</v>
      </c>
      <c r="H155" t="s">
        <v>326</v>
      </c>
      <c r="J155" s="10">
        <v>300</v>
      </c>
      <c r="K155">
        <v>283.86</v>
      </c>
      <c r="L155" s="10">
        <v>400</v>
      </c>
      <c r="M155" s="10">
        <f t="shared" si="13"/>
        <v>-7.1957868649318515</v>
      </c>
      <c r="N155" s="10">
        <f t="shared" si="12"/>
        <v>0.70965</v>
      </c>
      <c r="O155" s="4">
        <v>3.8600000000000002E-2</v>
      </c>
      <c r="P155" s="4">
        <v>3.8600000000000002E-2</v>
      </c>
      <c r="Q155" s="15" t="s">
        <v>95</v>
      </c>
      <c r="R155" t="s">
        <v>326</v>
      </c>
      <c r="S155" t="s">
        <v>326</v>
      </c>
      <c r="T155" t="s">
        <v>327</v>
      </c>
    </row>
    <row r="156" spans="2:20">
      <c r="B156" s="14">
        <v>4</v>
      </c>
      <c r="C156" s="14"/>
      <c r="D156" t="s">
        <v>458</v>
      </c>
      <c r="E156" t="s">
        <v>88</v>
      </c>
      <c r="F156" t="s">
        <v>261</v>
      </c>
      <c r="G156" t="s">
        <v>261</v>
      </c>
      <c r="H156" t="s">
        <v>325</v>
      </c>
      <c r="J156" s="10">
        <v>150</v>
      </c>
      <c r="K156">
        <v>192.85</v>
      </c>
      <c r="L156" s="10">
        <v>250</v>
      </c>
      <c r="M156" s="10">
        <f t="shared" si="13"/>
        <v>1.3337222870478416</v>
      </c>
      <c r="N156" s="10">
        <f t="shared" si="12"/>
        <v>0.77139999999999997</v>
      </c>
      <c r="O156" s="4">
        <v>2.3599999999999999E-2</v>
      </c>
      <c r="P156" s="4">
        <v>2.3599999999999999E-2</v>
      </c>
      <c r="Q156" s="14"/>
      <c r="R156" t="s">
        <v>326</v>
      </c>
      <c r="S156" t="s">
        <v>326</v>
      </c>
      <c r="T156" t="s">
        <v>327</v>
      </c>
    </row>
    <row r="157" spans="2:20">
      <c r="B157" s="14">
        <v>4</v>
      </c>
      <c r="C157" s="15"/>
      <c r="D157" s="8" t="s">
        <v>85</v>
      </c>
      <c r="E157" t="s">
        <v>104</v>
      </c>
      <c r="F157" t="s">
        <v>257</v>
      </c>
      <c r="G157" t="s">
        <v>257</v>
      </c>
      <c r="H157" t="s">
        <v>326</v>
      </c>
      <c r="J157" s="10">
        <v>215</v>
      </c>
      <c r="K157">
        <v>244.55</v>
      </c>
      <c r="L157" s="10">
        <v>270</v>
      </c>
      <c r="M157" s="10">
        <f t="shared" si="13"/>
        <v>0.86125211505922095</v>
      </c>
      <c r="N157" s="10">
        <f t="shared" si="12"/>
        <v>0.90574074074074074</v>
      </c>
      <c r="O157" s="4">
        <v>1.0999999999999999E-2</v>
      </c>
      <c r="P157" s="4">
        <v>1.0999999999999999E-2</v>
      </c>
      <c r="Q157" s="15"/>
      <c r="R157" t="s">
        <v>326</v>
      </c>
      <c r="S157" t="s">
        <v>326</v>
      </c>
      <c r="T157" t="s">
        <v>328</v>
      </c>
    </row>
    <row r="158" spans="2:20">
      <c r="B158" s="14">
        <v>4</v>
      </c>
      <c r="C158" s="14"/>
      <c r="D158" t="s">
        <v>554</v>
      </c>
      <c r="E158" t="s">
        <v>281</v>
      </c>
      <c r="F158" t="s">
        <v>262</v>
      </c>
      <c r="G158" t="s">
        <v>262</v>
      </c>
      <c r="H158" t="s">
        <v>326</v>
      </c>
      <c r="J158" s="10">
        <v>23</v>
      </c>
      <c r="K158">
        <v>17.809999999999999</v>
      </c>
      <c r="L158" s="10">
        <v>33</v>
      </c>
      <c r="M158" s="10">
        <f t="shared" si="13"/>
        <v>-2.9267822736030822</v>
      </c>
      <c r="N158" s="10">
        <f t="shared" si="12"/>
        <v>0.53969696969696968</v>
      </c>
      <c r="O158" s="4">
        <v>-2.7000000000000001E-3</v>
      </c>
      <c r="P158" s="4">
        <v>-2.7000000000000001E-3</v>
      </c>
      <c r="Q158" s="15"/>
      <c r="R158" t="s">
        <v>325</v>
      </c>
      <c r="S158" t="s">
        <v>325</v>
      </c>
      <c r="T158" t="s">
        <v>329</v>
      </c>
    </row>
    <row r="159" spans="2:20">
      <c r="B159" s="14">
        <v>4</v>
      </c>
      <c r="C159" s="14"/>
      <c r="D159" t="s">
        <v>142</v>
      </c>
      <c r="E159" t="s">
        <v>284</v>
      </c>
      <c r="F159" t="s">
        <v>257</v>
      </c>
      <c r="G159" t="s">
        <v>257</v>
      </c>
      <c r="H159" t="s">
        <v>326</v>
      </c>
      <c r="J159" s="10">
        <v>500</v>
      </c>
      <c r="K159">
        <v>530.04</v>
      </c>
      <c r="L159" s="10">
        <v>600</v>
      </c>
      <c r="M159" s="10">
        <f t="shared" si="13"/>
        <v>2.3288948069241053</v>
      </c>
      <c r="N159" s="10">
        <f t="shared" si="12"/>
        <v>0.88339999999999996</v>
      </c>
      <c r="O159" s="4">
        <v>2.4299999999999999E-2</v>
      </c>
      <c r="P159" s="4">
        <v>2.4299999999999999E-2</v>
      </c>
      <c r="Q159" s="15"/>
      <c r="R159" t="s">
        <v>325</v>
      </c>
      <c r="S159" t="s">
        <v>326</v>
      </c>
      <c r="T159" t="s">
        <v>329</v>
      </c>
    </row>
    <row r="160" spans="2:20">
      <c r="B160" s="14">
        <v>4</v>
      </c>
      <c r="C160" s="14"/>
      <c r="D160" t="s">
        <v>687</v>
      </c>
      <c r="E160" t="s">
        <v>617</v>
      </c>
      <c r="F160" t="s">
        <v>264</v>
      </c>
      <c r="G160" t="s">
        <v>264</v>
      </c>
      <c r="H160" t="s">
        <v>325</v>
      </c>
      <c r="J160" s="10"/>
      <c r="K160">
        <v>302.95</v>
      </c>
      <c r="L160" s="10"/>
      <c r="M160" s="10"/>
      <c r="N160" s="10" t="e">
        <f t="shared" si="12"/>
        <v>#DIV/0!</v>
      </c>
      <c r="O160" s="4">
        <v>2.4199999999999999E-2</v>
      </c>
      <c r="P160" s="4">
        <v>2.4199999999999999E-2</v>
      </c>
      <c r="Q160" s="14"/>
      <c r="R160" t="s">
        <v>326</v>
      </c>
      <c r="S160" t="s">
        <v>326</v>
      </c>
      <c r="T160" t="s">
        <v>329</v>
      </c>
    </row>
    <row r="161" spans="2:20">
      <c r="B161" s="14">
        <v>4</v>
      </c>
      <c r="C161" s="14"/>
      <c r="D161" t="s">
        <v>163</v>
      </c>
      <c r="E161" t="s">
        <v>164</v>
      </c>
      <c r="F161" t="s">
        <v>262</v>
      </c>
      <c r="G161" t="s">
        <v>262</v>
      </c>
      <c r="H161" t="s">
        <v>326</v>
      </c>
      <c r="J161" s="10">
        <v>110</v>
      </c>
      <c r="K161">
        <v>149.51</v>
      </c>
      <c r="L161" s="10">
        <v>130</v>
      </c>
      <c r="M161" s="10">
        <f xml:space="preserve"> (L161 - K161)/(K161-J161)</f>
        <v>-0.4937990382181725</v>
      </c>
      <c r="N161" s="10">
        <f t="shared" si="12"/>
        <v>1.150076923076923</v>
      </c>
      <c r="O161" s="4">
        <v>2.3400000000000001E-2</v>
      </c>
      <c r="P161" s="4">
        <v>2.3400000000000001E-2</v>
      </c>
      <c r="Q161" s="14"/>
      <c r="R161" t="s">
        <v>326</v>
      </c>
      <c r="S161" t="s">
        <v>326</v>
      </c>
      <c r="T161" t="s">
        <v>327</v>
      </c>
    </row>
    <row r="162" spans="2:20">
      <c r="B162" s="14">
        <v>4</v>
      </c>
      <c r="C162" s="14"/>
      <c r="D162" t="s">
        <v>480</v>
      </c>
      <c r="E162" t="s">
        <v>164</v>
      </c>
      <c r="F162" t="s">
        <v>261</v>
      </c>
      <c r="G162" t="s">
        <v>261</v>
      </c>
      <c r="H162" t="s">
        <v>326</v>
      </c>
      <c r="J162" s="10"/>
      <c r="K162">
        <v>47.28</v>
      </c>
      <c r="L162" s="10"/>
      <c r="M162" s="10"/>
      <c r="N162" s="10"/>
      <c r="O162" s="4">
        <v>2.47E-2</v>
      </c>
      <c r="P162" s="4">
        <v>2.47E-2</v>
      </c>
      <c r="Q162" s="14"/>
      <c r="R162" t="s">
        <v>326</v>
      </c>
      <c r="S162" t="s">
        <v>326</v>
      </c>
      <c r="T162" t="s">
        <v>327</v>
      </c>
    </row>
    <row r="163" spans="2:20">
      <c r="B163" s="14">
        <v>3</v>
      </c>
      <c r="C163" s="14"/>
      <c r="D163" s="8" t="s">
        <v>702</v>
      </c>
      <c r="E163" t="s">
        <v>292</v>
      </c>
      <c r="F163" t="s">
        <v>262</v>
      </c>
      <c r="G163" t="s">
        <v>262</v>
      </c>
      <c r="H163" t="s">
        <v>325</v>
      </c>
      <c r="J163" s="10">
        <v>50</v>
      </c>
      <c r="K163">
        <v>39.19</v>
      </c>
      <c r="L163" s="10">
        <v>60</v>
      </c>
      <c r="M163" s="10">
        <f xml:space="preserve"> (L163 - K163)/(K163-J163)</f>
        <v>-1.925069380203515</v>
      </c>
      <c r="N163" s="10">
        <f>K163/L163</f>
        <v>0.65316666666666667</v>
      </c>
      <c r="O163" s="4">
        <v>2.3800000000000002E-2</v>
      </c>
      <c r="P163" s="4">
        <v>2.3800000000000002E-2</v>
      </c>
      <c r="Q163" s="15"/>
      <c r="R163" t="s">
        <v>327</v>
      </c>
      <c r="S163" t="s">
        <v>327</v>
      </c>
      <c r="T163" t="s">
        <v>327</v>
      </c>
    </row>
    <row r="164" spans="2:20">
      <c r="B164" s="14">
        <v>3</v>
      </c>
      <c r="C164" s="14"/>
      <c r="D164" s="8" t="s">
        <v>705</v>
      </c>
      <c r="E164" t="s">
        <v>110</v>
      </c>
      <c r="F164" t="s">
        <v>260</v>
      </c>
      <c r="G164" t="s">
        <v>260</v>
      </c>
      <c r="H164" t="s">
        <v>325</v>
      </c>
      <c r="J164" s="10"/>
      <c r="K164">
        <v>505.98</v>
      </c>
      <c r="L164" s="10"/>
      <c r="M164" s="10"/>
      <c r="N164" s="10"/>
      <c r="O164" s="4">
        <v>7.2499999999999995E-2</v>
      </c>
      <c r="P164" s="4">
        <v>7.2499999999999995E-2</v>
      </c>
      <c r="Q164" s="15"/>
      <c r="R164" t="s">
        <v>327</v>
      </c>
      <c r="S164" t="s">
        <v>325</v>
      </c>
      <c r="T164" t="s">
        <v>327</v>
      </c>
    </row>
    <row r="165" spans="2:20">
      <c r="B165" s="14">
        <v>3</v>
      </c>
      <c r="C165" s="14"/>
      <c r="D165" t="s">
        <v>623</v>
      </c>
      <c r="E165" t="s">
        <v>288</v>
      </c>
      <c r="F165" t="s">
        <v>260</v>
      </c>
      <c r="G165" t="s">
        <v>260</v>
      </c>
      <c r="H165" t="s">
        <v>325</v>
      </c>
      <c r="J165" s="10">
        <v>120</v>
      </c>
      <c r="K165">
        <v>75.73</v>
      </c>
      <c r="L165" s="10">
        <v>160</v>
      </c>
      <c r="M165" s="10">
        <f t="shared" ref="M165:M184" si="14" xml:space="preserve"> (L165 - K165)/(K165-J165)</f>
        <v>-1.903546419697312</v>
      </c>
      <c r="N165" s="10">
        <f t="shared" ref="N165:N171" si="15">K165/L165</f>
        <v>0.47331250000000002</v>
      </c>
      <c r="O165" s="4">
        <v>-1.6E-2</v>
      </c>
      <c r="P165" s="4">
        <v>-1.6E-2</v>
      </c>
      <c r="Q165" s="15"/>
      <c r="R165" t="s">
        <v>325</v>
      </c>
      <c r="S165" t="s">
        <v>326</v>
      </c>
      <c r="T165" t="s">
        <v>327</v>
      </c>
    </row>
    <row r="166" spans="2:20">
      <c r="B166" s="14">
        <v>3</v>
      </c>
      <c r="C166" s="14"/>
      <c r="D166" t="s">
        <v>631</v>
      </c>
      <c r="E166" t="s">
        <v>268</v>
      </c>
      <c r="F166" t="s">
        <v>260</v>
      </c>
      <c r="G166" t="s">
        <v>260</v>
      </c>
      <c r="H166" t="s">
        <v>325</v>
      </c>
      <c r="J166" s="10">
        <v>43</v>
      </c>
      <c r="K166">
        <v>44.93</v>
      </c>
      <c r="L166" s="10">
        <v>50</v>
      </c>
      <c r="M166" s="10">
        <f t="shared" si="14"/>
        <v>2.6269430051813476</v>
      </c>
      <c r="N166" s="10">
        <f t="shared" si="15"/>
        <v>0.89859999999999995</v>
      </c>
      <c r="O166" s="4">
        <v>-4.1999999999999997E-3</v>
      </c>
      <c r="P166" s="4">
        <v>-4.1999999999999997E-3</v>
      </c>
      <c r="Q166" s="14"/>
      <c r="R166" t="s">
        <v>325</v>
      </c>
      <c r="S166" t="s">
        <v>326</v>
      </c>
      <c r="T166" t="s">
        <v>327</v>
      </c>
    </row>
    <row r="167" spans="2:20">
      <c r="B167" s="14">
        <v>3</v>
      </c>
      <c r="C167" s="14"/>
      <c r="D167" t="s">
        <v>427</v>
      </c>
      <c r="E167" t="s">
        <v>293</v>
      </c>
      <c r="F167" t="s">
        <v>261</v>
      </c>
      <c r="G167" t="s">
        <v>261</v>
      </c>
      <c r="H167" t="s">
        <v>325</v>
      </c>
      <c r="J167" s="10">
        <v>220</v>
      </c>
      <c r="K167">
        <v>293.24</v>
      </c>
      <c r="L167" s="10">
        <v>280</v>
      </c>
      <c r="M167" s="10">
        <f t="shared" si="14"/>
        <v>-0.18077553249590397</v>
      </c>
      <c r="N167" s="10">
        <f t="shared" si="15"/>
        <v>1.0472857142857144</v>
      </c>
      <c r="O167" s="4">
        <v>1.4200000000000001E-2</v>
      </c>
      <c r="P167" s="4">
        <v>1.4200000000000001E-2</v>
      </c>
      <c r="Q167" s="14"/>
      <c r="R167" t="s">
        <v>326</v>
      </c>
      <c r="S167" t="s">
        <v>326</v>
      </c>
      <c r="T167" t="s">
        <v>327</v>
      </c>
    </row>
    <row r="168" spans="2:20">
      <c r="B168" s="14">
        <v>3</v>
      </c>
      <c r="C168" s="14"/>
      <c r="D168" t="s">
        <v>638</v>
      </c>
      <c r="E168" t="s">
        <v>300</v>
      </c>
      <c r="F168" t="s">
        <v>258</v>
      </c>
      <c r="G168" t="s">
        <v>259</v>
      </c>
      <c r="H168" t="s">
        <v>325</v>
      </c>
      <c r="J168" s="10">
        <v>125</v>
      </c>
      <c r="K168">
        <v>145.16999999999999</v>
      </c>
      <c r="L168" s="10">
        <v>130</v>
      </c>
      <c r="M168" s="10">
        <f t="shared" si="14"/>
        <v>-0.75210708973723339</v>
      </c>
      <c r="N168" s="10">
        <f t="shared" si="15"/>
        <v>1.1166923076923077</v>
      </c>
      <c r="O168" s="4">
        <v>5.0000000000000001E-3</v>
      </c>
      <c r="P168" s="4">
        <v>5.0000000000000001E-3</v>
      </c>
      <c r="Q168" s="15"/>
      <c r="R168" t="s">
        <v>325</v>
      </c>
      <c r="S168" t="s">
        <v>325</v>
      </c>
      <c r="T168" t="s">
        <v>327</v>
      </c>
    </row>
    <row r="169" spans="2:20">
      <c r="B169" s="14">
        <v>3</v>
      </c>
      <c r="C169" s="13">
        <v>14</v>
      </c>
      <c r="D169" t="s">
        <v>453</v>
      </c>
      <c r="E169" t="s">
        <v>270</v>
      </c>
      <c r="F169" t="s">
        <v>262</v>
      </c>
      <c r="G169" t="s">
        <v>262</v>
      </c>
      <c r="H169" t="s">
        <v>326</v>
      </c>
      <c r="J169" s="10">
        <v>180</v>
      </c>
      <c r="K169">
        <v>147.37</v>
      </c>
      <c r="L169" s="10">
        <v>200</v>
      </c>
      <c r="M169" s="10">
        <f t="shared" si="14"/>
        <v>-1.6129328838492185</v>
      </c>
      <c r="N169" s="10">
        <f t="shared" si="15"/>
        <v>0.73685</v>
      </c>
      <c r="O169" s="4">
        <v>1.9199999999999998E-2</v>
      </c>
      <c r="P169" s="4">
        <v>1.9199999999999998E-2</v>
      </c>
      <c r="Q169" s="14"/>
      <c r="R169" t="s">
        <v>326</v>
      </c>
      <c r="S169" t="s">
        <v>326</v>
      </c>
      <c r="T169" t="s">
        <v>327</v>
      </c>
    </row>
    <row r="170" spans="2:20">
      <c r="B170" s="14">
        <v>3</v>
      </c>
      <c r="C170" s="14"/>
      <c r="D170" t="s">
        <v>579</v>
      </c>
      <c r="E170" t="s">
        <v>215</v>
      </c>
      <c r="F170" t="s">
        <v>262</v>
      </c>
      <c r="G170" t="s">
        <v>262</v>
      </c>
      <c r="H170" t="s">
        <v>326</v>
      </c>
      <c r="J170" s="10">
        <v>70</v>
      </c>
      <c r="K170">
        <v>78.849999999999994</v>
      </c>
      <c r="L170" s="10">
        <v>90</v>
      </c>
      <c r="M170" s="10">
        <f t="shared" si="14"/>
        <v>1.2598870056497189</v>
      </c>
      <c r="N170" s="10">
        <f t="shared" si="15"/>
        <v>0.87611111111111106</v>
      </c>
      <c r="O170" s="4">
        <v>-2.1299999999999999E-2</v>
      </c>
      <c r="P170" s="4">
        <v>-2.1299999999999999E-2</v>
      </c>
      <c r="Q170" s="14"/>
      <c r="R170" t="s">
        <v>326</v>
      </c>
      <c r="S170" t="s">
        <v>326</v>
      </c>
      <c r="T170" t="s">
        <v>327</v>
      </c>
    </row>
    <row r="171" spans="2:20">
      <c r="B171" s="14">
        <v>3</v>
      </c>
      <c r="C171" s="14"/>
      <c r="D171" t="s">
        <v>494</v>
      </c>
      <c r="E171" t="s">
        <v>164</v>
      </c>
      <c r="F171" t="s">
        <v>264</v>
      </c>
      <c r="G171" t="s">
        <v>264</v>
      </c>
      <c r="H171" t="s">
        <v>326</v>
      </c>
      <c r="J171" s="11">
        <v>167</v>
      </c>
      <c r="K171">
        <v>162.97</v>
      </c>
      <c r="L171" s="10">
        <v>200</v>
      </c>
      <c r="M171" s="10">
        <f t="shared" si="14"/>
        <v>-9.1885856079404444</v>
      </c>
      <c r="N171" s="10">
        <f t="shared" si="15"/>
        <v>0.81484999999999996</v>
      </c>
      <c r="O171" s="4">
        <v>2.5399999999999999E-2</v>
      </c>
      <c r="P171" s="4">
        <v>2.5399999999999999E-2</v>
      </c>
      <c r="Q171" s="15"/>
      <c r="R171" t="s">
        <v>326</v>
      </c>
      <c r="S171" t="s">
        <v>326</v>
      </c>
      <c r="T171" t="s">
        <v>327</v>
      </c>
    </row>
    <row r="172" spans="2:20">
      <c r="B172" s="14">
        <v>3</v>
      </c>
      <c r="C172" s="14"/>
      <c r="D172" t="s">
        <v>245</v>
      </c>
      <c r="E172" t="s">
        <v>164</v>
      </c>
      <c r="F172" t="s">
        <v>263</v>
      </c>
      <c r="G172" t="s">
        <v>263</v>
      </c>
      <c r="H172" t="s">
        <v>326</v>
      </c>
      <c r="J172" s="10">
        <v>500</v>
      </c>
      <c r="K172">
        <v>420.56</v>
      </c>
      <c r="L172" s="10">
        <v>600</v>
      </c>
      <c r="M172" s="10">
        <f t="shared" si="14"/>
        <v>-2.2588116817724071</v>
      </c>
      <c r="N172" s="10"/>
      <c r="O172" s="4">
        <v>3.2500000000000001E-2</v>
      </c>
      <c r="P172" s="4">
        <v>3.2500000000000001E-2</v>
      </c>
      <c r="Q172" s="14"/>
      <c r="R172" t="s">
        <v>326</v>
      </c>
      <c r="S172" t="s">
        <v>326</v>
      </c>
      <c r="T172" t="s">
        <v>327</v>
      </c>
    </row>
    <row r="173" spans="2:20">
      <c r="B173" s="14">
        <v>3</v>
      </c>
      <c r="C173" s="14"/>
      <c r="D173" t="s">
        <v>477</v>
      </c>
      <c r="E173" t="s">
        <v>104</v>
      </c>
      <c r="F173" t="s">
        <v>257</v>
      </c>
      <c r="G173" t="s">
        <v>257</v>
      </c>
      <c r="H173" t="s">
        <v>326</v>
      </c>
      <c r="J173" s="10">
        <v>370</v>
      </c>
      <c r="K173">
        <v>261.05</v>
      </c>
      <c r="L173" s="10">
        <v>420</v>
      </c>
      <c r="M173" s="10">
        <f t="shared" si="14"/>
        <v>-1.4589261128958237</v>
      </c>
      <c r="N173" s="10">
        <f>I173/L173</f>
        <v>0</v>
      </c>
      <c r="O173" s="4">
        <v>3.27E-2</v>
      </c>
      <c r="P173" s="4">
        <v>3.27E-2</v>
      </c>
      <c r="Q173" s="14"/>
      <c r="R173" t="s">
        <v>327</v>
      </c>
      <c r="S173" t="s">
        <v>326</v>
      </c>
      <c r="T173" t="s">
        <v>327</v>
      </c>
    </row>
    <row r="174" spans="2:20">
      <c r="B174" s="14">
        <v>3</v>
      </c>
      <c r="C174" s="14"/>
      <c r="D174" t="s">
        <v>499</v>
      </c>
      <c r="E174" t="s">
        <v>473</v>
      </c>
      <c r="F174" t="s">
        <v>261</v>
      </c>
      <c r="G174" t="s">
        <v>261</v>
      </c>
      <c r="H174" t="s">
        <v>325</v>
      </c>
      <c r="J174" s="10">
        <v>160</v>
      </c>
      <c r="K174">
        <v>294.99</v>
      </c>
      <c r="L174" s="10">
        <v>180</v>
      </c>
      <c r="M174" s="10">
        <f t="shared" si="14"/>
        <v>-0.85184087710200762</v>
      </c>
      <c r="N174" s="10">
        <f>I174/L174</f>
        <v>0</v>
      </c>
      <c r="O174" s="4">
        <v>-1.5699999999999999E-2</v>
      </c>
      <c r="P174" s="4">
        <v>-1.5699999999999999E-2</v>
      </c>
      <c r="Q174" s="15"/>
      <c r="R174" t="s">
        <v>326</v>
      </c>
      <c r="S174" t="s">
        <v>327</v>
      </c>
      <c r="T174" t="s">
        <v>327</v>
      </c>
    </row>
    <row r="175" spans="2:20">
      <c r="B175" s="14">
        <v>3</v>
      </c>
      <c r="C175" s="14"/>
      <c r="D175" t="s">
        <v>116</v>
      </c>
      <c r="E175" t="s">
        <v>277</v>
      </c>
      <c r="F175" t="s">
        <v>258</v>
      </c>
      <c r="G175" t="s">
        <v>258</v>
      </c>
      <c r="H175" t="s">
        <v>326</v>
      </c>
      <c r="J175" s="10">
        <v>63</v>
      </c>
      <c r="K175">
        <v>62.59</v>
      </c>
      <c r="L175" s="10">
        <v>70</v>
      </c>
      <c r="M175" s="10">
        <f t="shared" si="14"/>
        <v>-18.07317073170746</v>
      </c>
      <c r="N175" s="10">
        <f t="shared" ref="N175:N192" si="16">K175/L175</f>
        <v>0.89414285714285724</v>
      </c>
      <c r="O175" s="4">
        <v>6.8999999999999999E-3</v>
      </c>
      <c r="P175" s="4">
        <v>6.8999999999999999E-3</v>
      </c>
      <c r="Q175" s="15" t="s">
        <v>69</v>
      </c>
      <c r="R175" t="s">
        <v>325</v>
      </c>
      <c r="S175" t="s">
        <v>325</v>
      </c>
      <c r="T175" t="s">
        <v>329</v>
      </c>
    </row>
    <row r="176" spans="2:20">
      <c r="B176" s="14">
        <v>3</v>
      </c>
      <c r="C176" s="14"/>
      <c r="D176" t="s">
        <v>612</v>
      </c>
      <c r="E176" t="s">
        <v>418</v>
      </c>
      <c r="F176" t="s">
        <v>257</v>
      </c>
      <c r="G176" t="s">
        <v>257</v>
      </c>
      <c r="H176" t="s">
        <v>326</v>
      </c>
      <c r="I176" s="8"/>
      <c r="J176" s="11">
        <v>105</v>
      </c>
      <c r="K176">
        <v>96.2</v>
      </c>
      <c r="L176" s="10">
        <v>170</v>
      </c>
      <c r="M176" s="10">
        <f t="shared" si="14"/>
        <v>-8.3863636363636385</v>
      </c>
      <c r="N176" s="10">
        <f t="shared" si="16"/>
        <v>0.5658823529411765</v>
      </c>
      <c r="O176" s="4">
        <v>5.9999999999999995E-4</v>
      </c>
      <c r="P176" s="4">
        <v>5.9999999999999995E-4</v>
      </c>
      <c r="Q176" s="14"/>
      <c r="R176" t="s">
        <v>326</v>
      </c>
      <c r="S176" t="s">
        <v>326</v>
      </c>
      <c r="T176" t="s">
        <v>329</v>
      </c>
    </row>
    <row r="177" spans="2:20">
      <c r="B177" s="14">
        <v>3</v>
      </c>
      <c r="C177" s="14"/>
      <c r="D177" t="s">
        <v>58</v>
      </c>
      <c r="E177" t="s">
        <v>276</v>
      </c>
      <c r="F177" t="s">
        <v>261</v>
      </c>
      <c r="G177" t="s">
        <v>261</v>
      </c>
      <c r="H177" t="s">
        <v>325</v>
      </c>
      <c r="J177" s="10">
        <v>240</v>
      </c>
      <c r="K177">
        <v>407.99</v>
      </c>
      <c r="L177" s="10">
        <v>300</v>
      </c>
      <c r="M177" s="10">
        <f t="shared" si="14"/>
        <v>-0.6428358830882791</v>
      </c>
      <c r="N177" s="10">
        <f t="shared" si="16"/>
        <v>1.3599666666666668</v>
      </c>
      <c r="O177" s="4">
        <v>2.9600000000000001E-2</v>
      </c>
      <c r="P177" s="4">
        <v>2.9600000000000001E-2</v>
      </c>
      <c r="Q177" s="14" t="s">
        <v>96</v>
      </c>
      <c r="R177" t="s">
        <v>325</v>
      </c>
      <c r="S177" t="s">
        <v>325</v>
      </c>
      <c r="T177" t="s">
        <v>327</v>
      </c>
    </row>
    <row r="178" spans="2:20">
      <c r="B178" s="14">
        <v>3</v>
      </c>
      <c r="C178" s="14"/>
      <c r="D178" t="s">
        <v>432</v>
      </c>
      <c r="E178" t="s">
        <v>332</v>
      </c>
      <c r="F178" t="s">
        <v>260</v>
      </c>
      <c r="G178" t="s">
        <v>260</v>
      </c>
      <c r="H178" t="s">
        <v>325</v>
      </c>
      <c r="I178" s="8">
        <v>55</v>
      </c>
      <c r="J178" s="11">
        <v>55</v>
      </c>
      <c r="K178">
        <v>47.64</v>
      </c>
      <c r="L178" s="10">
        <v>65</v>
      </c>
      <c r="M178" s="10">
        <f t="shared" si="14"/>
        <v>-2.3586956521739131</v>
      </c>
      <c r="N178" s="10">
        <f t="shared" si="16"/>
        <v>0.7329230769230769</v>
      </c>
      <c r="O178" s="4">
        <v>1.38E-2</v>
      </c>
      <c r="P178" s="4">
        <v>1.38E-2</v>
      </c>
      <c r="Q178" s="33"/>
      <c r="R178" t="s">
        <v>325</v>
      </c>
      <c r="S178" t="s">
        <v>325</v>
      </c>
      <c r="T178" t="s">
        <v>329</v>
      </c>
    </row>
    <row r="179" spans="2:20">
      <c r="B179" s="14">
        <v>3</v>
      </c>
      <c r="C179" s="14"/>
      <c r="D179" t="s">
        <v>131</v>
      </c>
      <c r="E179" t="s">
        <v>294</v>
      </c>
      <c r="F179" t="s">
        <v>260</v>
      </c>
      <c r="G179" t="s">
        <v>258</v>
      </c>
      <c r="H179" t="s">
        <v>325</v>
      </c>
      <c r="I179">
        <v>28</v>
      </c>
      <c r="J179" s="10">
        <v>27</v>
      </c>
      <c r="K179">
        <v>49.02</v>
      </c>
      <c r="L179" s="10">
        <v>30</v>
      </c>
      <c r="M179" s="10">
        <f t="shared" si="14"/>
        <v>-0.86376021798365121</v>
      </c>
      <c r="N179" s="10">
        <f t="shared" si="16"/>
        <v>1.6340000000000001</v>
      </c>
      <c r="O179" s="4">
        <v>8.9999999999999993E-3</v>
      </c>
      <c r="P179" s="4">
        <v>8.9999999999999993E-3</v>
      </c>
      <c r="Q179" s="15" t="s">
        <v>132</v>
      </c>
      <c r="R179" t="s">
        <v>325</v>
      </c>
      <c r="S179" t="s">
        <v>325</v>
      </c>
      <c r="T179" t="s">
        <v>329</v>
      </c>
    </row>
    <row r="180" spans="2:20">
      <c r="B180" s="14">
        <v>3</v>
      </c>
      <c r="C180" s="14"/>
      <c r="D180" t="s">
        <v>637</v>
      </c>
      <c r="E180" t="s">
        <v>283</v>
      </c>
      <c r="F180" t="s">
        <v>260</v>
      </c>
      <c r="G180" t="s">
        <v>258</v>
      </c>
      <c r="H180" t="s">
        <v>325</v>
      </c>
      <c r="J180" s="10">
        <v>200</v>
      </c>
      <c r="K180">
        <v>284.43</v>
      </c>
      <c r="L180" s="10">
        <v>240</v>
      </c>
      <c r="M180" s="10">
        <f t="shared" si="14"/>
        <v>-0.52623475068103753</v>
      </c>
      <c r="N180" s="10">
        <f t="shared" si="16"/>
        <v>1.185125</v>
      </c>
      <c r="O180" s="4">
        <v>4.5499999999999999E-2</v>
      </c>
      <c r="P180" s="4">
        <v>4.5499999999999999E-2</v>
      </c>
      <c r="Q180" s="15"/>
      <c r="R180" t="s">
        <v>326</v>
      </c>
      <c r="S180" t="s">
        <v>326</v>
      </c>
      <c r="T180" t="s">
        <v>327</v>
      </c>
    </row>
    <row r="181" spans="2:20">
      <c r="B181" s="14">
        <v>3</v>
      </c>
      <c r="C181" s="14"/>
      <c r="D181" t="s">
        <v>307</v>
      </c>
      <c r="E181" t="s">
        <v>276</v>
      </c>
      <c r="F181" t="s">
        <v>261</v>
      </c>
      <c r="G181" t="s">
        <v>261</v>
      </c>
      <c r="H181" t="s">
        <v>325</v>
      </c>
      <c r="J181" s="10">
        <v>85</v>
      </c>
      <c r="K181">
        <v>88.8</v>
      </c>
      <c r="L181" s="10">
        <v>95</v>
      </c>
      <c r="M181" s="10">
        <f t="shared" si="14"/>
        <v>1.631578947368423</v>
      </c>
      <c r="N181" s="10">
        <f t="shared" si="16"/>
        <v>0.93473684210526309</v>
      </c>
      <c r="O181" s="4">
        <v>-6.7000000000000002E-3</v>
      </c>
      <c r="P181" s="4">
        <v>-6.7000000000000002E-3</v>
      </c>
      <c r="Q181" s="15"/>
      <c r="R181" t="s">
        <v>325</v>
      </c>
      <c r="S181" t="s">
        <v>325</v>
      </c>
      <c r="T181" t="s">
        <v>329</v>
      </c>
    </row>
    <row r="182" spans="2:20">
      <c r="B182" s="14">
        <v>3</v>
      </c>
      <c r="C182" s="14"/>
      <c r="D182" t="s">
        <v>54</v>
      </c>
      <c r="E182" t="s">
        <v>268</v>
      </c>
      <c r="F182" t="s">
        <v>258</v>
      </c>
      <c r="G182" t="s">
        <v>258</v>
      </c>
      <c r="H182" t="s">
        <v>325</v>
      </c>
      <c r="J182" s="10">
        <v>80</v>
      </c>
      <c r="K182">
        <v>336.21</v>
      </c>
      <c r="L182" s="10">
        <v>100</v>
      </c>
      <c r="M182" s="10">
        <f t="shared" si="14"/>
        <v>-0.92193903438585534</v>
      </c>
      <c r="N182" s="10">
        <f t="shared" si="16"/>
        <v>3.3620999999999999</v>
      </c>
      <c r="O182" s="4">
        <v>2.4299999999999999E-2</v>
      </c>
      <c r="P182" s="4">
        <v>2.4299999999999999E-2</v>
      </c>
      <c r="Q182" s="15" t="s">
        <v>72</v>
      </c>
      <c r="R182" t="s">
        <v>325</v>
      </c>
      <c r="S182" t="s">
        <v>327</v>
      </c>
      <c r="T182" t="s">
        <v>329</v>
      </c>
    </row>
    <row r="183" spans="2:20">
      <c r="B183" s="14">
        <v>3</v>
      </c>
      <c r="C183" s="14"/>
      <c r="D183" t="s">
        <v>489</v>
      </c>
      <c r="E183" t="s">
        <v>301</v>
      </c>
      <c r="F183" t="s">
        <v>260</v>
      </c>
      <c r="G183" t="s">
        <v>260</v>
      </c>
      <c r="H183" t="s">
        <v>325</v>
      </c>
      <c r="J183" s="10">
        <v>55</v>
      </c>
      <c r="K183">
        <v>79.27</v>
      </c>
      <c r="L183" s="10">
        <v>60</v>
      </c>
      <c r="M183" s="10">
        <f t="shared" si="14"/>
        <v>-0.79398434281005348</v>
      </c>
      <c r="N183" s="10">
        <f t="shared" si="16"/>
        <v>1.3211666666666666</v>
      </c>
      <c r="O183" s="4">
        <v>4.4999999999999997E-3</v>
      </c>
      <c r="P183" s="4">
        <v>4.4999999999999997E-3</v>
      </c>
      <c r="Q183" s="14"/>
      <c r="R183" t="s">
        <v>325</v>
      </c>
      <c r="S183" t="s">
        <v>325</v>
      </c>
      <c r="T183" t="s">
        <v>327</v>
      </c>
    </row>
    <row r="184" spans="2:20">
      <c r="B184" s="14">
        <v>3</v>
      </c>
      <c r="C184" s="14"/>
      <c r="D184" t="s">
        <v>464</v>
      </c>
      <c r="E184" t="s">
        <v>291</v>
      </c>
      <c r="F184" t="s">
        <v>261</v>
      </c>
      <c r="G184" t="s">
        <v>261</v>
      </c>
      <c r="H184" t="s">
        <v>325</v>
      </c>
      <c r="J184" s="10">
        <v>55</v>
      </c>
      <c r="K184">
        <v>67.06</v>
      </c>
      <c r="L184" s="10">
        <v>70</v>
      </c>
      <c r="M184" s="11">
        <f t="shared" si="14"/>
        <v>0.24378109452736296</v>
      </c>
      <c r="N184" s="10">
        <f t="shared" si="16"/>
        <v>0.95800000000000007</v>
      </c>
      <c r="O184" s="4">
        <v>-1.12E-2</v>
      </c>
      <c r="P184" s="4">
        <v>-1.12E-2</v>
      </c>
      <c r="Q184" s="14"/>
      <c r="R184" t="s">
        <v>325</v>
      </c>
      <c r="S184" t="s">
        <v>325</v>
      </c>
      <c r="T184" t="s">
        <v>329</v>
      </c>
    </row>
    <row r="185" spans="2:20">
      <c r="B185" s="14">
        <v>3</v>
      </c>
      <c r="C185" s="14"/>
      <c r="D185" t="s">
        <v>613</v>
      </c>
      <c r="E185" t="s">
        <v>301</v>
      </c>
      <c r="F185" t="s">
        <v>264</v>
      </c>
      <c r="G185"/>
      <c r="H185" t="s">
        <v>326</v>
      </c>
      <c r="J185" s="10"/>
      <c r="K185">
        <v>35.159999999999997</v>
      </c>
      <c r="L185" s="10"/>
      <c r="M185" s="10"/>
      <c r="N185" s="10" t="e">
        <f t="shared" si="16"/>
        <v>#DIV/0!</v>
      </c>
      <c r="O185" s="4">
        <v>-8.5000000000000006E-3</v>
      </c>
      <c r="P185" s="4">
        <v>-8.5000000000000006E-3</v>
      </c>
      <c r="Q185" s="15"/>
      <c r="R185" t="s">
        <v>326</v>
      </c>
      <c r="S185" t="s">
        <v>325</v>
      </c>
      <c r="T185" t="s">
        <v>436</v>
      </c>
    </row>
    <row r="186" spans="2:20">
      <c r="B186" s="14">
        <v>3</v>
      </c>
      <c r="C186" s="14"/>
      <c r="D186" t="s">
        <v>578</v>
      </c>
      <c r="E186" t="s">
        <v>416</v>
      </c>
      <c r="F186" t="s">
        <v>261</v>
      </c>
      <c r="G186" t="s">
        <v>261</v>
      </c>
      <c r="H186" t="s">
        <v>325</v>
      </c>
      <c r="J186" s="10">
        <v>75</v>
      </c>
      <c r="K186">
        <v>124.48</v>
      </c>
      <c r="L186" s="10">
        <v>125</v>
      </c>
      <c r="M186" s="10">
        <f t="shared" ref="M186:M207" si="17" xml:space="preserve"> (L186 - K186)/(K186-J186)</f>
        <v>1.0509296685529426E-2</v>
      </c>
      <c r="N186" s="10">
        <f t="shared" si="16"/>
        <v>0.99584000000000006</v>
      </c>
      <c r="O186" s="4">
        <v>3.5499999999999997E-2</v>
      </c>
      <c r="P186" s="4">
        <v>3.5499999999999997E-2</v>
      </c>
      <c r="Q186" s="14"/>
      <c r="R186" t="s">
        <v>325</v>
      </c>
      <c r="S186" t="s">
        <v>327</v>
      </c>
      <c r="T186" t="s">
        <v>329</v>
      </c>
    </row>
    <row r="187" spans="2:20">
      <c r="B187" s="14">
        <v>3</v>
      </c>
      <c r="C187" s="14"/>
      <c r="D187" t="s">
        <v>254</v>
      </c>
      <c r="E187" t="s">
        <v>272</v>
      </c>
      <c r="F187" t="s">
        <v>258</v>
      </c>
      <c r="G187" t="s">
        <v>258</v>
      </c>
      <c r="H187" t="s">
        <v>325</v>
      </c>
      <c r="J187" s="10">
        <v>28</v>
      </c>
      <c r="K187">
        <v>26.99</v>
      </c>
      <c r="L187" s="10">
        <v>31</v>
      </c>
      <c r="M187" s="10">
        <f t="shared" si="17"/>
        <v>-3.9702970297029658</v>
      </c>
      <c r="N187" s="10">
        <f t="shared" si="16"/>
        <v>0.87064516129032254</v>
      </c>
      <c r="O187" s="4">
        <v>4.0000000000000001E-3</v>
      </c>
      <c r="P187" s="4">
        <v>4.0000000000000001E-3</v>
      </c>
      <c r="Q187" s="14"/>
      <c r="R187" t="s">
        <v>325</v>
      </c>
      <c r="S187" t="s">
        <v>325</v>
      </c>
      <c r="T187" t="s">
        <v>329</v>
      </c>
    </row>
    <row r="188" spans="2:20">
      <c r="B188" s="14">
        <v>3</v>
      </c>
      <c r="C188" s="14"/>
      <c r="D188" t="s">
        <v>391</v>
      </c>
      <c r="E188" t="s">
        <v>293</v>
      </c>
      <c r="F188" t="s">
        <v>264</v>
      </c>
      <c r="G188" t="s">
        <v>262</v>
      </c>
      <c r="H188" t="s">
        <v>325</v>
      </c>
      <c r="J188" s="11">
        <v>43</v>
      </c>
      <c r="K188">
        <v>47.13</v>
      </c>
      <c r="L188" s="10">
        <v>48</v>
      </c>
      <c r="M188" s="10">
        <f t="shared" si="17"/>
        <v>0.21065375302663364</v>
      </c>
      <c r="N188" s="10">
        <f t="shared" si="16"/>
        <v>0.98187500000000005</v>
      </c>
      <c r="O188" s="4">
        <v>7.1999999999999998E-3</v>
      </c>
      <c r="P188" s="4">
        <v>7.1999999999999998E-3</v>
      </c>
      <c r="Q188" s="14"/>
      <c r="R188" t="s">
        <v>326</v>
      </c>
      <c r="S188" t="s">
        <v>326</v>
      </c>
      <c r="T188" t="s">
        <v>327</v>
      </c>
    </row>
    <row r="189" spans="2:20">
      <c r="B189" s="14">
        <v>3</v>
      </c>
      <c r="C189" s="14"/>
      <c r="D189" t="s">
        <v>644</v>
      </c>
      <c r="E189" t="s">
        <v>301</v>
      </c>
      <c r="F189" t="s">
        <v>259</v>
      </c>
      <c r="G189" t="s">
        <v>259</v>
      </c>
      <c r="H189" t="s">
        <v>325</v>
      </c>
      <c r="J189" s="10">
        <v>47</v>
      </c>
      <c r="K189">
        <v>58.37</v>
      </c>
      <c r="L189" s="10">
        <v>55</v>
      </c>
      <c r="M189" s="10">
        <f t="shared" si="17"/>
        <v>-0.29639401934916432</v>
      </c>
      <c r="N189" s="10">
        <f t="shared" si="16"/>
        <v>1.0612727272727271</v>
      </c>
      <c r="O189" s="4">
        <v>-1.0500000000000001E-2</v>
      </c>
      <c r="P189" s="4">
        <v>-1.0500000000000001E-2</v>
      </c>
      <c r="Q189" s="14"/>
      <c r="R189" t="s">
        <v>326</v>
      </c>
      <c r="S189" t="s">
        <v>327</v>
      </c>
      <c r="T189" t="s">
        <v>436</v>
      </c>
    </row>
    <row r="190" spans="2:20">
      <c r="B190" s="14">
        <v>3</v>
      </c>
      <c r="C190" s="14"/>
      <c r="D190" s="8" t="s">
        <v>567</v>
      </c>
      <c r="E190" t="s">
        <v>215</v>
      </c>
      <c r="F190" t="s">
        <v>257</v>
      </c>
      <c r="G190" t="s">
        <v>257</v>
      </c>
      <c r="H190" t="s">
        <v>326</v>
      </c>
      <c r="J190" s="10">
        <v>110</v>
      </c>
      <c r="K190">
        <v>99.5</v>
      </c>
      <c r="L190" s="10">
        <v>130</v>
      </c>
      <c r="M190" s="10">
        <f t="shared" si="17"/>
        <v>-2.9047619047619047</v>
      </c>
      <c r="N190" s="10">
        <f t="shared" si="16"/>
        <v>0.76538461538461533</v>
      </c>
      <c r="O190" s="28">
        <v>0.03</v>
      </c>
      <c r="P190" s="28">
        <v>0.03</v>
      </c>
      <c r="Q190" s="15"/>
      <c r="R190" t="s">
        <v>326</v>
      </c>
      <c r="S190" t="s">
        <v>327</v>
      </c>
      <c r="T190" t="s">
        <v>327</v>
      </c>
    </row>
    <row r="191" spans="2:20">
      <c r="B191" s="14">
        <v>3</v>
      </c>
      <c r="C191" s="14"/>
      <c r="D191" t="s">
        <v>384</v>
      </c>
      <c r="E191" t="s">
        <v>419</v>
      </c>
      <c r="F191" t="s">
        <v>261</v>
      </c>
      <c r="G191" t="s">
        <v>261</v>
      </c>
      <c r="H191" t="s">
        <v>325</v>
      </c>
      <c r="J191" s="10">
        <v>15</v>
      </c>
      <c r="K191">
        <v>13.47</v>
      </c>
      <c r="L191" s="10">
        <v>20</v>
      </c>
      <c r="M191" s="10">
        <f t="shared" si="17"/>
        <v>-4.267973856209152</v>
      </c>
      <c r="N191" s="10">
        <f t="shared" si="16"/>
        <v>0.67349999999999999</v>
      </c>
      <c r="O191" s="4">
        <v>1.6899999999999998E-2</v>
      </c>
      <c r="P191" s="4">
        <v>1.6899999999999998E-2</v>
      </c>
      <c r="Q191" s="14"/>
      <c r="R191" t="s">
        <v>326</v>
      </c>
      <c r="S191" t="s">
        <v>326</v>
      </c>
      <c r="T191" t="s">
        <v>327</v>
      </c>
    </row>
    <row r="192" spans="2:20">
      <c r="B192" s="14">
        <v>3</v>
      </c>
      <c r="C192" s="14"/>
      <c r="D192" t="s">
        <v>561</v>
      </c>
      <c r="E192" t="s">
        <v>110</v>
      </c>
      <c r="F192" t="s">
        <v>258</v>
      </c>
      <c r="G192" t="s">
        <v>258</v>
      </c>
      <c r="H192" t="s">
        <v>325</v>
      </c>
      <c r="I192" s="8"/>
      <c r="J192" s="11">
        <v>450</v>
      </c>
      <c r="K192">
        <v>616.19000000000005</v>
      </c>
      <c r="L192" s="10">
        <v>500</v>
      </c>
      <c r="M192" s="10">
        <f t="shared" si="17"/>
        <v>-0.69913953908177395</v>
      </c>
      <c r="N192" s="10">
        <f t="shared" si="16"/>
        <v>1.23238</v>
      </c>
      <c r="O192" s="4">
        <v>2.1600000000000001E-2</v>
      </c>
      <c r="P192" s="4">
        <v>2.1600000000000001E-2</v>
      </c>
      <c r="Q192" s="14"/>
      <c r="R192" t="s">
        <v>325</v>
      </c>
      <c r="S192" t="s">
        <v>325</v>
      </c>
      <c r="T192" t="s">
        <v>327</v>
      </c>
    </row>
    <row r="193" spans="2:20">
      <c r="B193" s="14">
        <v>3</v>
      </c>
      <c r="C193" s="14"/>
      <c r="D193" t="s">
        <v>506</v>
      </c>
      <c r="E193" t="s">
        <v>356</v>
      </c>
      <c r="F193" t="s">
        <v>258</v>
      </c>
      <c r="G193" t="s">
        <v>258</v>
      </c>
      <c r="H193" t="s">
        <v>325</v>
      </c>
      <c r="J193" s="10">
        <v>250</v>
      </c>
      <c r="K193">
        <v>355.11</v>
      </c>
      <c r="L193" s="10">
        <v>310</v>
      </c>
      <c r="M193" s="10">
        <f t="shared" si="17"/>
        <v>-0.42916944153743702</v>
      </c>
      <c r="N193" s="10"/>
      <c r="O193" s="4">
        <v>3.2399999999999998E-2</v>
      </c>
      <c r="P193" s="4">
        <v>3.2399999999999998E-2</v>
      </c>
      <c r="Q193" s="14"/>
      <c r="R193" t="s">
        <v>327</v>
      </c>
      <c r="S193" t="s">
        <v>326</v>
      </c>
      <c r="T193" t="s">
        <v>328</v>
      </c>
    </row>
    <row r="194" spans="2:20">
      <c r="B194" s="14">
        <v>3</v>
      </c>
      <c r="C194" s="13">
        <v>14</v>
      </c>
      <c r="D194" t="s">
        <v>376</v>
      </c>
      <c r="E194" t="s">
        <v>88</v>
      </c>
      <c r="F194" t="s">
        <v>258</v>
      </c>
      <c r="G194" t="s">
        <v>258</v>
      </c>
      <c r="H194" t="s">
        <v>325</v>
      </c>
      <c r="J194" s="10">
        <v>90</v>
      </c>
      <c r="K194">
        <v>54.45</v>
      </c>
      <c r="L194" s="10">
        <v>110</v>
      </c>
      <c r="M194" s="10">
        <f t="shared" si="17"/>
        <v>-1.5625879043600563</v>
      </c>
      <c r="N194" s="10">
        <f>K194/L194</f>
        <v>0.49500000000000005</v>
      </c>
      <c r="O194" s="4">
        <v>2.2599999999999999E-2</v>
      </c>
      <c r="P194" s="4">
        <v>2.2599999999999999E-2</v>
      </c>
      <c r="Q194" s="14"/>
      <c r="R194" t="s">
        <v>327</v>
      </c>
      <c r="S194" t="s">
        <v>327</v>
      </c>
      <c r="T194" t="s">
        <v>329</v>
      </c>
    </row>
    <row r="195" spans="2:20">
      <c r="B195" s="14">
        <v>2</v>
      </c>
      <c r="C195" s="14"/>
      <c r="D195" t="s">
        <v>224</v>
      </c>
      <c r="E195" t="s">
        <v>164</v>
      </c>
      <c r="F195" t="s">
        <v>258</v>
      </c>
      <c r="G195" t="s">
        <v>258</v>
      </c>
      <c r="H195" t="s">
        <v>326</v>
      </c>
      <c r="J195" s="10">
        <v>70</v>
      </c>
      <c r="K195">
        <v>81.39</v>
      </c>
      <c r="L195" s="10">
        <v>80</v>
      </c>
      <c r="M195" s="10">
        <f t="shared" si="17"/>
        <v>-0.12203687445127309</v>
      </c>
      <c r="N195" s="10"/>
      <c r="O195" s="4">
        <v>1.54E-2</v>
      </c>
      <c r="P195" s="4">
        <v>1.54E-2</v>
      </c>
      <c r="Q195" s="14" t="s">
        <v>99</v>
      </c>
      <c r="R195" t="s">
        <v>325</v>
      </c>
      <c r="S195" t="s">
        <v>327</v>
      </c>
      <c r="T195" t="s">
        <v>329</v>
      </c>
    </row>
    <row r="196" spans="2:20">
      <c r="B196" s="14">
        <v>2</v>
      </c>
      <c r="C196" s="14"/>
      <c r="D196" t="s">
        <v>562</v>
      </c>
      <c r="E196" t="s">
        <v>418</v>
      </c>
      <c r="F196" t="s">
        <v>258</v>
      </c>
      <c r="G196" t="s">
        <v>258</v>
      </c>
      <c r="H196" t="s">
        <v>326</v>
      </c>
      <c r="J196" s="10">
        <v>25</v>
      </c>
      <c r="K196">
        <v>27.27</v>
      </c>
      <c r="L196" s="10">
        <v>35</v>
      </c>
      <c r="M196" s="10">
        <f t="shared" si="17"/>
        <v>3.4052863436123357</v>
      </c>
      <c r="N196" s="10">
        <f t="shared" ref="N196:N211" si="18">K196/L196</f>
        <v>0.77914285714285714</v>
      </c>
      <c r="O196" s="4">
        <v>-1.38E-2</v>
      </c>
      <c r="P196" s="4">
        <v>-1.38E-2</v>
      </c>
      <c r="Q196" s="14"/>
      <c r="R196" t="s">
        <v>326</v>
      </c>
      <c r="S196" t="s">
        <v>325</v>
      </c>
      <c r="T196" t="s">
        <v>327</v>
      </c>
    </row>
    <row r="197" spans="2:20">
      <c r="B197" s="14">
        <v>2</v>
      </c>
      <c r="C197" s="14"/>
      <c r="D197" t="s">
        <v>373</v>
      </c>
      <c r="E197" t="s">
        <v>299</v>
      </c>
      <c r="F197" t="s">
        <v>258</v>
      </c>
      <c r="G197" t="s">
        <v>258</v>
      </c>
      <c r="H197" t="s">
        <v>325</v>
      </c>
      <c r="J197" s="10"/>
      <c r="K197">
        <v>322.75</v>
      </c>
      <c r="L197" s="10"/>
      <c r="M197" s="10">
        <f t="shared" si="17"/>
        <v>-1</v>
      </c>
      <c r="N197" s="10" t="e">
        <f t="shared" si="18"/>
        <v>#DIV/0!</v>
      </c>
      <c r="O197" s="4">
        <v>-2.2700000000000001E-2</v>
      </c>
      <c r="P197" s="4">
        <v>-2.2700000000000001E-2</v>
      </c>
      <c r="Q197" s="14"/>
      <c r="R197" t="s">
        <v>325</v>
      </c>
      <c r="S197" t="s">
        <v>327</v>
      </c>
      <c r="T197" t="s">
        <v>329</v>
      </c>
    </row>
    <row r="198" spans="2:20">
      <c r="B198" s="15">
        <v>2</v>
      </c>
      <c r="C198" s="15"/>
      <c r="D198" t="s">
        <v>237</v>
      </c>
      <c r="E198" t="s">
        <v>299</v>
      </c>
      <c r="F198" t="s">
        <v>262</v>
      </c>
      <c r="G198" t="s">
        <v>262</v>
      </c>
      <c r="H198" t="s">
        <v>325</v>
      </c>
      <c r="I198" s="8"/>
      <c r="J198" s="11">
        <v>80</v>
      </c>
      <c r="K198">
        <v>65.73</v>
      </c>
      <c r="L198" s="10">
        <v>90</v>
      </c>
      <c r="M198" s="10">
        <f t="shared" si="17"/>
        <v>-1.7007708479327261</v>
      </c>
      <c r="N198" s="10">
        <f t="shared" si="18"/>
        <v>0.73033333333333339</v>
      </c>
      <c r="O198" s="4">
        <v>-2.7199999999999998E-2</v>
      </c>
      <c r="P198" s="4">
        <v>-2.7199999999999998E-2</v>
      </c>
      <c r="Q198" s="14"/>
      <c r="R198" t="s">
        <v>326</v>
      </c>
      <c r="S198" t="s">
        <v>326</v>
      </c>
      <c r="T198" t="s">
        <v>329</v>
      </c>
    </row>
    <row r="199" spans="2:20">
      <c r="B199" s="14">
        <v>2</v>
      </c>
      <c r="C199" s="14"/>
      <c r="D199" t="s">
        <v>228</v>
      </c>
      <c r="E199" t="s">
        <v>271</v>
      </c>
      <c r="F199" t="s">
        <v>258</v>
      </c>
      <c r="G199" t="s">
        <v>258</v>
      </c>
      <c r="H199" t="s">
        <v>325</v>
      </c>
      <c r="J199" s="10">
        <v>440</v>
      </c>
      <c r="K199">
        <v>291.54000000000002</v>
      </c>
      <c r="L199" s="10">
        <v>525</v>
      </c>
      <c r="M199" s="10">
        <f t="shared" si="17"/>
        <v>-1.5725447932102925</v>
      </c>
      <c r="N199" s="10">
        <f t="shared" si="18"/>
        <v>0.55531428571428576</v>
      </c>
      <c r="O199" s="4">
        <v>3.2000000000000001E-2</v>
      </c>
      <c r="P199" s="4">
        <v>3.2000000000000001E-2</v>
      </c>
      <c r="Q199" s="15"/>
      <c r="R199" t="s">
        <v>327</v>
      </c>
      <c r="S199" t="s">
        <v>327</v>
      </c>
      <c r="T199" t="s">
        <v>327</v>
      </c>
    </row>
    <row r="200" spans="2:20">
      <c r="B200" s="14">
        <v>2</v>
      </c>
      <c r="C200" s="14"/>
      <c r="D200" t="s">
        <v>71</v>
      </c>
      <c r="E200" t="s">
        <v>265</v>
      </c>
      <c r="F200" t="s">
        <v>261</v>
      </c>
      <c r="G200" t="s">
        <v>261</v>
      </c>
      <c r="H200" t="s">
        <v>325</v>
      </c>
      <c r="J200" s="10">
        <v>18</v>
      </c>
      <c r="K200">
        <v>27.94</v>
      </c>
      <c r="L200" s="10">
        <v>24</v>
      </c>
      <c r="M200" s="10">
        <f t="shared" si="17"/>
        <v>-0.39637826961770634</v>
      </c>
      <c r="N200" s="10">
        <f t="shared" si="18"/>
        <v>1.1641666666666668</v>
      </c>
      <c r="O200" s="4">
        <v>1.8499999999999999E-2</v>
      </c>
      <c r="P200" s="4">
        <v>1.8499999999999999E-2</v>
      </c>
      <c r="Q200" s="14" t="s">
        <v>70</v>
      </c>
      <c r="R200" t="s">
        <v>325</v>
      </c>
      <c r="S200" t="s">
        <v>326</v>
      </c>
      <c r="T200" t="s">
        <v>327</v>
      </c>
    </row>
    <row r="201" spans="2:20">
      <c r="B201" s="14">
        <v>2</v>
      </c>
      <c r="C201" s="13">
        <v>14</v>
      </c>
      <c r="D201" t="s">
        <v>35</v>
      </c>
      <c r="E201" t="s">
        <v>271</v>
      </c>
      <c r="F201" t="s">
        <v>260</v>
      </c>
      <c r="G201" t="s">
        <v>258</v>
      </c>
      <c r="H201" t="s">
        <v>325</v>
      </c>
      <c r="J201" s="10">
        <v>260</v>
      </c>
      <c r="K201">
        <v>262.81</v>
      </c>
      <c r="L201" s="10">
        <v>350</v>
      </c>
      <c r="M201" s="10">
        <f t="shared" si="17"/>
        <v>31.028469750889652</v>
      </c>
      <c r="N201" s="10">
        <f t="shared" si="18"/>
        <v>0.75088571428571427</v>
      </c>
      <c r="O201" s="4">
        <v>1.3299999999999999E-2</v>
      </c>
      <c r="P201" s="4">
        <v>1.3299999999999999E-2</v>
      </c>
      <c r="Q201" s="15" t="s">
        <v>65</v>
      </c>
      <c r="R201" t="s">
        <v>325</v>
      </c>
      <c r="S201" t="s">
        <v>327</v>
      </c>
      <c r="T201" t="s">
        <v>329</v>
      </c>
    </row>
    <row r="202" spans="2:20">
      <c r="B202" s="14">
        <v>2</v>
      </c>
      <c r="C202" s="15"/>
      <c r="D202" t="s">
        <v>496</v>
      </c>
      <c r="E202" t="s">
        <v>356</v>
      </c>
      <c r="F202" t="s">
        <v>261</v>
      </c>
      <c r="G202" t="s">
        <v>261</v>
      </c>
      <c r="H202" t="s">
        <v>325</v>
      </c>
      <c r="I202" s="8"/>
      <c r="J202" s="11">
        <v>45</v>
      </c>
      <c r="K202">
        <v>114.42</v>
      </c>
      <c r="L202" s="11">
        <v>60</v>
      </c>
      <c r="M202" s="10">
        <f t="shared" si="17"/>
        <v>-0.78392394122731202</v>
      </c>
      <c r="N202" s="10">
        <f t="shared" si="18"/>
        <v>1.907</v>
      </c>
      <c r="O202" s="4">
        <v>1.9300000000000001E-2</v>
      </c>
      <c r="P202" s="4">
        <v>1.9300000000000001E-2</v>
      </c>
      <c r="Q202" s="14"/>
      <c r="R202" t="s">
        <v>325</v>
      </c>
      <c r="S202" t="s">
        <v>326</v>
      </c>
      <c r="T202" t="s">
        <v>328</v>
      </c>
    </row>
    <row r="203" spans="2:20">
      <c r="B203" s="14">
        <v>2</v>
      </c>
      <c r="C203" s="14"/>
      <c r="D203" t="s">
        <v>543</v>
      </c>
      <c r="E203" t="s">
        <v>301</v>
      </c>
      <c r="F203" t="s">
        <v>258</v>
      </c>
      <c r="G203"/>
      <c r="H203" t="s">
        <v>326</v>
      </c>
      <c r="J203" s="10">
        <v>26</v>
      </c>
      <c r="K203">
        <v>79.19</v>
      </c>
      <c r="L203" s="10">
        <v>30</v>
      </c>
      <c r="M203" s="11">
        <f t="shared" si="17"/>
        <v>-0.92479789434104154</v>
      </c>
      <c r="N203" s="10">
        <f t="shared" si="18"/>
        <v>2.6396666666666664</v>
      </c>
      <c r="O203" s="4">
        <v>5.1499999999999997E-2</v>
      </c>
      <c r="P203" s="4">
        <v>5.1499999999999997E-2</v>
      </c>
      <c r="Q203" s="14" t="s">
        <v>545</v>
      </c>
      <c r="R203" t="s">
        <v>325</v>
      </c>
      <c r="S203" t="s">
        <v>325</v>
      </c>
      <c r="T203" t="s">
        <v>436</v>
      </c>
    </row>
    <row r="204" spans="2:20">
      <c r="B204" s="15">
        <v>2</v>
      </c>
      <c r="C204" s="15"/>
      <c r="D204" t="s">
        <v>445</v>
      </c>
      <c r="E204" t="s">
        <v>293</v>
      </c>
      <c r="F204" t="s">
        <v>258</v>
      </c>
      <c r="G204" t="s">
        <v>260</v>
      </c>
      <c r="H204" t="s">
        <v>325</v>
      </c>
      <c r="I204" s="8"/>
      <c r="J204" s="11">
        <v>70</v>
      </c>
      <c r="K204">
        <v>121.97</v>
      </c>
      <c r="L204" s="10">
        <v>80</v>
      </c>
      <c r="M204" s="10">
        <f t="shared" si="17"/>
        <v>-0.80758129690205882</v>
      </c>
      <c r="N204" s="10">
        <f t="shared" si="18"/>
        <v>1.5246249999999999</v>
      </c>
      <c r="O204" s="4">
        <v>1.3100000000000001E-2</v>
      </c>
      <c r="P204" s="4">
        <v>1.3100000000000001E-2</v>
      </c>
      <c r="Q204" s="14"/>
      <c r="R204" t="s">
        <v>327</v>
      </c>
      <c r="S204" t="s">
        <v>327</v>
      </c>
      <c r="T204" t="s">
        <v>327</v>
      </c>
    </row>
    <row r="205" spans="2:20">
      <c r="B205" s="14">
        <v>2</v>
      </c>
      <c r="C205" s="14"/>
      <c r="D205" t="s">
        <v>563</v>
      </c>
      <c r="E205" t="s">
        <v>291</v>
      </c>
      <c r="F205" t="s">
        <v>260</v>
      </c>
      <c r="G205" t="s">
        <v>260</v>
      </c>
      <c r="H205" t="s">
        <v>325</v>
      </c>
      <c r="J205" s="10">
        <v>38</v>
      </c>
      <c r="K205">
        <v>58.6</v>
      </c>
      <c r="L205" s="10">
        <v>42</v>
      </c>
      <c r="M205" s="10">
        <f t="shared" si="17"/>
        <v>-0.80582524271844658</v>
      </c>
      <c r="N205" s="10">
        <f t="shared" si="18"/>
        <v>1.3952380952380952</v>
      </c>
      <c r="O205" s="4">
        <v>-1.9E-3</v>
      </c>
      <c r="P205" s="4">
        <v>-1.9E-3</v>
      </c>
      <c r="Q205" s="14"/>
      <c r="R205" t="s">
        <v>325</v>
      </c>
      <c r="S205" t="s">
        <v>326</v>
      </c>
      <c r="T205" t="s">
        <v>327</v>
      </c>
    </row>
    <row r="206" spans="2:20">
      <c r="B206" s="14">
        <v>2</v>
      </c>
      <c r="C206" s="14"/>
      <c r="D206" t="s">
        <v>253</v>
      </c>
      <c r="E206" t="s">
        <v>291</v>
      </c>
      <c r="F206" t="s">
        <v>260</v>
      </c>
      <c r="G206" t="s">
        <v>260</v>
      </c>
      <c r="H206" t="s">
        <v>325</v>
      </c>
      <c r="J206" s="11">
        <v>34</v>
      </c>
      <c r="K206">
        <v>54.07</v>
      </c>
      <c r="L206" s="10">
        <v>50</v>
      </c>
      <c r="M206" s="10">
        <f t="shared" si="17"/>
        <v>-0.20279023418036873</v>
      </c>
      <c r="N206" s="10">
        <f t="shared" si="18"/>
        <v>1.0813999999999999</v>
      </c>
      <c r="O206" s="4">
        <v>1.78E-2</v>
      </c>
      <c r="P206" s="4">
        <v>1.78E-2</v>
      </c>
      <c r="Q206" s="14"/>
      <c r="R206" t="s">
        <v>325</v>
      </c>
      <c r="S206" t="s">
        <v>327</v>
      </c>
      <c r="T206" t="s">
        <v>327</v>
      </c>
    </row>
    <row r="207" spans="2:20">
      <c r="B207" s="14">
        <v>2</v>
      </c>
      <c r="C207" s="14"/>
      <c r="D207" t="s">
        <v>407</v>
      </c>
      <c r="E207" t="s">
        <v>88</v>
      </c>
      <c r="F207" t="s">
        <v>258</v>
      </c>
      <c r="G207" t="s">
        <v>258</v>
      </c>
      <c r="H207" t="s">
        <v>325</v>
      </c>
      <c r="J207" s="10">
        <v>95</v>
      </c>
      <c r="K207">
        <v>78.14</v>
      </c>
      <c r="L207" s="10">
        <v>120</v>
      </c>
      <c r="M207" s="10">
        <f t="shared" si="17"/>
        <v>-2.4827995255041517</v>
      </c>
      <c r="N207" s="10">
        <f t="shared" si="18"/>
        <v>0.65116666666666667</v>
      </c>
      <c r="O207" s="4">
        <v>1.8599999999999998E-2</v>
      </c>
      <c r="P207" s="4">
        <v>1.8599999999999998E-2</v>
      </c>
      <c r="Q207" s="14"/>
      <c r="R207" t="s">
        <v>327</v>
      </c>
      <c r="S207" t="s">
        <v>327</v>
      </c>
      <c r="T207" t="s">
        <v>329</v>
      </c>
    </row>
    <row r="208" spans="2:20">
      <c r="B208" s="14">
        <v>2</v>
      </c>
      <c r="C208" s="14"/>
      <c r="D208" t="s">
        <v>598</v>
      </c>
      <c r="E208" t="s">
        <v>299</v>
      </c>
      <c r="F208" t="s">
        <v>258</v>
      </c>
      <c r="G208" t="s">
        <v>258</v>
      </c>
      <c r="H208" t="s">
        <v>325</v>
      </c>
      <c r="J208" s="10"/>
      <c r="K208">
        <v>136.71</v>
      </c>
      <c r="L208" s="10"/>
      <c r="M208" s="10"/>
      <c r="N208" s="10" t="e">
        <f t="shared" si="18"/>
        <v>#DIV/0!</v>
      </c>
      <c r="O208" s="4">
        <v>1E-3</v>
      </c>
      <c r="P208" s="4">
        <v>1E-3</v>
      </c>
      <c r="Q208" s="15"/>
      <c r="R208" t="s">
        <v>325</v>
      </c>
      <c r="S208" t="s">
        <v>326</v>
      </c>
      <c r="T208" t="s">
        <v>327</v>
      </c>
    </row>
    <row r="209" spans="2:20">
      <c r="B209" s="14">
        <v>2</v>
      </c>
      <c r="C209" s="14"/>
      <c r="D209" t="s">
        <v>244</v>
      </c>
      <c r="E209" t="s">
        <v>299</v>
      </c>
      <c r="F209" t="s">
        <v>260</v>
      </c>
      <c r="G209" t="s">
        <v>261</v>
      </c>
      <c r="H209" t="s">
        <v>325</v>
      </c>
      <c r="J209" s="10">
        <v>95</v>
      </c>
      <c r="K209">
        <v>132.66999999999999</v>
      </c>
      <c r="L209" s="10">
        <v>110</v>
      </c>
      <c r="M209" s="10">
        <f t="shared" ref="M209:M232" si="19" xml:space="preserve"> (L209 - K209)/(K209-J209)</f>
        <v>-0.60180514998672674</v>
      </c>
      <c r="N209" s="10">
        <f t="shared" si="18"/>
        <v>1.2060909090909089</v>
      </c>
      <c r="O209" s="4">
        <v>-4.4999999999999997E-3</v>
      </c>
      <c r="P209" s="4">
        <v>-4.4999999999999997E-3</v>
      </c>
      <c r="Q209" s="14"/>
      <c r="R209" t="s">
        <v>325</v>
      </c>
      <c r="S209" t="s">
        <v>327</v>
      </c>
      <c r="T209" t="s">
        <v>329</v>
      </c>
    </row>
    <row r="210" spans="2:20">
      <c r="B210" s="14">
        <v>2</v>
      </c>
      <c r="C210" s="14"/>
      <c r="D210" t="s">
        <v>651</v>
      </c>
      <c r="E210" t="s">
        <v>256</v>
      </c>
      <c r="F210" t="s">
        <v>257</v>
      </c>
      <c r="G210" t="s">
        <v>257</v>
      </c>
      <c r="H210" t="s">
        <v>326</v>
      </c>
      <c r="I210" s="7"/>
      <c r="J210" s="10">
        <v>7</v>
      </c>
      <c r="K210">
        <v>14.04</v>
      </c>
      <c r="L210" s="10">
        <v>18</v>
      </c>
      <c r="M210" s="10">
        <f t="shared" si="19"/>
        <v>0.56250000000000022</v>
      </c>
      <c r="N210" s="10">
        <f t="shared" si="18"/>
        <v>0.77999999999999992</v>
      </c>
      <c r="O210" s="4">
        <v>3.1899999999999998E-2</v>
      </c>
      <c r="P210" s="4">
        <v>3.1899999999999998E-2</v>
      </c>
      <c r="Q210" s="15" t="s">
        <v>653</v>
      </c>
      <c r="R210" t="s">
        <v>325</v>
      </c>
      <c r="S210" t="s">
        <v>326</v>
      </c>
      <c r="T210" t="s">
        <v>327</v>
      </c>
    </row>
    <row r="211" spans="2:20">
      <c r="B211" s="14">
        <v>2</v>
      </c>
      <c r="C211" s="15"/>
      <c r="D211" t="s">
        <v>607</v>
      </c>
      <c r="E211" t="s">
        <v>608</v>
      </c>
      <c r="F211"/>
      <c r="G211"/>
      <c r="H211" t="s">
        <v>326</v>
      </c>
      <c r="I211" s="8"/>
      <c r="J211" s="11">
        <v>7.7</v>
      </c>
      <c r="K211">
        <v>25.8</v>
      </c>
      <c r="L211" s="11">
        <v>10</v>
      </c>
      <c r="M211" s="10">
        <f t="shared" si="19"/>
        <v>-0.8729281767955801</v>
      </c>
      <c r="N211" s="10">
        <f t="shared" si="18"/>
        <v>2.58</v>
      </c>
      <c r="O211" s="4">
        <v>-5.16E-2</v>
      </c>
      <c r="P211" s="4">
        <v>-5.16E-2</v>
      </c>
      <c r="Q211" s="14"/>
      <c r="R211" t="s">
        <v>325</v>
      </c>
      <c r="S211" t="s">
        <v>325</v>
      </c>
      <c r="T211" t="s">
        <v>327</v>
      </c>
    </row>
    <row r="212" spans="2:20">
      <c r="B212" s="14">
        <v>1</v>
      </c>
      <c r="C212" s="14"/>
      <c r="D212" t="s">
        <v>39</v>
      </c>
      <c r="E212" t="s">
        <v>272</v>
      </c>
      <c r="F212" t="s">
        <v>261</v>
      </c>
      <c r="G212" t="s">
        <v>261</v>
      </c>
      <c r="H212" t="s">
        <v>325</v>
      </c>
      <c r="I212" s="10"/>
      <c r="J212" s="10">
        <v>570</v>
      </c>
      <c r="K212">
        <v>906.49</v>
      </c>
      <c r="L212" s="10">
        <v>650</v>
      </c>
      <c r="M212" s="10">
        <f t="shared" si="19"/>
        <v>-0.76225147849861807</v>
      </c>
      <c r="N212" s="10"/>
      <c r="O212" s="4">
        <v>3.3E-3</v>
      </c>
      <c r="P212" s="4">
        <v>3.3E-3</v>
      </c>
      <c r="Q212" s="15" t="s">
        <v>87</v>
      </c>
      <c r="R212" t="s">
        <v>325</v>
      </c>
      <c r="S212" t="s">
        <v>327</v>
      </c>
      <c r="T212" t="s">
        <v>327</v>
      </c>
    </row>
    <row r="213" spans="2:20">
      <c r="B213" s="14">
        <v>1</v>
      </c>
      <c r="C213" s="14"/>
      <c r="D213" t="s">
        <v>38</v>
      </c>
      <c r="E213" t="s">
        <v>271</v>
      </c>
      <c r="F213" t="s">
        <v>257</v>
      </c>
      <c r="G213" t="s">
        <v>257</v>
      </c>
      <c r="H213" t="s">
        <v>325</v>
      </c>
      <c r="J213" s="10">
        <v>340</v>
      </c>
      <c r="K213">
        <v>139.5</v>
      </c>
      <c r="L213" s="10">
        <v>380</v>
      </c>
      <c r="M213" s="10">
        <f t="shared" si="19"/>
        <v>-1.199501246882793</v>
      </c>
      <c r="N213" s="10">
        <f t="shared" ref="N213:N221" si="20">K213/L213</f>
        <v>0.36710526315789471</v>
      </c>
      <c r="O213" s="4">
        <v>6.8199999999999997E-2</v>
      </c>
      <c r="P213" s="4">
        <v>6.8199999999999997E-2</v>
      </c>
      <c r="Q213" s="14" t="s">
        <v>92</v>
      </c>
      <c r="R213" t="s">
        <v>326</v>
      </c>
      <c r="S213" t="s">
        <v>326</v>
      </c>
      <c r="T213" t="s">
        <v>436</v>
      </c>
    </row>
    <row r="214" spans="2:20">
      <c r="B214" s="14">
        <v>1</v>
      </c>
      <c r="C214" s="14"/>
      <c r="D214" t="s">
        <v>43</v>
      </c>
      <c r="E214" t="s">
        <v>299</v>
      </c>
      <c r="F214" t="s">
        <v>261</v>
      </c>
      <c r="G214" t="s">
        <v>261</v>
      </c>
      <c r="H214" t="s">
        <v>325</v>
      </c>
      <c r="I214" s="8"/>
      <c r="J214" s="11">
        <v>155</v>
      </c>
      <c r="K214">
        <v>206</v>
      </c>
      <c r="L214" s="10">
        <v>170</v>
      </c>
      <c r="M214" s="10">
        <f t="shared" si="19"/>
        <v>-0.70588235294117652</v>
      </c>
      <c r="N214" s="10">
        <f t="shared" si="20"/>
        <v>1.2117647058823529</v>
      </c>
      <c r="O214" s="4">
        <v>-4.4999999999999997E-3</v>
      </c>
      <c r="P214" s="4">
        <v>-4.4999999999999997E-3</v>
      </c>
      <c r="Q214" s="15"/>
      <c r="R214" t="s">
        <v>326</v>
      </c>
      <c r="S214" t="s">
        <v>325</v>
      </c>
      <c r="T214" t="s">
        <v>327</v>
      </c>
    </row>
    <row r="215" spans="2:20">
      <c r="B215" s="14">
        <v>1</v>
      </c>
      <c r="C215" s="14"/>
      <c r="D215" t="s">
        <v>345</v>
      </c>
      <c r="E215" t="s">
        <v>299</v>
      </c>
      <c r="F215" t="s">
        <v>260</v>
      </c>
      <c r="G215" t="s">
        <v>260</v>
      </c>
      <c r="H215" t="s">
        <v>325</v>
      </c>
      <c r="J215" s="10">
        <v>134</v>
      </c>
      <c r="K215">
        <v>205.73</v>
      </c>
      <c r="L215" s="10">
        <v>150</v>
      </c>
      <c r="M215" s="10">
        <f t="shared" si="19"/>
        <v>-0.77694130768158365</v>
      </c>
      <c r="N215" s="10">
        <f t="shared" si="20"/>
        <v>1.3715333333333333</v>
      </c>
      <c r="O215" s="4">
        <v>4.5999999999999999E-3</v>
      </c>
      <c r="P215" s="4">
        <v>4.5999999999999999E-3</v>
      </c>
      <c r="Q215" s="14"/>
      <c r="R215" t="s">
        <v>326</v>
      </c>
      <c r="S215" t="s">
        <v>327</v>
      </c>
      <c r="T215" t="s">
        <v>327</v>
      </c>
    </row>
    <row r="216" spans="2:20">
      <c r="B216" s="14">
        <v>1</v>
      </c>
      <c r="C216" s="14"/>
      <c r="D216" t="s">
        <v>373</v>
      </c>
      <c r="E216" t="s">
        <v>299</v>
      </c>
      <c r="F216" t="s">
        <v>258</v>
      </c>
      <c r="G216" t="s">
        <v>258</v>
      </c>
      <c r="H216" t="s">
        <v>325</v>
      </c>
      <c r="I216">
        <v>196</v>
      </c>
      <c r="J216" s="10">
        <v>184</v>
      </c>
      <c r="K216">
        <v>322.75</v>
      </c>
      <c r="L216" s="10">
        <v>210</v>
      </c>
      <c r="M216" s="10">
        <f t="shared" si="19"/>
        <v>-0.81261261261261264</v>
      </c>
      <c r="N216" s="10">
        <f t="shared" si="20"/>
        <v>1.536904761904762</v>
      </c>
      <c r="O216" s="4">
        <v>-2.2700000000000001E-2</v>
      </c>
      <c r="P216" s="4">
        <v>-2.2700000000000001E-2</v>
      </c>
      <c r="Q216" s="14"/>
      <c r="R216" t="s">
        <v>325</v>
      </c>
      <c r="S216" t="s">
        <v>327</v>
      </c>
      <c r="T216" t="s">
        <v>329</v>
      </c>
    </row>
    <row r="217" spans="2:20">
      <c r="B217" s="14">
        <v>1</v>
      </c>
      <c r="C217" s="14"/>
      <c r="D217" t="s">
        <v>141</v>
      </c>
      <c r="E217" t="s">
        <v>41</v>
      </c>
      <c r="F217" t="s">
        <v>258</v>
      </c>
      <c r="G217" t="s">
        <v>258</v>
      </c>
      <c r="H217" t="s">
        <v>325</v>
      </c>
      <c r="I217">
        <v>44.52</v>
      </c>
      <c r="J217" s="10">
        <v>41</v>
      </c>
      <c r="K217">
        <v>110.69</v>
      </c>
      <c r="L217" s="10">
        <v>49</v>
      </c>
      <c r="M217" s="10">
        <f t="shared" si="19"/>
        <v>-0.88520591189553732</v>
      </c>
      <c r="N217" s="10">
        <f t="shared" si="20"/>
        <v>2.2589795918367348</v>
      </c>
      <c r="O217" s="4">
        <v>1.7600000000000001E-2</v>
      </c>
      <c r="P217" s="4">
        <v>1.7600000000000001E-2</v>
      </c>
      <c r="Q217" s="14" t="s">
        <v>41</v>
      </c>
      <c r="R217" t="s">
        <v>325</v>
      </c>
      <c r="S217" t="s">
        <v>325</v>
      </c>
      <c r="T217" t="s">
        <v>329</v>
      </c>
    </row>
    <row r="218" spans="2:20">
      <c r="B218" s="14">
        <v>1</v>
      </c>
      <c r="C218" s="14"/>
      <c r="D218" t="s">
        <v>252</v>
      </c>
      <c r="E218" t="s">
        <v>280</v>
      </c>
      <c r="F218" t="s">
        <v>258</v>
      </c>
      <c r="G218" t="s">
        <v>258</v>
      </c>
      <c r="H218" t="s">
        <v>326</v>
      </c>
      <c r="J218" s="10">
        <v>115</v>
      </c>
      <c r="K218">
        <v>96.75</v>
      </c>
      <c r="L218" s="10">
        <v>125</v>
      </c>
      <c r="M218" s="10">
        <f t="shared" si="19"/>
        <v>-1.547945205479452</v>
      </c>
      <c r="N218" s="10">
        <f t="shared" si="20"/>
        <v>0.77400000000000002</v>
      </c>
      <c r="O218" s="4">
        <v>3.7900000000000003E-2</v>
      </c>
      <c r="P218" s="4">
        <v>3.7900000000000003E-2</v>
      </c>
      <c r="Q218" s="14"/>
      <c r="R218" t="s">
        <v>326</v>
      </c>
      <c r="S218" t="s">
        <v>326</v>
      </c>
      <c r="T218" t="s">
        <v>327</v>
      </c>
    </row>
    <row r="219" spans="2:20">
      <c r="B219" s="14">
        <v>1</v>
      </c>
      <c r="C219" s="14"/>
      <c r="D219" t="s">
        <v>122</v>
      </c>
      <c r="E219" t="s">
        <v>41</v>
      </c>
      <c r="F219" t="s">
        <v>258</v>
      </c>
      <c r="G219" t="s">
        <v>258</v>
      </c>
      <c r="H219" t="s">
        <v>325</v>
      </c>
      <c r="I219">
        <v>98</v>
      </c>
      <c r="J219" s="10">
        <v>95</v>
      </c>
      <c r="K219">
        <v>236.06</v>
      </c>
      <c r="L219" s="10">
        <v>105</v>
      </c>
      <c r="M219" s="10">
        <f t="shared" si="19"/>
        <v>-0.92910818091592229</v>
      </c>
      <c r="N219" s="10">
        <f t="shared" si="20"/>
        <v>2.2481904761904761</v>
      </c>
      <c r="O219" s="4">
        <v>8.8999999999999999E-3</v>
      </c>
      <c r="P219" s="4">
        <v>8.8999999999999999E-3</v>
      </c>
      <c r="Q219" s="14" t="s">
        <v>145</v>
      </c>
      <c r="R219" t="s">
        <v>325</v>
      </c>
      <c r="S219" t="s">
        <v>325</v>
      </c>
      <c r="T219" t="s">
        <v>329</v>
      </c>
    </row>
    <row r="220" spans="2:20">
      <c r="B220" s="14">
        <v>1</v>
      </c>
      <c r="C220" s="14"/>
      <c r="D220" t="s">
        <v>305</v>
      </c>
      <c r="E220" t="s">
        <v>265</v>
      </c>
      <c r="F220" t="s">
        <v>261</v>
      </c>
      <c r="G220" t="s">
        <v>261</v>
      </c>
      <c r="H220" t="s">
        <v>325</v>
      </c>
      <c r="J220" s="10">
        <v>40</v>
      </c>
      <c r="K220">
        <v>64.69</v>
      </c>
      <c r="L220" s="10">
        <v>45</v>
      </c>
      <c r="M220" s="10">
        <f t="shared" si="19"/>
        <v>-0.79748886188740375</v>
      </c>
      <c r="N220" s="10">
        <f t="shared" si="20"/>
        <v>1.4375555555555555</v>
      </c>
      <c r="O220" s="4">
        <v>2.6599999999999999E-2</v>
      </c>
      <c r="P220" s="4">
        <v>2.6599999999999999E-2</v>
      </c>
      <c r="Q220" s="14" t="s">
        <v>118</v>
      </c>
      <c r="R220" t="s">
        <v>325</v>
      </c>
      <c r="S220" t="s">
        <v>325</v>
      </c>
      <c r="T220" t="s">
        <v>327</v>
      </c>
    </row>
    <row r="221" spans="2:20">
      <c r="B221" s="14">
        <v>1</v>
      </c>
      <c r="C221" s="14"/>
      <c r="D221" t="s">
        <v>352</v>
      </c>
      <c r="E221" t="s">
        <v>356</v>
      </c>
      <c r="F221" t="s">
        <v>257</v>
      </c>
      <c r="G221" t="s">
        <v>257</v>
      </c>
      <c r="H221" t="s">
        <v>325</v>
      </c>
      <c r="I221" s="8"/>
      <c r="J221" s="11">
        <v>87</v>
      </c>
      <c r="K221">
        <v>128.13</v>
      </c>
      <c r="L221" s="10">
        <v>98</v>
      </c>
      <c r="M221" s="10">
        <f t="shared" si="19"/>
        <v>-0.73255531242402139</v>
      </c>
      <c r="N221" s="10">
        <f t="shared" si="20"/>
        <v>1.3074489795918367</v>
      </c>
      <c r="O221" s="4">
        <v>2.5700000000000001E-2</v>
      </c>
      <c r="P221" s="4">
        <v>2.5700000000000001E-2</v>
      </c>
      <c r="Q221" s="14"/>
      <c r="R221" t="s">
        <v>325</v>
      </c>
      <c r="S221" t="s">
        <v>326</v>
      </c>
      <c r="T221" t="s">
        <v>327</v>
      </c>
    </row>
    <row r="222" spans="2:20">
      <c r="B222" s="14">
        <v>1</v>
      </c>
      <c r="C222" s="14"/>
      <c r="D222" t="s">
        <v>78</v>
      </c>
      <c r="E222" t="s">
        <v>136</v>
      </c>
      <c r="F222" t="s">
        <v>258</v>
      </c>
      <c r="G222" t="s">
        <v>261</v>
      </c>
      <c r="H222" t="s">
        <v>326</v>
      </c>
      <c r="I222">
        <v>18.5</v>
      </c>
      <c r="J222" s="10">
        <v>18</v>
      </c>
      <c r="K222">
        <v>41.27</v>
      </c>
      <c r="L222" s="10">
        <v>20</v>
      </c>
      <c r="M222" s="10">
        <f t="shared" si="19"/>
        <v>-0.91405242801890851</v>
      </c>
      <c r="N222" s="10"/>
      <c r="O222" s="4">
        <v>2.86E-2</v>
      </c>
      <c r="P222" s="4">
        <v>2.86E-2</v>
      </c>
      <c r="Q222" s="15" t="s">
        <v>100</v>
      </c>
      <c r="R222" t="s">
        <v>327</v>
      </c>
      <c r="S222" t="s">
        <v>326</v>
      </c>
      <c r="T222" t="s">
        <v>329</v>
      </c>
    </row>
    <row r="223" spans="2:20">
      <c r="B223" s="14">
        <v>1</v>
      </c>
      <c r="C223" s="14"/>
      <c r="D223" t="s">
        <v>101</v>
      </c>
      <c r="E223" t="s">
        <v>256</v>
      </c>
      <c r="F223" t="s">
        <v>261</v>
      </c>
      <c r="G223" t="s">
        <v>257</v>
      </c>
      <c r="H223" t="s">
        <v>326</v>
      </c>
      <c r="J223" s="10">
        <v>8.6999999999999993</v>
      </c>
      <c r="K223">
        <v>13.57</v>
      </c>
      <c r="L223" s="10">
        <v>11</v>
      </c>
      <c r="M223" s="10">
        <f t="shared" si="19"/>
        <v>-0.52772073921971252</v>
      </c>
      <c r="N223" s="10">
        <f t="shared" ref="N223:N230" si="21">K223/L223</f>
        <v>1.2336363636363636</v>
      </c>
      <c r="O223" s="4">
        <v>3.4000000000000002E-2</v>
      </c>
      <c r="P223" s="4">
        <v>3.4000000000000002E-2</v>
      </c>
      <c r="Q223" s="14" t="s">
        <v>97</v>
      </c>
      <c r="R223" t="s">
        <v>326</v>
      </c>
      <c r="S223" t="s">
        <v>326</v>
      </c>
      <c r="T223" t="s">
        <v>329</v>
      </c>
    </row>
    <row r="224" spans="2:20">
      <c r="B224" s="14">
        <v>1</v>
      </c>
      <c r="C224" s="14"/>
      <c r="D224" t="s">
        <v>179</v>
      </c>
      <c r="E224" t="s">
        <v>271</v>
      </c>
      <c r="F224" t="s">
        <v>261</v>
      </c>
      <c r="G224" t="s">
        <v>261</v>
      </c>
      <c r="H224" t="s">
        <v>325</v>
      </c>
      <c r="J224" s="10">
        <v>350</v>
      </c>
      <c r="K224">
        <v>886.09</v>
      </c>
      <c r="L224" s="10">
        <v>400</v>
      </c>
      <c r="M224" s="10">
        <f t="shared" si="19"/>
        <v>-0.90673207856889704</v>
      </c>
      <c r="N224" s="10">
        <f t="shared" si="21"/>
        <v>2.2152250000000002</v>
      </c>
      <c r="O224" s="4">
        <v>2.0500000000000001E-2</v>
      </c>
      <c r="P224" s="4">
        <v>2.0500000000000001E-2</v>
      </c>
      <c r="Q224" s="14" t="s">
        <v>75</v>
      </c>
      <c r="R224" t="s">
        <v>325</v>
      </c>
      <c r="S224" t="s">
        <v>327</v>
      </c>
      <c r="T224" t="s">
        <v>329</v>
      </c>
    </row>
    <row r="225" spans="2:20">
      <c r="B225" s="14">
        <v>1</v>
      </c>
      <c r="C225" s="14"/>
      <c r="D225" t="s">
        <v>159</v>
      </c>
      <c r="E225" t="s">
        <v>136</v>
      </c>
      <c r="F225" t="s">
        <v>257</v>
      </c>
      <c r="G225" t="s">
        <v>257</v>
      </c>
      <c r="H225" t="s">
        <v>326</v>
      </c>
      <c r="I225" s="8"/>
      <c r="J225" s="11">
        <v>265</v>
      </c>
      <c r="K225">
        <v>347.57</v>
      </c>
      <c r="L225" s="10">
        <v>300</v>
      </c>
      <c r="M225" s="10">
        <f t="shared" si="19"/>
        <v>-0.5761172338621775</v>
      </c>
      <c r="N225" s="10">
        <f t="shared" si="21"/>
        <v>1.1585666666666667</v>
      </c>
      <c r="O225" s="4">
        <v>1.52E-2</v>
      </c>
      <c r="P225" s="4">
        <v>1.52E-2</v>
      </c>
      <c r="Q225" s="14" t="s">
        <v>136</v>
      </c>
      <c r="R225" t="s">
        <v>325</v>
      </c>
      <c r="S225" t="s">
        <v>325</v>
      </c>
      <c r="T225" t="s">
        <v>327</v>
      </c>
    </row>
    <row r="226" spans="2:20">
      <c r="B226" s="14">
        <v>1</v>
      </c>
      <c r="C226" s="14"/>
      <c r="D226" t="s">
        <v>251</v>
      </c>
      <c r="E226" t="s">
        <v>255</v>
      </c>
      <c r="F226" t="s">
        <v>262</v>
      </c>
      <c r="G226" t="s">
        <v>262</v>
      </c>
      <c r="H226" t="s">
        <v>325</v>
      </c>
      <c r="J226" s="10">
        <v>43</v>
      </c>
      <c r="K226">
        <v>27.45</v>
      </c>
      <c r="L226" s="10">
        <v>60</v>
      </c>
      <c r="M226" s="10">
        <f t="shared" si="19"/>
        <v>-2.093247588424437</v>
      </c>
      <c r="N226" s="10">
        <f t="shared" si="21"/>
        <v>0.45749999999999996</v>
      </c>
      <c r="O226" s="4">
        <v>1.4500000000000001E-2</v>
      </c>
      <c r="P226" s="4">
        <v>1.4500000000000001E-2</v>
      </c>
      <c r="Q226" s="14"/>
      <c r="R226" t="s">
        <v>327</v>
      </c>
      <c r="S226" t="s">
        <v>325</v>
      </c>
      <c r="T226" t="s">
        <v>329</v>
      </c>
    </row>
    <row r="227" spans="2:20">
      <c r="B227" s="14">
        <v>1</v>
      </c>
      <c r="C227" s="14"/>
      <c r="D227" t="s">
        <v>187</v>
      </c>
      <c r="E227" t="s">
        <v>283</v>
      </c>
      <c r="F227" t="s">
        <v>260</v>
      </c>
      <c r="G227" t="s">
        <v>260</v>
      </c>
      <c r="H227" t="s">
        <v>325</v>
      </c>
      <c r="J227" s="10">
        <v>80</v>
      </c>
      <c r="K227">
        <v>27.78</v>
      </c>
      <c r="L227" s="10">
        <v>120</v>
      </c>
      <c r="M227" s="10">
        <f t="shared" si="19"/>
        <v>-1.7659900421294523</v>
      </c>
      <c r="N227" s="10">
        <f t="shared" si="21"/>
        <v>0.23150000000000001</v>
      </c>
      <c r="O227" s="4">
        <v>3.2500000000000001E-2</v>
      </c>
      <c r="P227" s="4">
        <v>3.2500000000000001E-2</v>
      </c>
      <c r="Q227" s="14" t="s">
        <v>188</v>
      </c>
      <c r="R227" t="s">
        <v>327</v>
      </c>
      <c r="S227" t="s">
        <v>326</v>
      </c>
      <c r="T227" t="s">
        <v>329</v>
      </c>
    </row>
    <row r="228" spans="2:20">
      <c r="B228" s="14">
        <v>1</v>
      </c>
      <c r="C228" s="14"/>
      <c r="D228" t="s">
        <v>431</v>
      </c>
      <c r="E228" t="s">
        <v>267</v>
      </c>
      <c r="F228" t="s">
        <v>260</v>
      </c>
      <c r="G228" t="s">
        <v>258</v>
      </c>
      <c r="H228" t="s">
        <v>325</v>
      </c>
      <c r="I228" s="8">
        <v>250</v>
      </c>
      <c r="J228" s="11">
        <v>240</v>
      </c>
      <c r="K228">
        <v>290.68</v>
      </c>
      <c r="L228" s="10">
        <v>280</v>
      </c>
      <c r="M228" s="10">
        <f t="shared" si="19"/>
        <v>-0.21073401736385172</v>
      </c>
      <c r="N228" s="10">
        <f t="shared" si="21"/>
        <v>1.0381428571428573</v>
      </c>
      <c r="O228" s="4">
        <v>-3.5999999999999997E-2</v>
      </c>
      <c r="P228" s="4">
        <v>-3.5999999999999997E-2</v>
      </c>
      <c r="Q228" s="33"/>
      <c r="R228" t="s">
        <v>325</v>
      </c>
      <c r="S228" t="s">
        <v>325</v>
      </c>
      <c r="T228" t="s">
        <v>327</v>
      </c>
    </row>
    <row r="229" spans="2:20">
      <c r="B229" s="14">
        <v>1</v>
      </c>
      <c r="C229" s="14"/>
      <c r="D229" t="s">
        <v>403</v>
      </c>
      <c r="E229" t="s">
        <v>417</v>
      </c>
      <c r="F229" t="s">
        <v>257</v>
      </c>
      <c r="G229" t="s">
        <v>257</v>
      </c>
      <c r="H229" t="s">
        <v>325</v>
      </c>
      <c r="I229" s="8"/>
      <c r="J229" s="11">
        <v>23</v>
      </c>
      <c r="K229">
        <v>23.16</v>
      </c>
      <c r="L229" s="10">
        <v>26</v>
      </c>
      <c r="M229" s="10">
        <f t="shared" si="19"/>
        <v>17.749999999999982</v>
      </c>
      <c r="N229" s="10">
        <f t="shared" si="21"/>
        <v>0.89076923076923076</v>
      </c>
      <c r="O229" s="4">
        <v>2.1399999999999999E-2</v>
      </c>
      <c r="P229" s="4">
        <v>2.1399999999999999E-2</v>
      </c>
      <c r="Q229" s="15" t="s">
        <v>404</v>
      </c>
      <c r="R229" t="s">
        <v>326</v>
      </c>
      <c r="S229" t="s">
        <v>327</v>
      </c>
      <c r="T229" t="s">
        <v>327</v>
      </c>
    </row>
    <row r="230" spans="2:20">
      <c r="B230" s="14">
        <v>1</v>
      </c>
      <c r="C230" s="14"/>
      <c r="D230" t="s">
        <v>528</v>
      </c>
      <c r="E230" t="s">
        <v>529</v>
      </c>
      <c r="F230" t="s">
        <v>261</v>
      </c>
      <c r="G230" t="s">
        <v>261</v>
      </c>
      <c r="H230" t="s">
        <v>326</v>
      </c>
      <c r="J230" s="10">
        <v>20</v>
      </c>
      <c r="K230">
        <v>36.46</v>
      </c>
      <c r="L230" s="10">
        <v>35</v>
      </c>
      <c r="M230" s="10">
        <f t="shared" si="19"/>
        <v>-8.8699878493317175E-2</v>
      </c>
      <c r="N230" s="10">
        <f t="shared" si="21"/>
        <v>1.0417142857142858</v>
      </c>
      <c r="O230" s="4">
        <v>3.8999999999999998E-3</v>
      </c>
      <c r="P230" s="4">
        <v>3.8999999999999998E-3</v>
      </c>
      <c r="Q230" s="14"/>
      <c r="R230" t="s">
        <v>325</v>
      </c>
      <c r="S230" t="s">
        <v>325</v>
      </c>
      <c r="T230" t="s">
        <v>327</v>
      </c>
    </row>
    <row r="231" spans="2:20">
      <c r="B231" s="14">
        <v>1</v>
      </c>
      <c r="C231" s="14"/>
      <c r="D231" t="s">
        <v>412</v>
      </c>
      <c r="E231" t="s">
        <v>417</v>
      </c>
      <c r="F231" t="s">
        <v>257</v>
      </c>
      <c r="G231" t="s">
        <v>257</v>
      </c>
      <c r="H231" t="s">
        <v>325</v>
      </c>
      <c r="J231" s="10">
        <v>85</v>
      </c>
      <c r="K231">
        <v>66.569999999999993</v>
      </c>
      <c r="L231" s="10">
        <v>120</v>
      </c>
      <c r="M231" s="10">
        <f t="shared" si="19"/>
        <v>-2.8990775908844268</v>
      </c>
      <c r="N231" s="10">
        <f>I231/L231</f>
        <v>0</v>
      </c>
      <c r="O231" s="4">
        <v>8.9999999999999998E-4</v>
      </c>
      <c r="P231" s="4">
        <v>8.9999999999999998E-4</v>
      </c>
      <c r="Q231" s="14"/>
      <c r="R231" t="s">
        <v>326</v>
      </c>
      <c r="S231" t="s">
        <v>327</v>
      </c>
      <c r="T231" t="s">
        <v>327</v>
      </c>
    </row>
    <row r="232" spans="2:20">
      <c r="B232" s="14">
        <v>1</v>
      </c>
      <c r="C232" s="14"/>
      <c r="D232" t="s">
        <v>62</v>
      </c>
      <c r="E232" t="s">
        <v>292</v>
      </c>
      <c r="F232" t="s">
        <v>263</v>
      </c>
      <c r="G232" t="s">
        <v>263</v>
      </c>
      <c r="H232" t="s">
        <v>325</v>
      </c>
      <c r="J232" s="10">
        <v>750</v>
      </c>
      <c r="K232">
        <v>1041.94</v>
      </c>
      <c r="L232" s="10">
        <v>850</v>
      </c>
      <c r="M232" s="10">
        <f t="shared" si="19"/>
        <v>-0.65746386243748722</v>
      </c>
      <c r="N232" s="10">
        <f t="shared" ref="N232:N237" si="22">K232/L232</f>
        <v>1.2258117647058824</v>
      </c>
      <c r="O232" s="4">
        <v>1.3299999999999999E-2</v>
      </c>
      <c r="P232" s="4">
        <v>1.3299999999999999E-2</v>
      </c>
      <c r="Q232" s="14" t="s">
        <v>145</v>
      </c>
      <c r="R232" t="s">
        <v>325</v>
      </c>
      <c r="S232" t="s">
        <v>325</v>
      </c>
      <c r="T232" t="s">
        <v>327</v>
      </c>
    </row>
    <row r="233" spans="2:20">
      <c r="B233" s="14">
        <v>1</v>
      </c>
      <c r="C233" s="14"/>
      <c r="D233" t="s">
        <v>533</v>
      </c>
      <c r="E233" t="s">
        <v>534</v>
      </c>
      <c r="F233" t="s">
        <v>259</v>
      </c>
      <c r="G233" t="s">
        <v>259</v>
      </c>
      <c r="H233" t="s">
        <v>326</v>
      </c>
      <c r="I233" s="7"/>
      <c r="J233" s="10"/>
      <c r="K233">
        <v>54.34</v>
      </c>
      <c r="L233" s="10"/>
      <c r="M233" s="10"/>
      <c r="N233" s="10" t="e">
        <f t="shared" si="22"/>
        <v>#DIV/0!</v>
      </c>
      <c r="O233" s="4">
        <v>-7.4000000000000003E-3</v>
      </c>
      <c r="P233" s="4">
        <v>-7.4000000000000003E-3</v>
      </c>
      <c r="Q233" s="14"/>
      <c r="R233" t="s">
        <v>326</v>
      </c>
      <c r="S233" t="s">
        <v>326</v>
      </c>
      <c r="T233" t="s">
        <v>327</v>
      </c>
    </row>
    <row r="234" spans="2:20">
      <c r="B234" s="14">
        <v>1</v>
      </c>
      <c r="C234" s="14"/>
      <c r="D234" t="s">
        <v>25</v>
      </c>
      <c r="E234" t="s">
        <v>300</v>
      </c>
      <c r="F234" t="s">
        <v>259</v>
      </c>
      <c r="G234" t="s">
        <v>259</v>
      </c>
      <c r="H234" t="s">
        <v>325</v>
      </c>
      <c r="J234" s="10">
        <v>63.6</v>
      </c>
      <c r="K234">
        <v>69.430000000000007</v>
      </c>
      <c r="L234" s="10">
        <v>68.19</v>
      </c>
      <c r="M234" s="10">
        <f t="shared" ref="M234:M244" si="23" xml:space="preserve"> (L234 - K234)/(K234-J234)</f>
        <v>-0.21269296740994992</v>
      </c>
      <c r="N234" s="10">
        <f t="shared" si="22"/>
        <v>1.0181844845285233</v>
      </c>
      <c r="O234" s="4">
        <v>8.2000000000000007E-3</v>
      </c>
      <c r="P234" s="4">
        <v>8.2000000000000007E-3</v>
      </c>
      <c r="Q234" s="15" t="s">
        <v>196</v>
      </c>
      <c r="R234" t="s">
        <v>325</v>
      </c>
      <c r="S234" t="s">
        <v>325</v>
      </c>
      <c r="T234" t="s">
        <v>329</v>
      </c>
    </row>
    <row r="235" spans="2:20">
      <c r="B235" s="14">
        <v>1</v>
      </c>
      <c r="C235" s="14"/>
      <c r="D235" t="s">
        <v>488</v>
      </c>
      <c r="E235" t="s">
        <v>301</v>
      </c>
      <c r="F235" t="s">
        <v>262</v>
      </c>
      <c r="G235"/>
      <c r="H235" t="s">
        <v>326</v>
      </c>
      <c r="I235" s="8"/>
      <c r="J235" s="11">
        <v>49</v>
      </c>
      <c r="K235">
        <v>76.489999999999995</v>
      </c>
      <c r="L235" s="10">
        <v>52.5</v>
      </c>
      <c r="M235" s="10">
        <f t="shared" si="23"/>
        <v>-0.87268097489996355</v>
      </c>
      <c r="N235" s="10">
        <f t="shared" si="22"/>
        <v>1.4569523809523808</v>
      </c>
      <c r="O235" s="4">
        <v>2.7799999999999998E-2</v>
      </c>
      <c r="P235" s="4">
        <v>2.7799999999999998E-2</v>
      </c>
      <c r="Q235" s="15"/>
      <c r="R235" t="s">
        <v>326</v>
      </c>
      <c r="S235" t="s">
        <v>326</v>
      </c>
      <c r="T235" t="s">
        <v>327</v>
      </c>
    </row>
    <row r="236" spans="2:20">
      <c r="B236" s="14">
        <v>1</v>
      </c>
      <c r="C236" s="14"/>
      <c r="D236" t="s">
        <v>18</v>
      </c>
      <c r="E236" t="s">
        <v>295</v>
      </c>
      <c r="F236" t="s">
        <v>258</v>
      </c>
      <c r="G236" t="s">
        <v>258</v>
      </c>
      <c r="H236" t="s">
        <v>325</v>
      </c>
      <c r="J236" s="10">
        <v>39.06</v>
      </c>
      <c r="K236">
        <v>60.11</v>
      </c>
      <c r="L236" s="10">
        <v>45</v>
      </c>
      <c r="M236" s="10">
        <f t="shared" si="23"/>
        <v>-0.71781472684085512</v>
      </c>
      <c r="N236" s="10">
        <f t="shared" si="22"/>
        <v>1.3357777777777777</v>
      </c>
      <c r="O236" s="4">
        <v>4.3E-3</v>
      </c>
      <c r="P236" s="4">
        <v>4.3E-3</v>
      </c>
      <c r="Q236" s="14" t="s">
        <v>197</v>
      </c>
      <c r="R236" t="s">
        <v>327</v>
      </c>
      <c r="S236" t="s">
        <v>326</v>
      </c>
      <c r="T236" t="s">
        <v>327</v>
      </c>
    </row>
    <row r="237" spans="2:20">
      <c r="B237" s="14">
        <v>1</v>
      </c>
      <c r="C237" s="14"/>
      <c r="D237" t="s">
        <v>540</v>
      </c>
      <c r="E237" t="s">
        <v>301</v>
      </c>
      <c r="F237" t="s">
        <v>260</v>
      </c>
      <c r="G237" t="s">
        <v>260</v>
      </c>
      <c r="H237" t="s">
        <v>325</v>
      </c>
      <c r="J237" s="10">
        <v>37</v>
      </c>
      <c r="K237">
        <v>55.64</v>
      </c>
      <c r="L237" s="10">
        <v>42</v>
      </c>
      <c r="M237" s="10">
        <f t="shared" si="23"/>
        <v>-0.73175965665236054</v>
      </c>
      <c r="N237" s="10">
        <f t="shared" si="22"/>
        <v>1.3247619047619048</v>
      </c>
      <c r="O237" s="4">
        <v>4.3E-3</v>
      </c>
      <c r="P237" s="4">
        <v>4.3E-3</v>
      </c>
      <c r="Q237" s="14"/>
      <c r="R237" t="s">
        <v>325</v>
      </c>
      <c r="S237" t="s">
        <v>325</v>
      </c>
      <c r="T237" t="s">
        <v>327</v>
      </c>
    </row>
    <row r="238" spans="2:20">
      <c r="B238" s="14">
        <v>1</v>
      </c>
      <c r="C238" s="14"/>
      <c r="D238" t="s">
        <v>17</v>
      </c>
      <c r="E238" t="s">
        <v>295</v>
      </c>
      <c r="F238" t="s">
        <v>258</v>
      </c>
      <c r="G238"/>
      <c r="H238" t="s">
        <v>326</v>
      </c>
      <c r="J238" s="10">
        <v>357.04</v>
      </c>
      <c r="K238">
        <v>648.47</v>
      </c>
      <c r="L238" s="10">
        <v>410</v>
      </c>
      <c r="M238" s="10">
        <f t="shared" si="23"/>
        <v>-0.81827540061078141</v>
      </c>
      <c r="N238" s="10">
        <f>I238/L238</f>
        <v>0</v>
      </c>
      <c r="O238" s="4">
        <v>5.9999999999999995E-4</v>
      </c>
      <c r="P238" s="4">
        <v>5.9999999999999995E-4</v>
      </c>
      <c r="Q238" s="14"/>
      <c r="R238" t="s">
        <v>327</v>
      </c>
      <c r="S238" t="s">
        <v>327</v>
      </c>
      <c r="T238" t="s">
        <v>327</v>
      </c>
    </row>
    <row r="239" spans="2:20">
      <c r="B239" s="14">
        <v>1</v>
      </c>
      <c r="C239" s="14"/>
      <c r="D239" t="s">
        <v>16</v>
      </c>
      <c r="E239" t="s">
        <v>296</v>
      </c>
      <c r="F239" t="s">
        <v>260</v>
      </c>
      <c r="G239" t="s">
        <v>260</v>
      </c>
      <c r="H239" t="s">
        <v>325</v>
      </c>
      <c r="J239" s="10">
        <v>37.47</v>
      </c>
      <c r="K239">
        <v>62.42</v>
      </c>
      <c r="L239" s="10">
        <v>44</v>
      </c>
      <c r="M239" s="10">
        <f t="shared" si="23"/>
        <v>-0.73827655310621243</v>
      </c>
      <c r="N239" s="10">
        <f>K239/L239</f>
        <v>1.4186363636363637</v>
      </c>
      <c r="O239" s="4">
        <v>7.4999999999999997E-3</v>
      </c>
      <c r="P239" s="4">
        <v>7.4999999999999997E-3</v>
      </c>
      <c r="Q239" s="14" t="s">
        <v>74</v>
      </c>
      <c r="R239" t="s">
        <v>325</v>
      </c>
      <c r="S239" t="s">
        <v>327</v>
      </c>
      <c r="T239" t="s">
        <v>329</v>
      </c>
    </row>
    <row r="240" spans="2:20">
      <c r="B240" s="14">
        <v>1</v>
      </c>
      <c r="C240" s="14"/>
      <c r="D240" t="s">
        <v>15</v>
      </c>
      <c r="E240" t="s">
        <v>296</v>
      </c>
      <c r="F240" t="s">
        <v>260</v>
      </c>
      <c r="G240" t="s">
        <v>260</v>
      </c>
      <c r="H240" t="s">
        <v>325</v>
      </c>
      <c r="J240" s="10">
        <v>125</v>
      </c>
      <c r="K240">
        <v>177.12</v>
      </c>
      <c r="L240" s="10">
        <v>140</v>
      </c>
      <c r="M240" s="11">
        <f t="shared" si="23"/>
        <v>-0.7122026093630085</v>
      </c>
      <c r="N240" s="10">
        <f>K240/L240</f>
        <v>1.2651428571428571</v>
      </c>
      <c r="O240" s="4">
        <v>2.2499999999999999E-2</v>
      </c>
      <c r="P240" s="4">
        <v>2.2499999999999999E-2</v>
      </c>
      <c r="Q240" s="14"/>
      <c r="R240" t="s">
        <v>325</v>
      </c>
      <c r="S240" t="s">
        <v>327</v>
      </c>
      <c r="T240" t="s">
        <v>329</v>
      </c>
    </row>
    <row r="241" spans="2:20">
      <c r="B241" s="14">
        <v>1</v>
      </c>
      <c r="C241" s="14"/>
      <c r="D241" t="s">
        <v>369</v>
      </c>
      <c r="E241" t="s">
        <v>451</v>
      </c>
      <c r="F241" t="s">
        <v>264</v>
      </c>
      <c r="G241" t="s">
        <v>264</v>
      </c>
      <c r="H241" t="s">
        <v>326</v>
      </c>
      <c r="I241" s="8"/>
      <c r="J241" s="11">
        <v>83</v>
      </c>
      <c r="K241">
        <v>85.86</v>
      </c>
      <c r="L241" s="10">
        <v>95</v>
      </c>
      <c r="M241" s="10">
        <f t="shared" si="23"/>
        <v>3.1958041958041967</v>
      </c>
      <c r="N241" s="10"/>
      <c r="O241" s="4">
        <v>5.4999999999999997E-3</v>
      </c>
      <c r="P241" s="4">
        <v>5.4999999999999997E-3</v>
      </c>
      <c r="Q241" s="15"/>
      <c r="R241" t="s">
        <v>325</v>
      </c>
      <c r="S241" t="s">
        <v>325</v>
      </c>
      <c r="T241" t="s">
        <v>329</v>
      </c>
    </row>
    <row r="242" spans="2:20">
      <c r="B242" s="14">
        <v>1</v>
      </c>
      <c r="C242" s="14"/>
      <c r="D242" t="s">
        <v>32</v>
      </c>
      <c r="E242" t="s">
        <v>296</v>
      </c>
      <c r="F242" t="s">
        <v>260</v>
      </c>
      <c r="G242" t="s">
        <v>260</v>
      </c>
      <c r="H242" t="s">
        <v>325</v>
      </c>
      <c r="I242" s="8"/>
      <c r="J242" s="11">
        <v>82</v>
      </c>
      <c r="K242">
        <v>113.37</v>
      </c>
      <c r="L242" s="10">
        <v>100</v>
      </c>
      <c r="M242" s="10">
        <f t="shared" si="23"/>
        <v>-0.4262033790245458</v>
      </c>
      <c r="N242" s="10">
        <f t="shared" ref="N242:N267" si="24">K242/L242</f>
        <v>1.1337000000000002</v>
      </c>
      <c r="O242" s="4">
        <v>2.7900000000000001E-2</v>
      </c>
      <c r="P242" s="4">
        <v>2.7900000000000001E-2</v>
      </c>
      <c r="Q242" s="15"/>
      <c r="R242" t="s">
        <v>325</v>
      </c>
      <c r="S242" t="s">
        <v>325</v>
      </c>
      <c r="T242" t="s">
        <v>327</v>
      </c>
    </row>
    <row r="243" spans="2:20">
      <c r="B243" s="14">
        <v>1</v>
      </c>
      <c r="C243" s="14"/>
      <c r="D243" t="s">
        <v>157</v>
      </c>
      <c r="E243" t="s">
        <v>416</v>
      </c>
      <c r="F243" t="s">
        <v>257</v>
      </c>
      <c r="G243" t="s">
        <v>257</v>
      </c>
      <c r="H243" t="s">
        <v>325</v>
      </c>
      <c r="J243" s="10">
        <v>68.56</v>
      </c>
      <c r="K243">
        <v>97.07</v>
      </c>
      <c r="L243" s="10">
        <v>75.239999999999995</v>
      </c>
      <c r="M243" s="10">
        <f t="shared" si="23"/>
        <v>-0.76569624693090166</v>
      </c>
      <c r="N243" s="10">
        <f t="shared" si="24"/>
        <v>1.2901382243487507</v>
      </c>
      <c r="O243" s="4">
        <v>2.2100000000000002E-2</v>
      </c>
      <c r="P243" s="4">
        <v>2.2100000000000002E-2</v>
      </c>
      <c r="Q243" s="14" t="s">
        <v>68</v>
      </c>
      <c r="R243" t="s">
        <v>325</v>
      </c>
      <c r="S243" t="s">
        <v>327</v>
      </c>
      <c r="T243" t="s">
        <v>329</v>
      </c>
    </row>
    <row r="244" spans="2:20">
      <c r="B244" s="14">
        <v>1</v>
      </c>
      <c r="C244" s="13">
        <v>14</v>
      </c>
      <c r="D244" t="s">
        <v>37</v>
      </c>
      <c r="E244" t="s">
        <v>265</v>
      </c>
      <c r="F244" t="s">
        <v>257</v>
      </c>
      <c r="G244" t="s">
        <v>262</v>
      </c>
      <c r="H244" t="s">
        <v>325</v>
      </c>
      <c r="J244" s="10">
        <v>30.51</v>
      </c>
      <c r="K244">
        <v>72.41</v>
      </c>
      <c r="L244" s="10">
        <v>34</v>
      </c>
      <c r="M244" s="10">
        <f t="shared" si="23"/>
        <v>-0.91670644391408129</v>
      </c>
      <c r="N244" s="10">
        <f t="shared" si="24"/>
        <v>2.1297058823529409</v>
      </c>
      <c r="O244" s="4">
        <v>1.6199999999999999E-2</v>
      </c>
      <c r="P244" s="4">
        <v>1.6199999999999999E-2</v>
      </c>
      <c r="Q244" s="14" t="s">
        <v>241</v>
      </c>
      <c r="R244" t="s">
        <v>325</v>
      </c>
      <c r="S244" t="s">
        <v>325</v>
      </c>
      <c r="T244" t="s">
        <v>327</v>
      </c>
    </row>
    <row r="245" spans="2:20">
      <c r="B245" s="14">
        <v>1</v>
      </c>
      <c r="C245" s="14"/>
      <c r="D245" t="s">
        <v>466</v>
      </c>
      <c r="E245" t="s">
        <v>442</v>
      </c>
      <c r="F245"/>
      <c r="G245"/>
      <c r="H245" t="s">
        <v>710</v>
      </c>
      <c r="J245" s="10"/>
      <c r="K245">
        <v>41.73</v>
      </c>
      <c r="L245" s="10"/>
      <c r="M245" s="10"/>
      <c r="N245" s="10" t="e">
        <f t="shared" si="24"/>
        <v>#DIV/0!</v>
      </c>
      <c r="O245" s="28">
        <v>0</v>
      </c>
      <c r="P245" s="28">
        <v>0</v>
      </c>
      <c r="Q245" s="14"/>
      <c r="R245" t="s">
        <v>710</v>
      </c>
      <c r="S245" t="s">
        <v>710</v>
      </c>
      <c r="T245" t="s">
        <v>710</v>
      </c>
    </row>
    <row r="246" spans="2:20">
      <c r="B246" s="14">
        <v>1</v>
      </c>
      <c r="C246" s="14"/>
      <c r="D246" t="s">
        <v>243</v>
      </c>
      <c r="E246" t="s">
        <v>299</v>
      </c>
      <c r="F246" t="s">
        <v>260</v>
      </c>
      <c r="G246" t="s">
        <v>260</v>
      </c>
      <c r="H246" t="s">
        <v>325</v>
      </c>
      <c r="J246" s="10">
        <v>165</v>
      </c>
      <c r="K246">
        <v>197.99</v>
      </c>
      <c r="L246" s="10">
        <v>180</v>
      </c>
      <c r="M246" s="10">
        <f t="shared" ref="M246:M259" si="25" xml:space="preserve"> (L246 - K246)/(K246-J246)</f>
        <v>-0.54531676265535023</v>
      </c>
      <c r="N246" s="10">
        <f t="shared" si="24"/>
        <v>1.0999444444444444</v>
      </c>
      <c r="O246" s="4">
        <v>-2.0899999999999998E-2</v>
      </c>
      <c r="P246" s="4">
        <v>-2.0899999999999998E-2</v>
      </c>
      <c r="Q246" s="14"/>
      <c r="R246" t="s">
        <v>325</v>
      </c>
      <c r="S246" t="s">
        <v>325</v>
      </c>
      <c r="T246" t="s">
        <v>329</v>
      </c>
    </row>
    <row r="247" spans="2:20">
      <c r="B247" s="14">
        <v>1</v>
      </c>
      <c r="C247" s="14"/>
      <c r="D247" t="s">
        <v>467</v>
      </c>
      <c r="E247" t="s">
        <v>418</v>
      </c>
      <c r="F247" t="s">
        <v>263</v>
      </c>
      <c r="G247" t="s">
        <v>263</v>
      </c>
      <c r="H247" t="s">
        <v>326</v>
      </c>
      <c r="J247" s="10">
        <v>70</v>
      </c>
      <c r="K247">
        <v>52.78</v>
      </c>
      <c r="L247" s="10">
        <v>100</v>
      </c>
      <c r="M247" s="10">
        <f t="shared" si="25"/>
        <v>-2.7421602787456445</v>
      </c>
      <c r="N247" s="10">
        <f t="shared" si="24"/>
        <v>0.52780000000000005</v>
      </c>
      <c r="O247" s="4">
        <v>-1.0999999999999999E-2</v>
      </c>
      <c r="P247" s="4">
        <v>-1.0999999999999999E-2</v>
      </c>
      <c r="Q247" s="14"/>
      <c r="R247" t="s">
        <v>326</v>
      </c>
      <c r="S247" t="s">
        <v>326</v>
      </c>
      <c r="T247" t="s">
        <v>327</v>
      </c>
    </row>
    <row r="248" spans="2:20">
      <c r="B248" s="14">
        <v>1</v>
      </c>
      <c r="C248" s="14"/>
      <c r="D248" t="s">
        <v>502</v>
      </c>
      <c r="E248" t="s">
        <v>289</v>
      </c>
      <c r="F248" t="s">
        <v>257</v>
      </c>
      <c r="G248" t="s">
        <v>257</v>
      </c>
      <c r="H248" t="s">
        <v>326</v>
      </c>
      <c r="J248" s="10">
        <v>72</v>
      </c>
      <c r="K248">
        <v>82.49</v>
      </c>
      <c r="L248" s="10">
        <v>85</v>
      </c>
      <c r="M248" s="10">
        <f t="shared" si="25"/>
        <v>0.23927550047664503</v>
      </c>
      <c r="N248" s="10">
        <f t="shared" si="24"/>
        <v>0.97047058823529408</v>
      </c>
      <c r="O248" s="4">
        <v>-7.4999999999999997E-3</v>
      </c>
      <c r="P248" s="4">
        <v>-7.4999999999999997E-3</v>
      </c>
      <c r="Q248" s="14"/>
      <c r="R248" t="s">
        <v>326</v>
      </c>
      <c r="S248" t="s">
        <v>326</v>
      </c>
      <c r="T248" t="s">
        <v>436</v>
      </c>
    </row>
    <row r="249" spans="2:20">
      <c r="B249" s="14">
        <v>1</v>
      </c>
      <c r="C249" s="14"/>
      <c r="D249" t="s">
        <v>520</v>
      </c>
      <c r="E249" t="s">
        <v>310</v>
      </c>
      <c r="F249" t="s">
        <v>261</v>
      </c>
      <c r="G249" t="s">
        <v>261</v>
      </c>
      <c r="H249" t="s">
        <v>325</v>
      </c>
      <c r="J249" s="10">
        <v>100</v>
      </c>
      <c r="K249">
        <v>141.11000000000001</v>
      </c>
      <c r="L249" s="10">
        <v>110</v>
      </c>
      <c r="M249" s="10">
        <f t="shared" si="25"/>
        <v>-0.75675018243736325</v>
      </c>
      <c r="N249" s="10">
        <f t="shared" si="24"/>
        <v>1.2828181818181819</v>
      </c>
      <c r="O249" s="4">
        <v>-1.1599999999999999E-2</v>
      </c>
      <c r="P249" s="4">
        <v>-1.1599999999999999E-2</v>
      </c>
      <c r="Q249" s="14"/>
      <c r="R249" t="s">
        <v>325</v>
      </c>
      <c r="S249" t="s">
        <v>326</v>
      </c>
      <c r="T249" t="s">
        <v>329</v>
      </c>
    </row>
    <row r="250" spans="2:20">
      <c r="B250" s="14">
        <v>1</v>
      </c>
      <c r="C250" s="14"/>
      <c r="D250" t="s">
        <v>530</v>
      </c>
      <c r="E250" t="s">
        <v>280</v>
      </c>
      <c r="F250" t="s">
        <v>264</v>
      </c>
      <c r="G250" t="s">
        <v>264</v>
      </c>
      <c r="H250" t="s">
        <v>326</v>
      </c>
      <c r="J250" s="10">
        <v>230</v>
      </c>
      <c r="K250">
        <v>208.72</v>
      </c>
      <c r="L250" s="10">
        <v>250</v>
      </c>
      <c r="M250" s="10">
        <f t="shared" si="25"/>
        <v>-1.9398496240601504</v>
      </c>
      <c r="N250" s="10">
        <f t="shared" si="24"/>
        <v>0.83487999999999996</v>
      </c>
      <c r="O250" s="4">
        <v>1.0200000000000001E-2</v>
      </c>
      <c r="P250" s="4">
        <v>1.0200000000000001E-2</v>
      </c>
      <c r="Q250" s="14"/>
      <c r="R250" t="s">
        <v>326</v>
      </c>
      <c r="S250" t="s">
        <v>326</v>
      </c>
      <c r="T250" t="s">
        <v>436</v>
      </c>
    </row>
    <row r="251" spans="2:20">
      <c r="B251" s="14">
        <v>1</v>
      </c>
      <c r="C251" s="14"/>
      <c r="D251" t="s">
        <v>45</v>
      </c>
      <c r="E251" t="s">
        <v>292</v>
      </c>
      <c r="F251" t="s">
        <v>257</v>
      </c>
      <c r="G251" t="s">
        <v>257</v>
      </c>
      <c r="H251" t="s">
        <v>325</v>
      </c>
      <c r="J251" s="16">
        <v>70</v>
      </c>
      <c r="K251">
        <v>45.25</v>
      </c>
      <c r="L251" s="10">
        <v>92</v>
      </c>
      <c r="M251" s="10">
        <f t="shared" si="25"/>
        <v>-1.8888888888888888</v>
      </c>
      <c r="N251" s="10">
        <f t="shared" si="24"/>
        <v>0.49184782608695654</v>
      </c>
      <c r="O251" s="4">
        <v>-1.3100000000000001E-2</v>
      </c>
      <c r="P251" s="4">
        <v>-1.3100000000000001E-2</v>
      </c>
      <c r="Q251" s="14" t="s">
        <v>168</v>
      </c>
      <c r="R251" t="s">
        <v>325</v>
      </c>
      <c r="S251" t="s">
        <v>326</v>
      </c>
      <c r="T251" t="s">
        <v>329</v>
      </c>
    </row>
    <row r="252" spans="2:20">
      <c r="B252" s="14">
        <v>1</v>
      </c>
      <c r="C252" s="14"/>
      <c r="D252" t="s">
        <v>350</v>
      </c>
      <c r="E252" t="s">
        <v>419</v>
      </c>
      <c r="F252" t="s">
        <v>258</v>
      </c>
      <c r="G252" t="s">
        <v>258</v>
      </c>
      <c r="H252" t="s">
        <v>325</v>
      </c>
      <c r="J252" s="10">
        <v>110</v>
      </c>
      <c r="K252">
        <v>87.31</v>
      </c>
      <c r="L252" s="10">
        <v>125</v>
      </c>
      <c r="M252" s="10">
        <f t="shared" si="25"/>
        <v>-1.6610841780520054</v>
      </c>
      <c r="N252" s="10">
        <f t="shared" si="24"/>
        <v>0.69847999999999999</v>
      </c>
      <c r="O252" s="4">
        <v>2.7699999999999999E-2</v>
      </c>
      <c r="P252" s="4">
        <v>2.7699999999999999E-2</v>
      </c>
      <c r="Q252" s="14"/>
      <c r="R252" t="s">
        <v>325</v>
      </c>
      <c r="S252" t="s">
        <v>325</v>
      </c>
      <c r="T252" t="s">
        <v>329</v>
      </c>
    </row>
    <row r="253" spans="2:20">
      <c r="B253" s="14">
        <v>1</v>
      </c>
      <c r="C253" s="14"/>
      <c r="D253" t="s">
        <v>139</v>
      </c>
      <c r="E253" t="s">
        <v>278</v>
      </c>
      <c r="F253" t="s">
        <v>262</v>
      </c>
      <c r="G253" t="s">
        <v>262</v>
      </c>
      <c r="H253" t="s">
        <v>325</v>
      </c>
      <c r="J253" s="10">
        <v>130.43</v>
      </c>
      <c r="K253">
        <v>208.49</v>
      </c>
      <c r="L253" s="10">
        <v>147.32</v>
      </c>
      <c r="M253" s="10">
        <f t="shared" si="25"/>
        <v>-0.78362797847809396</v>
      </c>
      <c r="N253" s="10">
        <f t="shared" si="24"/>
        <v>1.4152185718164541</v>
      </c>
      <c r="O253" s="4">
        <v>2.2499999999999999E-2</v>
      </c>
      <c r="P253" s="4">
        <v>2.2499999999999999E-2</v>
      </c>
      <c r="Q253" s="14" t="s">
        <v>140</v>
      </c>
      <c r="R253" t="s">
        <v>327</v>
      </c>
      <c r="S253" t="s">
        <v>327</v>
      </c>
      <c r="T253" t="s">
        <v>329</v>
      </c>
    </row>
    <row r="254" spans="2:20">
      <c r="B254" s="14">
        <v>1</v>
      </c>
      <c r="C254" s="14"/>
      <c r="D254" t="s">
        <v>379</v>
      </c>
      <c r="E254" t="s">
        <v>265</v>
      </c>
      <c r="F254" t="s">
        <v>260</v>
      </c>
      <c r="G254" t="s">
        <v>260</v>
      </c>
      <c r="H254" t="s">
        <v>325</v>
      </c>
      <c r="J254" s="10">
        <v>10.7</v>
      </c>
      <c r="K254">
        <v>18.78</v>
      </c>
      <c r="L254" s="10">
        <v>14</v>
      </c>
      <c r="M254" s="10">
        <f t="shared" si="25"/>
        <v>-0.59158415841584155</v>
      </c>
      <c r="N254" s="10">
        <f t="shared" si="24"/>
        <v>1.3414285714285714</v>
      </c>
      <c r="O254" s="4">
        <v>-3.8999999999999998E-3</v>
      </c>
      <c r="P254" s="4">
        <v>-3.8999999999999998E-3</v>
      </c>
      <c r="Q254" s="14"/>
      <c r="R254" t="s">
        <v>325</v>
      </c>
      <c r="S254" t="s">
        <v>325</v>
      </c>
      <c r="T254" t="s">
        <v>328</v>
      </c>
    </row>
    <row r="255" spans="2:20">
      <c r="B255" s="14">
        <v>1</v>
      </c>
      <c r="C255" s="14"/>
      <c r="D255" t="s">
        <v>555</v>
      </c>
      <c r="E255" t="s">
        <v>104</v>
      </c>
      <c r="F255" t="s">
        <v>264</v>
      </c>
      <c r="G255" t="s">
        <v>264</v>
      </c>
      <c r="H255" t="s">
        <v>326</v>
      </c>
      <c r="J255" s="10">
        <v>75</v>
      </c>
      <c r="K255">
        <v>116.7</v>
      </c>
      <c r="L255" s="10">
        <v>90</v>
      </c>
      <c r="M255" s="10">
        <f t="shared" si="25"/>
        <v>-0.64028776978417268</v>
      </c>
      <c r="N255" s="10">
        <f t="shared" si="24"/>
        <v>1.2966666666666666</v>
      </c>
      <c r="O255" s="4">
        <v>1.84E-2</v>
      </c>
      <c r="P255" s="4">
        <v>1.84E-2</v>
      </c>
      <c r="Q255" s="14"/>
      <c r="R255" t="s">
        <v>326</v>
      </c>
      <c r="S255" t="s">
        <v>326</v>
      </c>
      <c r="T255" t="s">
        <v>327</v>
      </c>
    </row>
    <row r="256" spans="2:20">
      <c r="B256" s="14">
        <v>1</v>
      </c>
      <c r="C256" s="14"/>
      <c r="D256" t="s">
        <v>93</v>
      </c>
      <c r="E256" t="s">
        <v>269</v>
      </c>
      <c r="F256" t="s">
        <v>257</v>
      </c>
      <c r="G256" t="s">
        <v>257</v>
      </c>
      <c r="H256" t="s">
        <v>326</v>
      </c>
      <c r="J256" s="10">
        <v>9.5</v>
      </c>
      <c r="K256">
        <v>12.21</v>
      </c>
      <c r="L256" s="10">
        <v>12</v>
      </c>
      <c r="M256" s="10">
        <f t="shared" si="25"/>
        <v>-7.7490774907749374E-2</v>
      </c>
      <c r="N256" s="10">
        <f t="shared" si="24"/>
        <v>1.0175000000000001</v>
      </c>
      <c r="O256" s="4">
        <v>3.1600000000000003E-2</v>
      </c>
      <c r="P256" s="4">
        <v>3.1600000000000003E-2</v>
      </c>
      <c r="Q256" s="14"/>
      <c r="R256" t="s">
        <v>325</v>
      </c>
      <c r="S256" t="s">
        <v>325</v>
      </c>
      <c r="T256" t="s">
        <v>436</v>
      </c>
    </row>
    <row r="257" spans="2:20">
      <c r="B257" s="14">
        <v>1</v>
      </c>
      <c r="C257" s="14"/>
      <c r="D257" t="s">
        <v>183</v>
      </c>
      <c r="E257" t="s">
        <v>281</v>
      </c>
      <c r="F257" t="s">
        <v>262</v>
      </c>
      <c r="G257" t="s">
        <v>264</v>
      </c>
      <c r="H257" t="s">
        <v>326</v>
      </c>
      <c r="J257" s="10">
        <v>480</v>
      </c>
      <c r="K257">
        <v>179.36</v>
      </c>
      <c r="L257" s="10">
        <v>525</v>
      </c>
      <c r="M257" s="10">
        <f t="shared" si="25"/>
        <v>-1.1496806812134115</v>
      </c>
      <c r="N257" s="10">
        <f t="shared" si="24"/>
        <v>0.34163809523809524</v>
      </c>
      <c r="O257" s="4">
        <v>-1.1299999999999999E-2</v>
      </c>
      <c r="P257" s="4">
        <v>-1.1299999999999999E-2</v>
      </c>
      <c r="Q257" s="15" t="s">
        <v>184</v>
      </c>
      <c r="R257" t="s">
        <v>327</v>
      </c>
      <c r="S257" t="s">
        <v>326</v>
      </c>
      <c r="T257" t="s">
        <v>329</v>
      </c>
    </row>
    <row r="258" spans="2:20">
      <c r="B258" s="14">
        <v>1</v>
      </c>
      <c r="C258" s="14"/>
      <c r="D258" t="s">
        <v>459</v>
      </c>
      <c r="E258" t="s">
        <v>417</v>
      </c>
      <c r="F258" t="s">
        <v>264</v>
      </c>
      <c r="G258" t="s">
        <v>264</v>
      </c>
      <c r="H258" t="s">
        <v>325</v>
      </c>
      <c r="I258">
        <v>102</v>
      </c>
      <c r="J258" s="10">
        <v>99</v>
      </c>
      <c r="K258">
        <v>68.53</v>
      </c>
      <c r="L258" s="10">
        <v>110</v>
      </c>
      <c r="M258" s="10">
        <f t="shared" si="25"/>
        <v>-1.3610108303249098</v>
      </c>
      <c r="N258" s="10">
        <f t="shared" si="24"/>
        <v>0.623</v>
      </c>
      <c r="O258" s="4">
        <v>-7.1000000000000004E-3</v>
      </c>
      <c r="P258" s="4">
        <v>-7.1000000000000004E-3</v>
      </c>
      <c r="Q258" s="15"/>
      <c r="R258" t="s">
        <v>326</v>
      </c>
      <c r="S258" t="s">
        <v>326</v>
      </c>
      <c r="T258" t="s">
        <v>329</v>
      </c>
    </row>
    <row r="259" spans="2:20">
      <c r="B259" s="14">
        <v>1</v>
      </c>
      <c r="C259" s="14"/>
      <c r="D259" t="s">
        <v>156</v>
      </c>
      <c r="E259" t="s">
        <v>280</v>
      </c>
      <c r="F259" t="s">
        <v>264</v>
      </c>
      <c r="G259" t="s">
        <v>264</v>
      </c>
      <c r="H259" t="s">
        <v>326</v>
      </c>
      <c r="J259" s="10">
        <v>130</v>
      </c>
      <c r="K259">
        <v>128.44</v>
      </c>
      <c r="L259" s="10">
        <v>140</v>
      </c>
      <c r="M259" s="10">
        <f t="shared" si="25"/>
        <v>-7.4102564102564008</v>
      </c>
      <c r="N259" s="10">
        <f t="shared" si="24"/>
        <v>0.91742857142857137</v>
      </c>
      <c r="O259" s="4">
        <v>9.7000000000000003E-3</v>
      </c>
      <c r="P259" s="4">
        <v>9.7000000000000003E-3</v>
      </c>
      <c r="Q259" s="14" t="s">
        <v>72</v>
      </c>
      <c r="R259" t="s">
        <v>327</v>
      </c>
      <c r="S259" t="s">
        <v>325</v>
      </c>
      <c r="T259" t="s">
        <v>327</v>
      </c>
    </row>
    <row r="260" spans="2:20">
      <c r="B260" s="14">
        <v>1</v>
      </c>
      <c r="C260" s="14"/>
      <c r="D260" t="s">
        <v>461</v>
      </c>
      <c r="E260" t="s">
        <v>255</v>
      </c>
      <c r="F260" t="s">
        <v>264</v>
      </c>
      <c r="G260" t="s">
        <v>264</v>
      </c>
      <c r="H260" t="s">
        <v>325</v>
      </c>
      <c r="J260" s="10"/>
      <c r="K260">
        <v>263.39</v>
      </c>
      <c r="L260" s="10"/>
      <c r="M260" s="10"/>
      <c r="N260" s="10" t="e">
        <f t="shared" si="24"/>
        <v>#DIV/0!</v>
      </c>
      <c r="O260" s="4">
        <v>-3.9600000000000003E-2</v>
      </c>
      <c r="P260" s="4">
        <v>-3.9600000000000003E-2</v>
      </c>
      <c r="Q260" s="14"/>
      <c r="R260" t="s">
        <v>325</v>
      </c>
      <c r="S260" t="s">
        <v>326</v>
      </c>
      <c r="T260" t="s">
        <v>329</v>
      </c>
    </row>
    <row r="261" spans="2:20">
      <c r="B261" s="14">
        <v>1</v>
      </c>
      <c r="C261" s="14"/>
      <c r="D261" t="s">
        <v>28</v>
      </c>
      <c r="E261" t="s">
        <v>289</v>
      </c>
      <c r="F261"/>
      <c r="G261"/>
      <c r="H261" t="s">
        <v>710</v>
      </c>
      <c r="I261" s="8"/>
      <c r="J261" s="11">
        <v>75</v>
      </c>
      <c r="K261">
        <v>75.42</v>
      </c>
      <c r="L261" s="10">
        <v>85</v>
      </c>
      <c r="M261" s="10">
        <f t="shared" ref="M261:M274" si="26" xml:space="preserve"> (L261 - K261)/(K261-J261)</f>
        <v>22.809523809523714</v>
      </c>
      <c r="N261" s="10">
        <f t="shared" si="24"/>
        <v>0.88729411764705879</v>
      </c>
      <c r="O261" s="4">
        <v>1.6999999999999999E-3</v>
      </c>
      <c r="P261" s="4">
        <v>1.6999999999999999E-3</v>
      </c>
      <c r="Q261" s="15" t="s">
        <v>66</v>
      </c>
      <c r="R261" t="s">
        <v>325</v>
      </c>
      <c r="S261" t="s">
        <v>326</v>
      </c>
      <c r="T261" t="s">
        <v>327</v>
      </c>
    </row>
    <row r="262" spans="2:20">
      <c r="B262" s="14">
        <v>1</v>
      </c>
      <c r="C262" s="14"/>
      <c r="D262" t="s">
        <v>510</v>
      </c>
      <c r="E262" t="s">
        <v>164</v>
      </c>
      <c r="F262" t="s">
        <v>262</v>
      </c>
      <c r="G262" t="s">
        <v>264</v>
      </c>
      <c r="H262" t="s">
        <v>326</v>
      </c>
      <c r="J262" s="10">
        <v>350</v>
      </c>
      <c r="K262">
        <v>409.12</v>
      </c>
      <c r="L262" s="10">
        <v>400</v>
      </c>
      <c r="M262" s="10">
        <f t="shared" si="26"/>
        <v>-0.15426251691474974</v>
      </c>
      <c r="N262" s="10">
        <f t="shared" si="24"/>
        <v>1.0227999999999999</v>
      </c>
      <c r="O262" s="4">
        <v>4.3999999999999997E-2</v>
      </c>
      <c r="P262" s="4">
        <v>4.3999999999999997E-2</v>
      </c>
      <c r="Q262" s="14"/>
      <c r="R262" t="s">
        <v>326</v>
      </c>
      <c r="S262" t="s">
        <v>327</v>
      </c>
      <c r="T262" t="s">
        <v>327</v>
      </c>
    </row>
    <row r="263" spans="2:20">
      <c r="B263" s="14">
        <v>1</v>
      </c>
      <c r="C263" s="14"/>
      <c r="D263" t="s">
        <v>308</v>
      </c>
      <c r="E263" t="s">
        <v>274</v>
      </c>
      <c r="F263" t="s">
        <v>261</v>
      </c>
      <c r="G263" t="s">
        <v>261</v>
      </c>
      <c r="H263" t="s">
        <v>326</v>
      </c>
      <c r="J263" s="10">
        <v>98</v>
      </c>
      <c r="K263">
        <v>75.25</v>
      </c>
      <c r="L263" s="10">
        <v>110</v>
      </c>
      <c r="M263" s="10">
        <f t="shared" si="26"/>
        <v>-1.5274725274725274</v>
      </c>
      <c r="N263" s="10">
        <f t="shared" si="24"/>
        <v>0.68409090909090908</v>
      </c>
      <c r="O263" s="4">
        <v>1.0699999999999999E-2</v>
      </c>
      <c r="P263" s="4">
        <v>1.0699999999999999E-2</v>
      </c>
      <c r="Q263" s="15"/>
      <c r="R263" t="s">
        <v>325</v>
      </c>
      <c r="S263" t="s">
        <v>325</v>
      </c>
      <c r="T263" t="s">
        <v>327</v>
      </c>
    </row>
    <row r="264" spans="2:20">
      <c r="B264" s="14">
        <v>1</v>
      </c>
      <c r="C264" s="14"/>
      <c r="D264" t="s">
        <v>471</v>
      </c>
      <c r="E264" t="s">
        <v>215</v>
      </c>
      <c r="F264" t="s">
        <v>264</v>
      </c>
      <c r="G264" t="s">
        <v>264</v>
      </c>
      <c r="H264" t="s">
        <v>326</v>
      </c>
      <c r="J264" s="10">
        <v>150</v>
      </c>
      <c r="K264">
        <v>200.63</v>
      </c>
      <c r="L264" s="10">
        <v>170</v>
      </c>
      <c r="M264" s="10">
        <f t="shared" si="26"/>
        <v>-0.60497728619395608</v>
      </c>
      <c r="N264" s="10">
        <f t="shared" si="24"/>
        <v>1.1801764705882352</v>
      </c>
      <c r="O264" s="4">
        <v>1.7399999999999999E-2</v>
      </c>
      <c r="P264" s="4">
        <v>1.7399999999999999E-2</v>
      </c>
      <c r="Q264" s="14"/>
      <c r="R264" t="s">
        <v>326</v>
      </c>
      <c r="S264" t="s">
        <v>326</v>
      </c>
      <c r="T264" t="s">
        <v>328</v>
      </c>
    </row>
    <row r="265" spans="2:20">
      <c r="B265" s="14">
        <v>1</v>
      </c>
      <c r="C265" s="15"/>
      <c r="D265" t="s">
        <v>606</v>
      </c>
      <c r="E265" t="s">
        <v>88</v>
      </c>
      <c r="F265" t="s">
        <v>258</v>
      </c>
      <c r="G265" t="s">
        <v>258</v>
      </c>
      <c r="H265" t="s">
        <v>325</v>
      </c>
      <c r="I265" s="8"/>
      <c r="J265" s="11">
        <v>33</v>
      </c>
      <c r="K265">
        <v>43.94</v>
      </c>
      <c r="L265" s="11">
        <v>45</v>
      </c>
      <c r="M265" s="10">
        <f t="shared" si="26"/>
        <v>9.6892138939671163E-2</v>
      </c>
      <c r="N265" s="10">
        <f t="shared" si="24"/>
        <v>0.97644444444444445</v>
      </c>
      <c r="O265" s="4">
        <v>6.7000000000000002E-3</v>
      </c>
      <c r="P265" s="4">
        <v>6.7000000000000002E-3</v>
      </c>
      <c r="Q265" s="14"/>
      <c r="R265" t="s">
        <v>325</v>
      </c>
      <c r="S265" t="s">
        <v>326</v>
      </c>
      <c r="T265" t="s">
        <v>327</v>
      </c>
    </row>
    <row r="266" spans="2:20">
      <c r="B266" s="14">
        <v>1</v>
      </c>
      <c r="C266" s="14"/>
      <c r="D266" t="s">
        <v>313</v>
      </c>
      <c r="E266" t="s">
        <v>272</v>
      </c>
      <c r="F266" t="s">
        <v>258</v>
      </c>
      <c r="G266" t="s">
        <v>258</v>
      </c>
      <c r="H266" t="s">
        <v>325</v>
      </c>
      <c r="J266" s="10">
        <v>32</v>
      </c>
      <c r="K266">
        <v>51.83</v>
      </c>
      <c r="L266" s="10">
        <v>40</v>
      </c>
      <c r="M266" s="10">
        <f t="shared" si="26"/>
        <v>-0.59657085224407458</v>
      </c>
      <c r="N266" s="10">
        <f t="shared" si="24"/>
        <v>1.29575</v>
      </c>
      <c r="O266" s="4">
        <v>6.7000000000000002E-3</v>
      </c>
      <c r="P266" s="4">
        <v>6.7000000000000002E-3</v>
      </c>
      <c r="Q266" s="14"/>
      <c r="R266" t="s">
        <v>325</v>
      </c>
      <c r="S266" t="s">
        <v>327</v>
      </c>
      <c r="T266" t="s">
        <v>329</v>
      </c>
    </row>
    <row r="267" spans="2:20">
      <c r="B267" s="14">
        <v>1</v>
      </c>
      <c r="C267" s="14"/>
      <c r="D267" t="s">
        <v>238</v>
      </c>
      <c r="E267" t="s">
        <v>285</v>
      </c>
      <c r="F267" t="s">
        <v>257</v>
      </c>
      <c r="G267" t="s">
        <v>257</v>
      </c>
      <c r="H267" t="s">
        <v>325</v>
      </c>
      <c r="J267" s="10">
        <v>37</v>
      </c>
      <c r="K267">
        <v>35.380000000000003</v>
      </c>
      <c r="L267" s="10">
        <v>42.5</v>
      </c>
      <c r="M267" s="10">
        <f t="shared" si="26"/>
        <v>-4.395061728395067</v>
      </c>
      <c r="N267" s="10">
        <f t="shared" si="24"/>
        <v>0.83247058823529418</v>
      </c>
      <c r="O267" s="4">
        <v>1.3100000000000001E-2</v>
      </c>
      <c r="P267" s="4">
        <v>1.3100000000000001E-2</v>
      </c>
      <c r="Q267" s="14"/>
      <c r="R267" t="s">
        <v>327</v>
      </c>
      <c r="S267" t="s">
        <v>327</v>
      </c>
      <c r="T267" t="s">
        <v>328</v>
      </c>
    </row>
    <row r="268" spans="2:20">
      <c r="B268" s="14">
        <v>1</v>
      </c>
      <c r="C268" s="14"/>
      <c r="D268" t="s">
        <v>47</v>
      </c>
      <c r="E268" t="s">
        <v>277</v>
      </c>
      <c r="F268" t="s">
        <v>258</v>
      </c>
      <c r="G268" t="s">
        <v>258</v>
      </c>
      <c r="H268" t="s">
        <v>326</v>
      </c>
      <c r="I268" s="8"/>
      <c r="J268" s="11">
        <v>20</v>
      </c>
      <c r="K268">
        <v>19.87</v>
      </c>
      <c r="L268" s="10">
        <v>24</v>
      </c>
      <c r="M268" s="10">
        <f t="shared" si="26"/>
        <v>-31.769230769231005</v>
      </c>
      <c r="N268" s="10"/>
      <c r="O268" s="4">
        <v>1.66E-2</v>
      </c>
      <c r="P268" s="4">
        <v>1.66E-2</v>
      </c>
      <c r="Q268" s="15" t="s">
        <v>69</v>
      </c>
      <c r="R268" t="s">
        <v>325</v>
      </c>
      <c r="S268" t="s">
        <v>325</v>
      </c>
      <c r="T268" t="s">
        <v>329</v>
      </c>
    </row>
    <row r="269" spans="2:20">
      <c r="B269" s="14">
        <v>1</v>
      </c>
      <c r="C269" s="14"/>
      <c r="D269" t="s">
        <v>642</v>
      </c>
      <c r="E269" t="s">
        <v>276</v>
      </c>
      <c r="F269" t="s">
        <v>257</v>
      </c>
      <c r="G269" t="s">
        <v>261</v>
      </c>
      <c r="H269" t="s">
        <v>325</v>
      </c>
      <c r="J269" s="10">
        <v>170</v>
      </c>
      <c r="K269">
        <v>286.54000000000002</v>
      </c>
      <c r="L269" s="10">
        <v>200</v>
      </c>
      <c r="M269" s="11">
        <f t="shared" si="26"/>
        <v>-0.74257765574051837</v>
      </c>
      <c r="N269" s="10">
        <f>K269/L269</f>
        <v>1.4327000000000001</v>
      </c>
      <c r="O269" s="4">
        <v>8.0999999999999996E-3</v>
      </c>
      <c r="P269" s="4">
        <v>8.0999999999999996E-3</v>
      </c>
      <c r="Q269" s="14"/>
      <c r="R269" t="s">
        <v>327</v>
      </c>
      <c r="S269" t="s">
        <v>327</v>
      </c>
      <c r="T269" t="s">
        <v>329</v>
      </c>
    </row>
    <row r="270" spans="2:20">
      <c r="B270" s="14">
        <v>1</v>
      </c>
      <c r="C270" s="14"/>
      <c r="D270" t="s">
        <v>597</v>
      </c>
      <c r="E270" t="s">
        <v>271</v>
      </c>
      <c r="F270" t="s">
        <v>261</v>
      </c>
      <c r="G270" t="s">
        <v>261</v>
      </c>
      <c r="H270" t="s">
        <v>325</v>
      </c>
      <c r="J270" s="10">
        <v>55</v>
      </c>
      <c r="K270">
        <v>71.47</v>
      </c>
      <c r="L270" s="10">
        <v>70</v>
      </c>
      <c r="M270" s="10">
        <f t="shared" si="26"/>
        <v>-8.9253187613843293E-2</v>
      </c>
      <c r="N270" s="10">
        <f>K270/L270</f>
        <v>1.0209999999999999</v>
      </c>
      <c r="O270" s="4">
        <v>7.1000000000000004E-3</v>
      </c>
      <c r="P270" s="4">
        <v>7.1000000000000004E-3</v>
      </c>
      <c r="Q270" s="14"/>
      <c r="R270" t="s">
        <v>327</v>
      </c>
      <c r="S270" t="s">
        <v>325</v>
      </c>
      <c r="T270" t="s">
        <v>327</v>
      </c>
    </row>
    <row r="271" spans="2:20">
      <c r="B271" s="14">
        <v>1</v>
      </c>
      <c r="C271" s="14"/>
      <c r="D271" t="s">
        <v>560</v>
      </c>
      <c r="E271" t="s">
        <v>136</v>
      </c>
      <c r="F271" t="s">
        <v>257</v>
      </c>
      <c r="G271" t="s">
        <v>257</v>
      </c>
      <c r="H271" t="s">
        <v>326</v>
      </c>
      <c r="J271" s="10">
        <v>18</v>
      </c>
      <c r="K271">
        <v>26.99</v>
      </c>
      <c r="L271" s="10">
        <v>25</v>
      </c>
      <c r="M271" s="10">
        <f t="shared" si="26"/>
        <v>-0.22135706340378183</v>
      </c>
      <c r="N271" s="10"/>
      <c r="O271" s="4">
        <v>-2.9600000000000001E-2</v>
      </c>
      <c r="P271" s="4">
        <v>-2.9600000000000001E-2</v>
      </c>
      <c r="Q271" s="14"/>
      <c r="R271" t="s">
        <v>327</v>
      </c>
      <c r="S271" t="s">
        <v>326</v>
      </c>
      <c r="T271" t="s">
        <v>328</v>
      </c>
    </row>
    <row r="272" spans="2:20">
      <c r="B272" s="14">
        <v>1</v>
      </c>
      <c r="C272" s="14"/>
      <c r="D272" t="s">
        <v>221</v>
      </c>
      <c r="E272" t="s">
        <v>136</v>
      </c>
      <c r="F272" t="s">
        <v>261</v>
      </c>
      <c r="G272" t="s">
        <v>257</v>
      </c>
      <c r="H272" t="s">
        <v>326</v>
      </c>
      <c r="J272" s="10">
        <v>77</v>
      </c>
      <c r="K272">
        <v>137.27000000000001</v>
      </c>
      <c r="L272" s="10">
        <v>85</v>
      </c>
      <c r="M272" s="10">
        <f t="shared" si="26"/>
        <v>-0.8672639787622366</v>
      </c>
      <c r="N272" s="10">
        <f>K272/L272</f>
        <v>1.6149411764705883</v>
      </c>
      <c r="O272" s="4">
        <v>2.0899999999999998E-2</v>
      </c>
      <c r="P272" s="4">
        <v>2.0899999999999998E-2</v>
      </c>
      <c r="Q272" s="14" t="s">
        <v>87</v>
      </c>
      <c r="R272" t="s">
        <v>325</v>
      </c>
      <c r="S272" t="s">
        <v>325</v>
      </c>
      <c r="T272" t="s">
        <v>327</v>
      </c>
    </row>
    <row r="273" spans="2:20">
      <c r="B273" s="14">
        <v>1</v>
      </c>
      <c r="C273" s="14"/>
      <c r="D273" t="s">
        <v>628</v>
      </c>
      <c r="E273" t="s">
        <v>267</v>
      </c>
      <c r="F273" t="s">
        <v>258</v>
      </c>
      <c r="G273" t="s">
        <v>258</v>
      </c>
      <c r="H273" t="s">
        <v>325</v>
      </c>
      <c r="J273" s="10">
        <v>60</v>
      </c>
      <c r="K273">
        <v>83.15</v>
      </c>
      <c r="L273" s="10">
        <v>72.5</v>
      </c>
      <c r="M273" s="10">
        <f t="shared" si="26"/>
        <v>-0.46004319654427661</v>
      </c>
      <c r="N273" s="10">
        <f>K273/L273</f>
        <v>1.1468965517241381</v>
      </c>
      <c r="O273" s="4">
        <v>1.6000000000000001E-3</v>
      </c>
      <c r="P273" s="4">
        <v>1.6000000000000001E-3</v>
      </c>
      <c r="Q273" s="14" t="s">
        <v>629</v>
      </c>
      <c r="R273" t="s">
        <v>325</v>
      </c>
      <c r="S273" t="s">
        <v>325</v>
      </c>
      <c r="T273" t="s">
        <v>327</v>
      </c>
    </row>
    <row r="274" spans="2:20">
      <c r="B274" s="14">
        <v>1</v>
      </c>
      <c r="C274" s="14"/>
      <c r="D274" t="s">
        <v>79</v>
      </c>
      <c r="E274" t="s">
        <v>273</v>
      </c>
      <c r="F274" t="s">
        <v>257</v>
      </c>
      <c r="G274" t="s">
        <v>257</v>
      </c>
      <c r="H274" t="s">
        <v>325</v>
      </c>
      <c r="J274" s="10">
        <v>155</v>
      </c>
      <c r="K274">
        <v>150.1</v>
      </c>
      <c r="L274" s="10">
        <v>180</v>
      </c>
      <c r="M274" s="10">
        <f t="shared" si="26"/>
        <v>-6.1020408163265243</v>
      </c>
      <c r="N274" s="10"/>
      <c r="O274" s="4">
        <v>-7.4999999999999997E-3</v>
      </c>
      <c r="P274" s="4">
        <v>-7.4999999999999997E-3</v>
      </c>
      <c r="Q274" s="14"/>
      <c r="R274" t="s">
        <v>325</v>
      </c>
      <c r="S274" t="s">
        <v>325</v>
      </c>
      <c r="T274" t="s">
        <v>327</v>
      </c>
    </row>
    <row r="275" spans="2:20">
      <c r="B275" s="14">
        <v>1</v>
      </c>
      <c r="C275" s="14"/>
      <c r="D275" t="s">
        <v>457</v>
      </c>
      <c r="E275" t="s">
        <v>444</v>
      </c>
      <c r="F275" t="s">
        <v>258</v>
      </c>
      <c r="G275" t="s">
        <v>258</v>
      </c>
      <c r="H275" t="s">
        <v>325</v>
      </c>
      <c r="J275" s="10"/>
      <c r="K275">
        <v>29.05</v>
      </c>
      <c r="L275" s="10"/>
      <c r="M275" s="10"/>
      <c r="N275" s="10" t="e">
        <f>K275/L275</f>
        <v>#DIV/0!</v>
      </c>
      <c r="O275" s="4">
        <v>-7.9000000000000008E-3</v>
      </c>
      <c r="P275" s="4">
        <v>-7.9000000000000008E-3</v>
      </c>
      <c r="Q275" s="14"/>
      <c r="R275" t="s">
        <v>325</v>
      </c>
      <c r="S275" t="s">
        <v>325</v>
      </c>
      <c r="T275" t="s">
        <v>329</v>
      </c>
    </row>
    <row r="276" spans="2:20">
      <c r="B276" s="14">
        <v>1</v>
      </c>
      <c r="C276" s="14"/>
      <c r="D276" t="s">
        <v>602</v>
      </c>
      <c r="E276" t="s">
        <v>267</v>
      </c>
      <c r="F276" t="s">
        <v>258</v>
      </c>
      <c r="G276" t="s">
        <v>258</v>
      </c>
      <c r="H276" t="s">
        <v>325</v>
      </c>
      <c r="J276" s="10">
        <v>57.5</v>
      </c>
      <c r="K276">
        <v>65.239999999999995</v>
      </c>
      <c r="L276" s="10">
        <v>68</v>
      </c>
      <c r="M276" s="10">
        <f t="shared" ref="M276:M287" si="27" xml:space="preserve"> (L276 - K276)/(K276-J276)</f>
        <v>0.35658914728682262</v>
      </c>
      <c r="N276" s="10">
        <f>K276/L276</f>
        <v>0.9594117647058823</v>
      </c>
      <c r="O276" s="4">
        <v>8.5000000000000006E-3</v>
      </c>
      <c r="P276" s="4">
        <v>8.5000000000000006E-3</v>
      </c>
      <c r="Q276" s="14"/>
      <c r="R276" t="s">
        <v>325</v>
      </c>
      <c r="S276" t="s">
        <v>325</v>
      </c>
      <c r="T276" t="s">
        <v>327</v>
      </c>
    </row>
    <row r="277" spans="2:20">
      <c r="B277" s="14">
        <v>1</v>
      </c>
      <c r="C277" s="14"/>
      <c r="D277" t="s">
        <v>452</v>
      </c>
      <c r="E277" t="s">
        <v>298</v>
      </c>
      <c r="F277" t="s">
        <v>263</v>
      </c>
      <c r="G277" t="s">
        <v>257</v>
      </c>
      <c r="H277" t="s">
        <v>325</v>
      </c>
      <c r="J277" s="10">
        <v>70</v>
      </c>
      <c r="K277">
        <v>58.08</v>
      </c>
      <c r="L277" s="10">
        <v>80</v>
      </c>
      <c r="M277" s="10">
        <f t="shared" si="27"/>
        <v>-1.8389261744966441</v>
      </c>
      <c r="N277" s="10">
        <f>K277/L277</f>
        <v>0.72599999999999998</v>
      </c>
      <c r="O277" s="4">
        <v>7.9000000000000008E-3</v>
      </c>
      <c r="P277" s="4">
        <v>7.9000000000000008E-3</v>
      </c>
      <c r="Q277" s="15"/>
      <c r="R277" t="s">
        <v>325</v>
      </c>
      <c r="S277" t="s">
        <v>325</v>
      </c>
      <c r="T277" t="s">
        <v>327</v>
      </c>
    </row>
    <row r="278" spans="2:20">
      <c r="B278" s="14">
        <v>1</v>
      </c>
      <c r="C278" s="14"/>
      <c r="D278" t="s">
        <v>553</v>
      </c>
      <c r="E278" t="s">
        <v>298</v>
      </c>
      <c r="F278" t="s">
        <v>257</v>
      </c>
      <c r="G278" t="s">
        <v>257</v>
      </c>
      <c r="H278" t="s">
        <v>325</v>
      </c>
      <c r="J278" s="10">
        <v>55</v>
      </c>
      <c r="K278">
        <v>129.66</v>
      </c>
      <c r="L278" s="10">
        <v>60</v>
      </c>
      <c r="M278" s="10">
        <f t="shared" si="27"/>
        <v>-0.93302973479774975</v>
      </c>
      <c r="N278" s="10"/>
      <c r="O278" s="4">
        <v>4.7999999999999996E-3</v>
      </c>
      <c r="P278" s="4">
        <v>4.7999999999999996E-3</v>
      </c>
      <c r="Q278" s="15"/>
      <c r="R278" t="s">
        <v>325</v>
      </c>
      <c r="S278" t="s">
        <v>325</v>
      </c>
      <c r="T278" t="s">
        <v>329</v>
      </c>
    </row>
    <row r="279" spans="2:20">
      <c r="B279" s="14">
        <v>1</v>
      </c>
      <c r="C279" s="14"/>
      <c r="D279" t="s">
        <v>108</v>
      </c>
      <c r="E279" t="s">
        <v>287</v>
      </c>
      <c r="F279" t="s">
        <v>261</v>
      </c>
      <c r="G279" t="s">
        <v>261</v>
      </c>
      <c r="H279" t="s">
        <v>325</v>
      </c>
      <c r="J279" s="10">
        <v>18.78</v>
      </c>
      <c r="K279">
        <v>28.34</v>
      </c>
      <c r="L279" s="10">
        <v>3</v>
      </c>
      <c r="M279" s="10">
        <f t="shared" si="27"/>
        <v>-2.6506276150627617</v>
      </c>
      <c r="N279" s="10">
        <f>K279/L279</f>
        <v>9.4466666666666672</v>
      </c>
      <c r="O279" s="4">
        <v>-3.8E-3</v>
      </c>
      <c r="P279" s="4">
        <v>-3.8E-3</v>
      </c>
      <c r="Q279" s="14" t="s">
        <v>134</v>
      </c>
      <c r="R279" t="s">
        <v>325</v>
      </c>
      <c r="S279" t="s">
        <v>327</v>
      </c>
      <c r="T279" t="s">
        <v>329</v>
      </c>
    </row>
    <row r="280" spans="2:20">
      <c r="B280" s="14">
        <v>1</v>
      </c>
      <c r="C280" s="14"/>
      <c r="D280" t="s">
        <v>55</v>
      </c>
      <c r="E280" t="s">
        <v>273</v>
      </c>
      <c r="F280" t="s">
        <v>261</v>
      </c>
      <c r="G280" t="s">
        <v>261</v>
      </c>
      <c r="H280" t="s">
        <v>325</v>
      </c>
      <c r="J280" s="10">
        <v>93.48</v>
      </c>
      <c r="K280">
        <v>73.709999999999994</v>
      </c>
      <c r="L280" s="10">
        <v>100</v>
      </c>
      <c r="M280" s="10">
        <f t="shared" si="27"/>
        <v>-1.329792615073343</v>
      </c>
      <c r="N280" s="10">
        <f>K280/L280</f>
        <v>0.73709999999999998</v>
      </c>
      <c r="O280" s="4">
        <v>3.8E-3</v>
      </c>
      <c r="P280" s="4">
        <v>3.8E-3</v>
      </c>
      <c r="Q280" s="15" t="s">
        <v>94</v>
      </c>
      <c r="R280" t="s">
        <v>325</v>
      </c>
      <c r="S280" t="s">
        <v>325</v>
      </c>
      <c r="T280" t="s">
        <v>436</v>
      </c>
    </row>
    <row r="281" spans="2:20">
      <c r="B281" s="14">
        <v>1</v>
      </c>
      <c r="C281" s="14"/>
      <c r="D281" t="s">
        <v>201</v>
      </c>
      <c r="E281" t="s">
        <v>41</v>
      </c>
      <c r="F281" t="s">
        <v>258</v>
      </c>
      <c r="G281" t="s">
        <v>258</v>
      </c>
      <c r="H281" t="s">
        <v>325</v>
      </c>
      <c r="I281" s="8"/>
      <c r="J281" s="11">
        <v>230</v>
      </c>
      <c r="K281">
        <v>533.20000000000005</v>
      </c>
      <c r="L281" s="10">
        <v>250</v>
      </c>
      <c r="M281" s="10">
        <f t="shared" si="27"/>
        <v>-0.93403693931398413</v>
      </c>
      <c r="N281" s="10"/>
      <c r="O281" s="4">
        <v>2.0799999999999999E-2</v>
      </c>
      <c r="P281" s="4">
        <v>2.0799999999999999E-2</v>
      </c>
      <c r="Q281" s="14" t="s">
        <v>202</v>
      </c>
      <c r="R281" t="s">
        <v>325</v>
      </c>
      <c r="S281" t="s">
        <v>325</v>
      </c>
      <c r="T281" t="s">
        <v>327</v>
      </c>
    </row>
    <row r="282" spans="2:20">
      <c r="B282" s="14">
        <v>1</v>
      </c>
      <c r="C282" s="14"/>
      <c r="D282" t="s">
        <v>8</v>
      </c>
      <c r="E282" t="s">
        <v>418</v>
      </c>
      <c r="F282" t="s">
        <v>257</v>
      </c>
      <c r="G282" t="s">
        <v>257</v>
      </c>
      <c r="H282" t="s">
        <v>326</v>
      </c>
      <c r="I282" s="8"/>
      <c r="J282" s="11">
        <v>400</v>
      </c>
      <c r="K282">
        <v>591.51</v>
      </c>
      <c r="L282" s="10">
        <v>450</v>
      </c>
      <c r="M282" s="10">
        <f t="shared" si="27"/>
        <v>-0.73891702783144486</v>
      </c>
      <c r="N282" s="10">
        <f t="shared" ref="N282:N306" si="28">K282/L282</f>
        <v>1.3144666666666667</v>
      </c>
      <c r="O282" s="4">
        <v>-7.1000000000000004E-3</v>
      </c>
      <c r="P282" s="4">
        <v>-7.1000000000000004E-3</v>
      </c>
      <c r="Q282" s="14" t="s">
        <v>146</v>
      </c>
      <c r="R282" t="s">
        <v>327</v>
      </c>
      <c r="S282" t="s">
        <v>325</v>
      </c>
      <c r="T282" t="s">
        <v>329</v>
      </c>
    </row>
    <row r="283" spans="2:20" ht="14.25" customHeight="1">
      <c r="B283" s="14">
        <v>1</v>
      </c>
      <c r="C283" s="14"/>
      <c r="D283" t="s">
        <v>192</v>
      </c>
      <c r="E283" t="s">
        <v>332</v>
      </c>
      <c r="F283" t="s">
        <v>258</v>
      </c>
      <c r="G283" t="s">
        <v>258</v>
      </c>
      <c r="H283" t="s">
        <v>326</v>
      </c>
      <c r="J283" s="10">
        <v>57.93</v>
      </c>
      <c r="K283">
        <v>55.59</v>
      </c>
      <c r="L283" s="10">
        <v>65</v>
      </c>
      <c r="M283" s="10">
        <f t="shared" si="27"/>
        <v>-4.0213675213675266</v>
      </c>
      <c r="N283" s="10">
        <f t="shared" si="28"/>
        <v>0.85523076923076924</v>
      </c>
      <c r="O283" s="4">
        <v>3.5099999999999999E-2</v>
      </c>
      <c r="P283" s="4">
        <v>3.5099999999999999E-2</v>
      </c>
      <c r="Q283" s="15"/>
      <c r="R283" t="s">
        <v>325</v>
      </c>
      <c r="S283" t="s">
        <v>326</v>
      </c>
      <c r="T283" t="s">
        <v>329</v>
      </c>
    </row>
    <row r="284" spans="2:20">
      <c r="B284" s="14">
        <v>1</v>
      </c>
      <c r="C284" s="14"/>
      <c r="D284" t="s">
        <v>148</v>
      </c>
      <c r="E284" t="s">
        <v>88</v>
      </c>
      <c r="F284" t="s">
        <v>258</v>
      </c>
      <c r="G284" t="s">
        <v>258</v>
      </c>
      <c r="H284" t="s">
        <v>325</v>
      </c>
      <c r="J284" s="10">
        <v>600</v>
      </c>
      <c r="K284">
        <v>1068.27</v>
      </c>
      <c r="L284" s="10">
        <v>800</v>
      </c>
      <c r="M284" s="10">
        <f t="shared" si="27"/>
        <v>-0.57289597881564058</v>
      </c>
      <c r="N284" s="10">
        <f t="shared" si="28"/>
        <v>1.3353375000000001</v>
      </c>
      <c r="O284" s="4">
        <v>1.34E-2</v>
      </c>
      <c r="P284" s="4">
        <v>1.34E-2</v>
      </c>
      <c r="Q284" s="14" t="s">
        <v>149</v>
      </c>
      <c r="R284" t="s">
        <v>325</v>
      </c>
      <c r="S284" t="s">
        <v>327</v>
      </c>
      <c r="T284" t="s">
        <v>328</v>
      </c>
    </row>
    <row r="285" spans="2:20">
      <c r="B285" s="14">
        <v>1</v>
      </c>
      <c r="C285" s="14"/>
      <c r="D285" t="s">
        <v>544</v>
      </c>
      <c r="E285" t="s">
        <v>301</v>
      </c>
      <c r="F285" t="s">
        <v>259</v>
      </c>
      <c r="G285"/>
      <c r="H285" t="s">
        <v>326</v>
      </c>
      <c r="J285" s="10">
        <v>9</v>
      </c>
      <c r="K285">
        <v>26.31</v>
      </c>
      <c r="L285" s="10">
        <v>11</v>
      </c>
      <c r="M285" s="11">
        <f t="shared" si="27"/>
        <v>-0.88445984979780468</v>
      </c>
      <c r="N285" s="10">
        <f t="shared" si="28"/>
        <v>2.3918181818181816</v>
      </c>
      <c r="O285" s="4">
        <v>5.5300000000000002E-2</v>
      </c>
      <c r="P285" s="4">
        <v>5.5300000000000002E-2</v>
      </c>
      <c r="Q285" s="14" t="s">
        <v>545</v>
      </c>
      <c r="R285" t="s">
        <v>325</v>
      </c>
      <c r="S285" t="s">
        <v>325</v>
      </c>
      <c r="T285" t="s">
        <v>436</v>
      </c>
    </row>
    <row r="286" spans="2:20">
      <c r="B286" s="14">
        <v>1</v>
      </c>
      <c r="C286" s="14"/>
      <c r="D286" t="s">
        <v>395</v>
      </c>
      <c r="E286" t="s">
        <v>267</v>
      </c>
      <c r="F286" t="s">
        <v>261</v>
      </c>
      <c r="G286" t="s">
        <v>261</v>
      </c>
      <c r="H286" t="s">
        <v>325</v>
      </c>
      <c r="J286" s="10">
        <v>42</v>
      </c>
      <c r="K286">
        <v>95.8</v>
      </c>
      <c r="L286" s="10">
        <v>50</v>
      </c>
      <c r="M286" s="10">
        <f t="shared" si="27"/>
        <v>-0.85130111524163565</v>
      </c>
      <c r="N286" s="10">
        <f t="shared" si="28"/>
        <v>1.9159999999999999</v>
      </c>
      <c r="O286" s="4">
        <v>6.5000000000000002E-2</v>
      </c>
      <c r="P286" s="4">
        <v>6.5000000000000002E-2</v>
      </c>
      <c r="Q286" s="14"/>
      <c r="R286" t="s">
        <v>325</v>
      </c>
      <c r="S286" t="s">
        <v>325</v>
      </c>
      <c r="T286" t="s">
        <v>327</v>
      </c>
    </row>
    <row r="287" spans="2:20">
      <c r="B287" s="14">
        <v>1</v>
      </c>
      <c r="C287" s="14"/>
      <c r="D287" t="s">
        <v>34</v>
      </c>
      <c r="E287" t="s">
        <v>217</v>
      </c>
      <c r="F287" t="s">
        <v>261</v>
      </c>
      <c r="G287" t="s">
        <v>261</v>
      </c>
      <c r="H287" t="s">
        <v>325</v>
      </c>
      <c r="J287" s="10">
        <v>14</v>
      </c>
      <c r="K287">
        <v>24.31</v>
      </c>
      <c r="L287" s="10">
        <v>16</v>
      </c>
      <c r="M287" s="10">
        <f t="shared" si="27"/>
        <v>-0.80601357904946647</v>
      </c>
      <c r="N287" s="10">
        <f t="shared" si="28"/>
        <v>1.5193749999999999</v>
      </c>
      <c r="O287" s="4">
        <v>3.8999999999999998E-3</v>
      </c>
      <c r="P287" s="4">
        <v>3.8999999999999998E-3</v>
      </c>
      <c r="Q287" s="14" t="s">
        <v>64</v>
      </c>
      <c r="R287" t="s">
        <v>325</v>
      </c>
      <c r="S287" t="s">
        <v>326</v>
      </c>
      <c r="T287" t="s">
        <v>328</v>
      </c>
    </row>
    <row r="288" spans="2:20">
      <c r="B288" s="14">
        <v>1</v>
      </c>
      <c r="C288" s="14"/>
      <c r="D288" t="s">
        <v>392</v>
      </c>
      <c r="E288" t="s">
        <v>394</v>
      </c>
      <c r="F288" t="s">
        <v>259</v>
      </c>
      <c r="G288" t="s">
        <v>259</v>
      </c>
      <c r="H288" t="s">
        <v>325</v>
      </c>
      <c r="J288" s="10"/>
      <c r="K288">
        <v>222.56</v>
      </c>
      <c r="L288" s="10"/>
      <c r="M288" s="10"/>
      <c r="N288" s="10" t="e">
        <f t="shared" si="28"/>
        <v>#DIV/0!</v>
      </c>
      <c r="O288" s="4">
        <v>1.01E-2</v>
      </c>
      <c r="P288" s="4">
        <v>1.01E-2</v>
      </c>
      <c r="Q288" s="14"/>
      <c r="R288" t="s">
        <v>325</v>
      </c>
      <c r="S288" t="s">
        <v>326</v>
      </c>
      <c r="T288" t="s">
        <v>327</v>
      </c>
    </row>
    <row r="289" spans="2:20">
      <c r="B289" s="14">
        <v>1</v>
      </c>
      <c r="C289" s="14"/>
      <c r="D289" t="s">
        <v>357</v>
      </c>
      <c r="E289" t="s">
        <v>293</v>
      </c>
      <c r="F289" t="s">
        <v>258</v>
      </c>
      <c r="G289" t="s">
        <v>260</v>
      </c>
      <c r="H289" t="s">
        <v>325</v>
      </c>
      <c r="J289" s="10">
        <v>85</v>
      </c>
      <c r="K289">
        <v>135.66999999999999</v>
      </c>
      <c r="L289" s="10">
        <v>100</v>
      </c>
      <c r="M289" s="10">
        <f t="shared" ref="M289:M300" si="29" xml:space="preserve"> (L289 - K289)/(K289-J289)</f>
        <v>-0.70396684428655998</v>
      </c>
      <c r="N289" s="10">
        <f t="shared" si="28"/>
        <v>1.3566999999999998</v>
      </c>
      <c r="O289" s="4">
        <v>1.4999999999999999E-2</v>
      </c>
      <c r="P289" s="4">
        <v>1.4999999999999999E-2</v>
      </c>
      <c r="Q289" s="15"/>
      <c r="R289" t="s">
        <v>327</v>
      </c>
      <c r="S289" t="s">
        <v>327</v>
      </c>
      <c r="T289" t="s">
        <v>328</v>
      </c>
    </row>
    <row r="290" spans="2:20">
      <c r="B290" s="14">
        <v>1</v>
      </c>
      <c r="C290" s="14"/>
      <c r="D290" t="s">
        <v>344</v>
      </c>
      <c r="E290" t="s">
        <v>88</v>
      </c>
      <c r="F290" t="s">
        <v>260</v>
      </c>
      <c r="G290" t="s">
        <v>260</v>
      </c>
      <c r="H290" t="s">
        <v>325</v>
      </c>
      <c r="I290">
        <v>83</v>
      </c>
      <c r="J290" s="10">
        <v>71</v>
      </c>
      <c r="K290">
        <v>135.96</v>
      </c>
      <c r="L290" s="10">
        <v>85</v>
      </c>
      <c r="M290" s="10">
        <f t="shared" si="29"/>
        <v>-0.78448275862068972</v>
      </c>
      <c r="N290" s="10">
        <f t="shared" si="28"/>
        <v>1.5995294117647059</v>
      </c>
      <c r="O290" s="4">
        <v>1.8100000000000002E-2</v>
      </c>
      <c r="P290" s="4">
        <v>1.8100000000000002E-2</v>
      </c>
      <c r="Q290" s="15"/>
      <c r="R290" t="s">
        <v>325</v>
      </c>
      <c r="S290" t="s">
        <v>327</v>
      </c>
      <c r="T290" t="s">
        <v>329</v>
      </c>
    </row>
    <row r="291" spans="2:20">
      <c r="B291" s="14">
        <v>1</v>
      </c>
      <c r="C291" s="14"/>
      <c r="D291" t="s">
        <v>439</v>
      </c>
      <c r="E291" t="s">
        <v>164</v>
      </c>
      <c r="F291" t="s">
        <v>261</v>
      </c>
      <c r="G291" t="s">
        <v>261</v>
      </c>
      <c r="H291" t="s">
        <v>326</v>
      </c>
      <c r="J291">
        <v>46</v>
      </c>
      <c r="K291">
        <v>26.84</v>
      </c>
      <c r="L291">
        <v>55</v>
      </c>
      <c r="M291" s="10">
        <f t="shared" si="29"/>
        <v>-1.4697286012526096</v>
      </c>
      <c r="N291" s="10">
        <f t="shared" si="28"/>
        <v>0.48799999999999999</v>
      </c>
      <c r="O291" s="4">
        <v>5.9999999999999995E-4</v>
      </c>
      <c r="P291" s="4">
        <v>5.9999999999999995E-4</v>
      </c>
      <c r="Q291" s="15"/>
      <c r="R291" t="s">
        <v>325</v>
      </c>
      <c r="S291" t="s">
        <v>327</v>
      </c>
      <c r="T291" t="s">
        <v>329</v>
      </c>
    </row>
    <row r="292" spans="2:20">
      <c r="B292" s="14">
        <v>1</v>
      </c>
      <c r="C292" s="14"/>
      <c r="D292" t="s">
        <v>240</v>
      </c>
      <c r="E292" t="s">
        <v>293</v>
      </c>
      <c r="F292" t="s">
        <v>257</v>
      </c>
      <c r="G292" t="s">
        <v>261</v>
      </c>
      <c r="H292" t="s">
        <v>325</v>
      </c>
      <c r="I292" s="8"/>
      <c r="J292" s="11">
        <v>97</v>
      </c>
      <c r="K292">
        <v>143.81</v>
      </c>
      <c r="L292" s="10">
        <v>114</v>
      </c>
      <c r="M292" s="10">
        <f t="shared" si="29"/>
        <v>-0.63682973723563341</v>
      </c>
      <c r="N292" s="10">
        <f t="shared" si="28"/>
        <v>1.2614912280701756</v>
      </c>
      <c r="O292" s="4">
        <v>8.0999999999999996E-3</v>
      </c>
      <c r="P292" s="4">
        <v>8.0999999999999996E-3</v>
      </c>
      <c r="Q292" s="14"/>
      <c r="R292" t="s">
        <v>326</v>
      </c>
      <c r="S292" t="s">
        <v>326</v>
      </c>
      <c r="T292" t="s">
        <v>328</v>
      </c>
    </row>
    <row r="293" spans="2:20">
      <c r="B293" s="14">
        <v>1</v>
      </c>
      <c r="C293" s="14"/>
      <c r="D293" t="s">
        <v>512</v>
      </c>
      <c r="E293" t="s">
        <v>268</v>
      </c>
      <c r="F293" t="s">
        <v>258</v>
      </c>
      <c r="G293" t="s">
        <v>258</v>
      </c>
      <c r="H293" t="s">
        <v>325</v>
      </c>
      <c r="J293" s="11">
        <v>80</v>
      </c>
      <c r="K293">
        <v>300.58</v>
      </c>
      <c r="L293" s="10">
        <v>100</v>
      </c>
      <c r="M293" s="10">
        <f t="shared" si="29"/>
        <v>-0.90932994831807057</v>
      </c>
      <c r="N293" s="10">
        <f t="shared" si="28"/>
        <v>3.0057999999999998</v>
      </c>
      <c r="O293" s="4">
        <v>1.6E-2</v>
      </c>
      <c r="P293" s="4">
        <v>1.6E-2</v>
      </c>
      <c r="Q293" s="14"/>
      <c r="R293" t="s">
        <v>325</v>
      </c>
      <c r="S293" t="s">
        <v>325</v>
      </c>
      <c r="T293" t="s">
        <v>329</v>
      </c>
    </row>
    <row r="294" spans="2:20">
      <c r="B294" s="14">
        <v>1</v>
      </c>
      <c r="C294" s="13">
        <v>14</v>
      </c>
      <c r="D294" t="s">
        <v>127</v>
      </c>
      <c r="E294" t="s">
        <v>270</v>
      </c>
      <c r="F294" t="s">
        <v>260</v>
      </c>
      <c r="G294" t="s">
        <v>260</v>
      </c>
      <c r="H294" t="s">
        <v>325</v>
      </c>
      <c r="J294">
        <v>200</v>
      </c>
      <c r="K294">
        <v>135.35</v>
      </c>
      <c r="L294">
        <v>220</v>
      </c>
      <c r="M294" s="10">
        <f t="shared" si="29"/>
        <v>-1.3093580819798918</v>
      </c>
      <c r="N294" s="10">
        <f t="shared" si="28"/>
        <v>0.61522727272727273</v>
      </c>
      <c r="O294" s="4">
        <v>2.5999999999999999E-3</v>
      </c>
      <c r="P294" s="4">
        <v>2.5999999999999999E-3</v>
      </c>
      <c r="Q294" s="14" t="s">
        <v>130</v>
      </c>
      <c r="R294" t="s">
        <v>327</v>
      </c>
      <c r="S294" t="s">
        <v>326</v>
      </c>
      <c r="T294" t="s">
        <v>327</v>
      </c>
    </row>
    <row r="295" spans="2:20">
      <c r="B295" s="14">
        <v>1</v>
      </c>
      <c r="C295" s="14"/>
      <c r="D295" t="s">
        <v>59</v>
      </c>
      <c r="E295" t="s">
        <v>276</v>
      </c>
      <c r="F295" t="s">
        <v>257</v>
      </c>
      <c r="G295" t="s">
        <v>257</v>
      </c>
      <c r="H295" t="s">
        <v>325</v>
      </c>
      <c r="J295" s="11">
        <v>440</v>
      </c>
      <c r="K295">
        <v>706.95</v>
      </c>
      <c r="L295" s="10">
        <v>480</v>
      </c>
      <c r="M295" s="10">
        <f t="shared" si="29"/>
        <v>-0.85015920584379101</v>
      </c>
      <c r="N295" s="10">
        <f t="shared" si="28"/>
        <v>1.4728125000000001</v>
      </c>
      <c r="O295" s="4">
        <v>1.0800000000000001E-2</v>
      </c>
      <c r="P295" s="4">
        <v>1.0800000000000001E-2</v>
      </c>
      <c r="Q295" s="14"/>
      <c r="R295" t="s">
        <v>325</v>
      </c>
      <c r="S295" t="s">
        <v>327</v>
      </c>
      <c r="T295" t="s">
        <v>328</v>
      </c>
    </row>
    <row r="296" spans="2:20">
      <c r="B296" s="14">
        <v>1</v>
      </c>
      <c r="C296" s="14"/>
      <c r="D296" t="s">
        <v>361</v>
      </c>
      <c r="E296" t="s">
        <v>88</v>
      </c>
      <c r="F296" t="s">
        <v>258</v>
      </c>
      <c r="G296" t="s">
        <v>258</v>
      </c>
      <c r="H296" t="s">
        <v>325</v>
      </c>
      <c r="J296" s="10">
        <v>50</v>
      </c>
      <c r="K296">
        <v>91.7</v>
      </c>
      <c r="L296" s="10">
        <v>60</v>
      </c>
      <c r="M296" s="10">
        <f t="shared" si="29"/>
        <v>-0.76019184652278182</v>
      </c>
      <c r="N296" s="10">
        <f t="shared" si="28"/>
        <v>1.5283333333333333</v>
      </c>
      <c r="O296" s="4">
        <v>6.4199999999999993E-2</v>
      </c>
      <c r="P296" s="4">
        <v>6.4199999999999993E-2</v>
      </c>
      <c r="Q296" s="15"/>
      <c r="R296" t="s">
        <v>327</v>
      </c>
      <c r="S296" t="s">
        <v>326</v>
      </c>
      <c r="T296" t="s">
        <v>328</v>
      </c>
    </row>
    <row r="297" spans="2:20">
      <c r="B297" s="14">
        <v>1</v>
      </c>
      <c r="C297" s="13">
        <v>14</v>
      </c>
      <c r="D297" t="s">
        <v>36</v>
      </c>
      <c r="E297" t="s">
        <v>415</v>
      </c>
      <c r="F297" t="s">
        <v>257</v>
      </c>
      <c r="G297" t="s">
        <v>257</v>
      </c>
      <c r="H297" t="s">
        <v>325</v>
      </c>
      <c r="J297" s="10">
        <v>7</v>
      </c>
      <c r="K297">
        <v>16.96</v>
      </c>
      <c r="L297" s="10">
        <v>8.5</v>
      </c>
      <c r="M297" s="10">
        <f t="shared" si="29"/>
        <v>-0.8493975903614458</v>
      </c>
      <c r="N297" s="10">
        <f t="shared" si="28"/>
        <v>1.9952941176470589</v>
      </c>
      <c r="O297" s="4">
        <v>3.1600000000000003E-2</v>
      </c>
      <c r="P297" s="4">
        <v>3.1600000000000003E-2</v>
      </c>
      <c r="Q297" s="14" t="s">
        <v>89</v>
      </c>
      <c r="R297" t="s">
        <v>325</v>
      </c>
      <c r="S297" t="s">
        <v>325</v>
      </c>
      <c r="T297" t="s">
        <v>329</v>
      </c>
    </row>
    <row r="298" spans="2:20">
      <c r="B298" s="14">
        <v>1</v>
      </c>
      <c r="C298" s="14"/>
      <c r="D298" t="s">
        <v>574</v>
      </c>
      <c r="E298" t="s">
        <v>215</v>
      </c>
      <c r="F298" t="s">
        <v>257</v>
      </c>
      <c r="G298" t="s">
        <v>257</v>
      </c>
      <c r="H298" t="s">
        <v>326</v>
      </c>
      <c r="I298" s="7"/>
      <c r="J298" s="10">
        <v>60</v>
      </c>
      <c r="K298">
        <v>93.33</v>
      </c>
      <c r="L298" s="10">
        <v>100</v>
      </c>
      <c r="M298" s="10">
        <f t="shared" si="29"/>
        <v>0.20012001200120019</v>
      </c>
      <c r="N298" s="10">
        <f t="shared" si="28"/>
        <v>0.93330000000000002</v>
      </c>
      <c r="O298" s="4">
        <v>8.5999999999999993E-2</v>
      </c>
      <c r="P298" s="4">
        <v>8.5999999999999993E-2</v>
      </c>
      <c r="Q298" s="14"/>
      <c r="R298" t="s">
        <v>326</v>
      </c>
      <c r="S298" t="s">
        <v>326</v>
      </c>
      <c r="T298" t="s">
        <v>327</v>
      </c>
    </row>
    <row r="299" spans="2:20">
      <c r="B299" s="14">
        <v>1</v>
      </c>
      <c r="C299" s="14"/>
      <c r="D299" t="s">
        <v>600</v>
      </c>
      <c r="E299" t="s">
        <v>164</v>
      </c>
      <c r="F299" t="s">
        <v>257</v>
      </c>
      <c r="G299" t="s">
        <v>257</v>
      </c>
      <c r="H299" t="s">
        <v>326</v>
      </c>
      <c r="J299" s="11">
        <v>2</v>
      </c>
      <c r="K299">
        <v>6.4</v>
      </c>
      <c r="L299" s="10">
        <v>2.5</v>
      </c>
      <c r="M299" s="10">
        <f t="shared" si="29"/>
        <v>-0.88636363636363635</v>
      </c>
      <c r="N299" s="10">
        <f t="shared" si="28"/>
        <v>2.56</v>
      </c>
      <c r="O299" s="4">
        <v>3.0099999999999998E-2</v>
      </c>
      <c r="P299" s="4">
        <v>3.0099999999999998E-2</v>
      </c>
      <c r="Q299" s="14"/>
      <c r="R299" t="s">
        <v>327</v>
      </c>
      <c r="S299" t="s">
        <v>325</v>
      </c>
      <c r="T299" t="s">
        <v>327</v>
      </c>
    </row>
    <row r="300" spans="2:20">
      <c r="B300" s="14">
        <v>1</v>
      </c>
      <c r="C300" s="14"/>
      <c r="D300" t="s">
        <v>353</v>
      </c>
      <c r="E300" t="s">
        <v>293</v>
      </c>
      <c r="F300" t="s">
        <v>258</v>
      </c>
      <c r="G300" t="s">
        <v>258</v>
      </c>
      <c r="H300" t="s">
        <v>325</v>
      </c>
      <c r="J300" s="10">
        <v>350</v>
      </c>
      <c r="K300">
        <v>813.84</v>
      </c>
      <c r="L300" s="10">
        <v>375</v>
      </c>
      <c r="M300" s="10">
        <f t="shared" si="29"/>
        <v>-0.9461021041738531</v>
      </c>
      <c r="N300" s="10">
        <f t="shared" si="28"/>
        <v>2.1702400000000002</v>
      </c>
      <c r="O300" s="4">
        <v>6.9999999999999999E-4</v>
      </c>
      <c r="P300" s="4">
        <v>6.9999999999999999E-4</v>
      </c>
      <c r="Q300" s="14"/>
      <c r="R300" t="s">
        <v>327</v>
      </c>
      <c r="S300" t="s">
        <v>325</v>
      </c>
      <c r="T300" t="s">
        <v>327</v>
      </c>
    </row>
    <row r="301" spans="2:20">
      <c r="B301" s="14">
        <v>1</v>
      </c>
      <c r="C301" s="14"/>
      <c r="D301" t="s">
        <v>346</v>
      </c>
      <c r="E301" t="s">
        <v>420</v>
      </c>
      <c r="F301" t="s">
        <v>257</v>
      </c>
      <c r="G301" t="s">
        <v>257</v>
      </c>
      <c r="H301" t="s">
        <v>325</v>
      </c>
      <c r="J301" s="10"/>
      <c r="K301">
        <v>10.43</v>
      </c>
      <c r="L301" s="10"/>
      <c r="M301" s="10"/>
      <c r="N301" s="10" t="e">
        <f t="shared" si="28"/>
        <v>#DIV/0!</v>
      </c>
      <c r="O301" s="4">
        <v>-1.21E-2</v>
      </c>
      <c r="P301" s="4">
        <v>-1.21E-2</v>
      </c>
      <c r="Q301" s="14"/>
      <c r="R301" t="s">
        <v>327</v>
      </c>
      <c r="S301" t="s">
        <v>326</v>
      </c>
      <c r="T301" t="s">
        <v>329</v>
      </c>
    </row>
    <row r="302" spans="2:20">
      <c r="B302" s="14">
        <v>1</v>
      </c>
      <c r="C302" s="14"/>
      <c r="D302" t="s">
        <v>351</v>
      </c>
      <c r="E302" t="s">
        <v>293</v>
      </c>
      <c r="F302" t="s">
        <v>258</v>
      </c>
      <c r="G302" t="s">
        <v>258</v>
      </c>
      <c r="H302" t="s">
        <v>325</v>
      </c>
      <c r="J302" s="10"/>
      <c r="K302">
        <v>161.46</v>
      </c>
      <c r="L302" s="10"/>
      <c r="M302" s="10"/>
      <c r="N302" s="10" t="e">
        <f t="shared" si="28"/>
        <v>#DIV/0!</v>
      </c>
      <c r="O302" s="4">
        <v>1.84E-2</v>
      </c>
      <c r="P302" s="4">
        <v>1.84E-2</v>
      </c>
      <c r="Q302" s="14"/>
      <c r="R302" t="s">
        <v>327</v>
      </c>
      <c r="S302" t="s">
        <v>326</v>
      </c>
      <c r="T302" t="s">
        <v>327</v>
      </c>
    </row>
    <row r="303" spans="2:20">
      <c r="B303" s="14">
        <v>1</v>
      </c>
      <c r="C303" s="14"/>
      <c r="D303" t="s">
        <v>172</v>
      </c>
      <c r="E303" t="s">
        <v>521</v>
      </c>
      <c r="F303" t="s">
        <v>261</v>
      </c>
      <c r="G303" t="s">
        <v>261</v>
      </c>
      <c r="H303" t="s">
        <v>325</v>
      </c>
      <c r="J303" s="10">
        <v>70</v>
      </c>
      <c r="K303">
        <v>132.03</v>
      </c>
      <c r="L303" s="10">
        <v>85</v>
      </c>
      <c r="M303" s="10">
        <f xml:space="preserve"> (L303 - K303)/(K303-J303)</f>
        <v>-0.75818152506851522</v>
      </c>
      <c r="N303" s="10">
        <f t="shared" si="28"/>
        <v>1.5532941176470589</v>
      </c>
      <c r="O303" s="4">
        <v>4.4200000000000003E-2</v>
      </c>
      <c r="P303" s="4">
        <v>4.4200000000000003E-2</v>
      </c>
      <c r="Q303" s="14"/>
      <c r="R303" t="s">
        <v>326</v>
      </c>
      <c r="S303" t="s">
        <v>326</v>
      </c>
      <c r="T303" t="s">
        <v>327</v>
      </c>
    </row>
    <row r="304" spans="2:20">
      <c r="B304" s="14">
        <v>1</v>
      </c>
      <c r="C304" s="14"/>
      <c r="D304" t="s">
        <v>109</v>
      </c>
      <c r="E304" t="s">
        <v>110</v>
      </c>
      <c r="F304" t="s">
        <v>260</v>
      </c>
      <c r="G304" t="s">
        <v>260</v>
      </c>
      <c r="H304" t="s">
        <v>325</v>
      </c>
      <c r="J304" s="11">
        <v>10</v>
      </c>
      <c r="K304">
        <v>10.93</v>
      </c>
      <c r="L304" s="10">
        <v>14</v>
      </c>
      <c r="M304" s="10">
        <f xml:space="preserve"> (L304 - K304)/(K304-J304)</f>
        <v>3.3010752688172058</v>
      </c>
      <c r="N304" s="10">
        <f t="shared" si="28"/>
        <v>0.78071428571428569</v>
      </c>
      <c r="O304" s="4">
        <v>4.9399999999999999E-2</v>
      </c>
      <c r="P304" s="4">
        <v>4.9399999999999999E-2</v>
      </c>
      <c r="Q304" s="14" t="s">
        <v>110</v>
      </c>
      <c r="R304" t="s">
        <v>325</v>
      </c>
      <c r="S304" t="s">
        <v>325</v>
      </c>
      <c r="T304" t="s">
        <v>327</v>
      </c>
    </row>
    <row r="305" spans="2:20">
      <c r="B305" s="14">
        <v>1</v>
      </c>
      <c r="C305" s="14"/>
      <c r="D305" t="s">
        <v>128</v>
      </c>
      <c r="E305" t="s">
        <v>110</v>
      </c>
      <c r="F305" t="s">
        <v>260</v>
      </c>
      <c r="G305" t="s">
        <v>260</v>
      </c>
      <c r="H305" t="s">
        <v>325</v>
      </c>
      <c r="J305" s="10">
        <v>40.36</v>
      </c>
      <c r="K305">
        <v>58.47</v>
      </c>
      <c r="L305" s="10">
        <v>45</v>
      </c>
      <c r="M305" s="10">
        <f xml:space="preserve"> (L305 - K305)/(K305-J305)</f>
        <v>-0.7437879624516841</v>
      </c>
      <c r="N305" s="10">
        <f t="shared" si="28"/>
        <v>1.2993333333333332</v>
      </c>
      <c r="O305" s="4">
        <v>-2.5999999999999999E-3</v>
      </c>
      <c r="P305" s="4">
        <v>-2.5999999999999999E-3</v>
      </c>
      <c r="Q305" s="14" t="s">
        <v>129</v>
      </c>
      <c r="R305" t="s">
        <v>325</v>
      </c>
      <c r="S305" t="s">
        <v>325</v>
      </c>
      <c r="T305" t="s">
        <v>327</v>
      </c>
    </row>
    <row r="306" spans="2:20">
      <c r="B306" s="14">
        <v>1</v>
      </c>
      <c r="C306" s="14"/>
      <c r="D306" t="s">
        <v>449</v>
      </c>
      <c r="E306" t="s">
        <v>88</v>
      </c>
      <c r="F306" t="s">
        <v>258</v>
      </c>
      <c r="G306" t="s">
        <v>258</v>
      </c>
      <c r="H306" t="s">
        <v>325</v>
      </c>
      <c r="J306" s="16"/>
      <c r="K306">
        <v>228.35</v>
      </c>
      <c r="L306" s="10"/>
      <c r="M306" s="10"/>
      <c r="N306" s="10" t="e">
        <f t="shared" si="28"/>
        <v>#DIV/0!</v>
      </c>
      <c r="O306" s="4">
        <v>1.83E-2</v>
      </c>
      <c r="P306" s="4">
        <v>1.83E-2</v>
      </c>
      <c r="Q306" s="14"/>
      <c r="R306" t="s">
        <v>325</v>
      </c>
      <c r="S306" t="s">
        <v>327</v>
      </c>
      <c r="T306" t="s">
        <v>327</v>
      </c>
    </row>
    <row r="307" spans="2:20">
      <c r="B307" s="14">
        <v>1</v>
      </c>
      <c r="C307" s="14"/>
      <c r="D307" t="s">
        <v>162</v>
      </c>
      <c r="E307" t="s">
        <v>267</v>
      </c>
      <c r="F307" t="s">
        <v>260</v>
      </c>
      <c r="G307" t="s">
        <v>260</v>
      </c>
      <c r="H307" t="s">
        <v>325</v>
      </c>
      <c r="I307" s="8">
        <v>154</v>
      </c>
      <c r="J307" s="11">
        <v>140</v>
      </c>
      <c r="K307">
        <v>158.58000000000001</v>
      </c>
      <c r="L307" s="10">
        <v>178</v>
      </c>
      <c r="M307" s="10">
        <f xml:space="preserve"> (L307 - K307)/(K307-J307)</f>
        <v>1.0452099031216349</v>
      </c>
      <c r="N307" s="10"/>
      <c r="O307" s="4">
        <v>-2.9600000000000001E-2</v>
      </c>
      <c r="P307" s="4">
        <v>-2.9600000000000001E-2</v>
      </c>
      <c r="Q307" s="14" t="s">
        <v>73</v>
      </c>
      <c r="R307" t="s">
        <v>325</v>
      </c>
      <c r="S307" t="s">
        <v>325</v>
      </c>
      <c r="T307" t="s">
        <v>329</v>
      </c>
    </row>
    <row r="308" spans="2:20">
      <c r="B308" s="14">
        <v>1</v>
      </c>
      <c r="C308" s="13">
        <v>14</v>
      </c>
      <c r="D308" t="s">
        <v>470</v>
      </c>
      <c r="E308" t="s">
        <v>557</v>
      </c>
      <c r="F308" t="s">
        <v>262</v>
      </c>
      <c r="G308" t="s">
        <v>262</v>
      </c>
      <c r="H308" t="s">
        <v>326</v>
      </c>
      <c r="I308" s="8">
        <v>70</v>
      </c>
      <c r="J308" s="11">
        <v>69</v>
      </c>
      <c r="K308">
        <v>96.27</v>
      </c>
      <c r="L308" s="10">
        <v>73</v>
      </c>
      <c r="M308" s="10">
        <f xml:space="preserve"> (L308 - K308)/(K308-J308)</f>
        <v>-0.85331866519985333</v>
      </c>
      <c r="N308" s="10">
        <f>K308/L308</f>
        <v>1.3187671232876712</v>
      </c>
      <c r="O308" s="4">
        <v>1.89E-2</v>
      </c>
      <c r="P308" s="4">
        <v>1.89E-2</v>
      </c>
      <c r="Q308" s="33"/>
      <c r="R308" t="s">
        <v>325</v>
      </c>
      <c r="S308" t="s">
        <v>326</v>
      </c>
      <c r="T308" t="s">
        <v>329</v>
      </c>
    </row>
    <row r="309" spans="2:20">
      <c r="B309" s="14">
        <v>1</v>
      </c>
      <c r="C309" s="14"/>
      <c r="D309" t="s">
        <v>230</v>
      </c>
      <c r="E309" t="s">
        <v>276</v>
      </c>
      <c r="F309" t="s">
        <v>260</v>
      </c>
      <c r="G309" t="s">
        <v>260</v>
      </c>
      <c r="H309" t="s">
        <v>325</v>
      </c>
      <c r="I309">
        <v>99.6</v>
      </c>
      <c r="J309" s="10">
        <v>95</v>
      </c>
      <c r="K309">
        <v>291.44</v>
      </c>
      <c r="L309" s="10">
        <v>102</v>
      </c>
      <c r="M309" s="10">
        <f xml:space="preserve"> (L309 - K309)/(K309-J309)</f>
        <v>-0.96436570963143964</v>
      </c>
      <c r="N309" s="10">
        <f>K309/L309</f>
        <v>2.8572549019607845</v>
      </c>
      <c r="O309" s="4">
        <v>4.7000000000000002E-3</v>
      </c>
      <c r="P309" s="4">
        <v>4.7000000000000002E-3</v>
      </c>
      <c r="Q309" s="14"/>
      <c r="R309" t="s">
        <v>325</v>
      </c>
      <c r="S309" t="s">
        <v>327</v>
      </c>
      <c r="T309" t="s">
        <v>327</v>
      </c>
    </row>
    <row r="310" spans="2:20">
      <c r="B310" s="14">
        <v>1</v>
      </c>
      <c r="C310" s="14"/>
      <c r="D310" t="s">
        <v>222</v>
      </c>
      <c r="E310" t="s">
        <v>289</v>
      </c>
      <c r="F310" t="s">
        <v>257</v>
      </c>
      <c r="G310" t="s">
        <v>257</v>
      </c>
      <c r="H310" t="s">
        <v>326</v>
      </c>
      <c r="I310" s="8"/>
      <c r="J310" s="11">
        <v>140</v>
      </c>
      <c r="K310">
        <v>225.99</v>
      </c>
      <c r="L310" s="10">
        <v>200</v>
      </c>
      <c r="M310" s="10">
        <f xml:space="preserve"> (L310 - K310)/(K310-J310)</f>
        <v>-0.30224444702872433</v>
      </c>
      <c r="N310" s="10"/>
      <c r="O310" s="4">
        <v>2.7799999999999998E-2</v>
      </c>
      <c r="P310" s="4">
        <v>2.7799999999999998E-2</v>
      </c>
      <c r="Q310" s="14" t="s">
        <v>66</v>
      </c>
      <c r="R310" t="s">
        <v>327</v>
      </c>
      <c r="S310" t="s">
        <v>325</v>
      </c>
      <c r="T310" t="s">
        <v>327</v>
      </c>
    </row>
    <row r="311" spans="2:20">
      <c r="B311" s="14">
        <v>1</v>
      </c>
      <c r="C311" s="14"/>
      <c r="D311" t="s">
        <v>363</v>
      </c>
      <c r="E311" t="s">
        <v>280</v>
      </c>
      <c r="F311" t="s">
        <v>262</v>
      </c>
      <c r="G311" t="s">
        <v>262</v>
      </c>
      <c r="H311" t="s">
        <v>326</v>
      </c>
      <c r="J311" s="10"/>
      <c r="K311">
        <v>31.5</v>
      </c>
      <c r="L311" s="10"/>
      <c r="M311" s="10"/>
      <c r="N311" s="10" t="e">
        <f t="shared" ref="N311:N318" si="30">K311/L311</f>
        <v>#DIV/0!</v>
      </c>
      <c r="O311" s="4">
        <v>4.5999999999999999E-3</v>
      </c>
      <c r="P311" s="4">
        <v>4.5999999999999999E-3</v>
      </c>
      <c r="Q311" s="15"/>
      <c r="R311" t="s">
        <v>326</v>
      </c>
      <c r="S311" t="s">
        <v>326</v>
      </c>
      <c r="T311" t="s">
        <v>328</v>
      </c>
    </row>
    <row r="312" spans="2:20">
      <c r="B312" s="14">
        <v>1</v>
      </c>
      <c r="C312" s="14"/>
      <c r="D312" t="s">
        <v>370</v>
      </c>
      <c r="E312" t="s">
        <v>284</v>
      </c>
      <c r="F312" t="s">
        <v>263</v>
      </c>
      <c r="G312" t="s">
        <v>263</v>
      </c>
      <c r="H312" t="s">
        <v>326</v>
      </c>
      <c r="J312" s="10">
        <v>6</v>
      </c>
      <c r="K312">
        <v>281.16000000000003</v>
      </c>
      <c r="L312" s="10">
        <v>12</v>
      </c>
      <c r="M312" s="10">
        <f t="shared" ref="M312:M327" si="31" xml:space="preserve"> (L312 - K312)/(K312-J312)</f>
        <v>-0.97819450501526384</v>
      </c>
      <c r="N312" s="10">
        <f t="shared" si="30"/>
        <v>23.430000000000003</v>
      </c>
      <c r="O312" s="4">
        <v>-3.7000000000000002E-3</v>
      </c>
      <c r="P312" s="4">
        <v>-3.7000000000000002E-3</v>
      </c>
      <c r="Q312" s="14"/>
      <c r="R312" t="s">
        <v>326</v>
      </c>
      <c r="S312" t="s">
        <v>326</v>
      </c>
      <c r="T312" t="s">
        <v>328</v>
      </c>
    </row>
    <row r="313" spans="2:20">
      <c r="B313" s="14">
        <v>1</v>
      </c>
      <c r="C313" s="14"/>
      <c r="D313" t="s">
        <v>526</v>
      </c>
      <c r="E313" t="s">
        <v>332</v>
      </c>
      <c r="F313" t="s">
        <v>258</v>
      </c>
      <c r="G313" t="s">
        <v>258</v>
      </c>
      <c r="H313" t="s">
        <v>326</v>
      </c>
      <c r="I313" s="8"/>
      <c r="J313" s="11">
        <v>70</v>
      </c>
      <c r="K313">
        <v>131.88</v>
      </c>
      <c r="L313" s="10">
        <v>85</v>
      </c>
      <c r="M313" s="10">
        <f t="shared" si="31"/>
        <v>-0.75759534583063992</v>
      </c>
      <c r="N313" s="10">
        <f t="shared" si="30"/>
        <v>1.5515294117647058</v>
      </c>
      <c r="O313" s="4">
        <v>2.1600000000000001E-2</v>
      </c>
      <c r="P313" s="4">
        <v>2.1600000000000001E-2</v>
      </c>
      <c r="Q313" s="15"/>
      <c r="R313" t="s">
        <v>325</v>
      </c>
      <c r="S313" t="s">
        <v>325</v>
      </c>
      <c r="T313" t="s">
        <v>329</v>
      </c>
    </row>
    <row r="314" spans="2:20">
      <c r="B314" s="14">
        <v>1</v>
      </c>
      <c r="C314" s="14"/>
      <c r="D314" t="s">
        <v>112</v>
      </c>
      <c r="E314" t="s">
        <v>415</v>
      </c>
      <c r="F314" t="s">
        <v>264</v>
      </c>
      <c r="G314" t="s">
        <v>264</v>
      </c>
      <c r="H314" t="s">
        <v>325</v>
      </c>
      <c r="J314" s="10">
        <v>82.55</v>
      </c>
      <c r="K314">
        <v>102.15</v>
      </c>
      <c r="L314" s="10">
        <v>108</v>
      </c>
      <c r="M314" s="10">
        <f t="shared" si="31"/>
        <v>0.29846938775510162</v>
      </c>
      <c r="N314" s="10">
        <f t="shared" si="30"/>
        <v>0.94583333333333341</v>
      </c>
      <c r="O314" s="4">
        <v>-3.8999999999999998E-3</v>
      </c>
      <c r="P314" s="4">
        <v>-3.8999999999999998E-3</v>
      </c>
      <c r="Q314" s="14" t="s">
        <v>160</v>
      </c>
      <c r="R314" t="s">
        <v>326</v>
      </c>
      <c r="S314" t="s">
        <v>327</v>
      </c>
      <c r="T314" t="s">
        <v>329</v>
      </c>
    </row>
    <row r="315" spans="2:20">
      <c r="B315" s="14">
        <v>1</v>
      </c>
      <c r="C315" s="15"/>
      <c r="D315" t="s">
        <v>614</v>
      </c>
      <c r="E315" t="s">
        <v>302</v>
      </c>
      <c r="F315" t="s">
        <v>258</v>
      </c>
      <c r="G315" t="s">
        <v>258</v>
      </c>
      <c r="H315" t="s">
        <v>325</v>
      </c>
      <c r="I315" s="8"/>
      <c r="J315" s="11">
        <v>30</v>
      </c>
      <c r="K315">
        <v>40.229999999999997</v>
      </c>
      <c r="L315" s="11">
        <v>40</v>
      </c>
      <c r="M315" s="10">
        <f t="shared" si="31"/>
        <v>-2.2482893450635089E-2</v>
      </c>
      <c r="N315" s="10">
        <f t="shared" si="30"/>
        <v>1.0057499999999999</v>
      </c>
      <c r="O315" s="4">
        <v>3.2800000000000003E-2</v>
      </c>
      <c r="P315" s="4">
        <v>3.2800000000000003E-2</v>
      </c>
      <c r="Q315" s="14"/>
      <c r="R315" t="s">
        <v>327</v>
      </c>
      <c r="S315" t="s">
        <v>326</v>
      </c>
      <c r="T315" t="s">
        <v>328</v>
      </c>
    </row>
    <row r="316" spans="2:20">
      <c r="B316" s="14">
        <v>1</v>
      </c>
      <c r="C316" s="14"/>
      <c r="D316" t="s">
        <v>191</v>
      </c>
      <c r="E316" t="s">
        <v>332</v>
      </c>
      <c r="F316" t="s">
        <v>264</v>
      </c>
      <c r="G316" t="s">
        <v>264</v>
      </c>
      <c r="H316" t="s">
        <v>326</v>
      </c>
      <c r="I316">
        <v>280</v>
      </c>
      <c r="J316" s="10">
        <v>270</v>
      </c>
      <c r="K316">
        <v>459.55</v>
      </c>
      <c r="L316" s="10">
        <v>320</v>
      </c>
      <c r="M316" s="10">
        <f t="shared" si="31"/>
        <v>-0.73621735689791612</v>
      </c>
      <c r="N316" s="10">
        <f t="shared" si="30"/>
        <v>1.4360937499999999</v>
      </c>
      <c r="O316" s="4">
        <v>2.9000000000000001E-2</v>
      </c>
      <c r="P316" s="4">
        <v>2.9000000000000001E-2</v>
      </c>
      <c r="Q316" s="14"/>
      <c r="R316" t="s">
        <v>327</v>
      </c>
      <c r="S316" t="s">
        <v>326</v>
      </c>
      <c r="T316" t="s">
        <v>327</v>
      </c>
    </row>
    <row r="317" spans="2:20">
      <c r="B317" s="14">
        <v>1</v>
      </c>
      <c r="C317" s="14"/>
      <c r="D317" t="s">
        <v>500</v>
      </c>
      <c r="E317" t="s">
        <v>420</v>
      </c>
      <c r="F317" t="s">
        <v>257</v>
      </c>
      <c r="G317" t="s">
        <v>257</v>
      </c>
      <c r="H317" t="s">
        <v>325</v>
      </c>
      <c r="I317">
        <v>40</v>
      </c>
      <c r="J317" s="10">
        <v>40</v>
      </c>
      <c r="K317">
        <v>36.89</v>
      </c>
      <c r="L317" s="10">
        <v>55</v>
      </c>
      <c r="M317" s="10">
        <f t="shared" si="31"/>
        <v>-5.8231511254019299</v>
      </c>
      <c r="N317" s="10">
        <f t="shared" si="30"/>
        <v>0.67072727272727273</v>
      </c>
      <c r="O317" s="4">
        <v>-7.4999999999999997E-3</v>
      </c>
      <c r="P317" s="4">
        <v>-7.4999999999999997E-3</v>
      </c>
      <c r="Q317" s="15"/>
      <c r="R317" t="s">
        <v>325</v>
      </c>
      <c r="S317" t="s">
        <v>327</v>
      </c>
      <c r="T317" t="s">
        <v>327</v>
      </c>
    </row>
    <row r="318" spans="2:20">
      <c r="B318" s="14">
        <v>1</v>
      </c>
      <c r="C318" s="14"/>
      <c r="D318" t="s">
        <v>113</v>
      </c>
      <c r="E318" t="s">
        <v>255</v>
      </c>
      <c r="F318" t="s">
        <v>258</v>
      </c>
      <c r="G318" t="s">
        <v>258</v>
      </c>
      <c r="H318" t="s">
        <v>325</v>
      </c>
      <c r="J318" s="10">
        <v>8</v>
      </c>
      <c r="K318">
        <v>9.0399999999999991</v>
      </c>
      <c r="L318" s="10">
        <v>12</v>
      </c>
      <c r="M318" s="10">
        <f t="shared" si="31"/>
        <v>2.8461538461538494</v>
      </c>
      <c r="N318" s="10">
        <f t="shared" si="30"/>
        <v>0.7533333333333333</v>
      </c>
      <c r="O318" s="4">
        <v>9.9000000000000008E-3</v>
      </c>
      <c r="P318" s="4">
        <v>9.9000000000000008E-3</v>
      </c>
      <c r="Q318" s="14" t="s">
        <v>119</v>
      </c>
      <c r="R318" t="s">
        <v>326</v>
      </c>
      <c r="S318" t="s">
        <v>327</v>
      </c>
      <c r="T318" t="s">
        <v>329</v>
      </c>
    </row>
    <row r="319" spans="2:20">
      <c r="B319" s="14">
        <v>1</v>
      </c>
      <c r="C319" s="14"/>
      <c r="D319" t="s">
        <v>399</v>
      </c>
      <c r="E319" t="s">
        <v>274</v>
      </c>
      <c r="F319" t="s">
        <v>258</v>
      </c>
      <c r="G319" t="s">
        <v>258</v>
      </c>
      <c r="H319" t="s">
        <v>326</v>
      </c>
      <c r="J319" s="10">
        <v>50</v>
      </c>
      <c r="K319">
        <v>72.819999999999993</v>
      </c>
      <c r="L319" s="10">
        <v>55</v>
      </c>
      <c r="M319" s="10">
        <f t="shared" si="31"/>
        <v>-0.78089395267309369</v>
      </c>
      <c r="N319" s="10"/>
      <c r="O319" s="4">
        <v>1.44E-2</v>
      </c>
      <c r="P319" s="4">
        <v>1.44E-2</v>
      </c>
      <c r="Q319" s="14"/>
      <c r="R319" t="s">
        <v>325</v>
      </c>
      <c r="S319" t="s">
        <v>327</v>
      </c>
      <c r="T319" t="s">
        <v>328</v>
      </c>
    </row>
    <row r="320" spans="2:20">
      <c r="B320" s="14">
        <v>1</v>
      </c>
      <c r="C320" s="14"/>
      <c r="D320" t="s">
        <v>481</v>
      </c>
      <c r="E320" t="s">
        <v>255</v>
      </c>
      <c r="F320" t="s">
        <v>262</v>
      </c>
      <c r="G320" t="s">
        <v>262</v>
      </c>
      <c r="H320" t="s">
        <v>325</v>
      </c>
      <c r="J320" s="10">
        <v>14</v>
      </c>
      <c r="K320">
        <v>18.95</v>
      </c>
      <c r="L320" s="10">
        <v>22</v>
      </c>
      <c r="M320" s="10">
        <f t="shared" si="31"/>
        <v>0.61616161616161635</v>
      </c>
      <c r="N320" s="10">
        <f>K320/L320</f>
        <v>0.86136363636363633</v>
      </c>
      <c r="O320" s="4">
        <v>-7.5700000000000003E-2</v>
      </c>
      <c r="P320" s="4">
        <v>-7.5700000000000003E-2</v>
      </c>
      <c r="Q320" s="14"/>
      <c r="R320" t="s">
        <v>327</v>
      </c>
      <c r="S320" t="s">
        <v>326</v>
      </c>
      <c r="T320" t="s">
        <v>329</v>
      </c>
    </row>
    <row r="321" spans="2:20">
      <c r="B321" s="14">
        <v>1</v>
      </c>
      <c r="C321" s="15"/>
      <c r="D321" t="s">
        <v>400</v>
      </c>
      <c r="E321" t="s">
        <v>267</v>
      </c>
      <c r="F321" t="s">
        <v>260</v>
      </c>
      <c r="G321" t="s">
        <v>260</v>
      </c>
      <c r="H321" t="s">
        <v>325</v>
      </c>
      <c r="I321" s="8">
        <v>164</v>
      </c>
      <c r="J321" s="11">
        <v>160</v>
      </c>
      <c r="K321">
        <v>193.8</v>
      </c>
      <c r="L321" s="11">
        <v>180</v>
      </c>
      <c r="M321" s="10">
        <f t="shared" si="31"/>
        <v>-0.40828402366863925</v>
      </c>
      <c r="N321" s="10">
        <f>K321/L321</f>
        <v>1.0766666666666667</v>
      </c>
      <c r="O321" s="4">
        <v>-1.21E-2</v>
      </c>
      <c r="P321" s="4">
        <v>-1.21E-2</v>
      </c>
      <c r="Q321" s="14"/>
      <c r="R321" t="s">
        <v>325</v>
      </c>
      <c r="S321" t="s">
        <v>327</v>
      </c>
      <c r="T321" t="s">
        <v>436</v>
      </c>
    </row>
    <row r="322" spans="2:20">
      <c r="B322" s="14">
        <v>1</v>
      </c>
      <c r="C322" s="14"/>
      <c r="D322" t="s">
        <v>429</v>
      </c>
      <c r="E322" t="s">
        <v>110</v>
      </c>
      <c r="F322" t="s">
        <v>258</v>
      </c>
      <c r="G322" t="s">
        <v>258</v>
      </c>
      <c r="H322" t="s">
        <v>325</v>
      </c>
      <c r="J322" s="10">
        <v>160</v>
      </c>
      <c r="K322">
        <v>120.26</v>
      </c>
      <c r="L322" s="10">
        <v>180</v>
      </c>
      <c r="M322" s="10">
        <f t="shared" si="31"/>
        <v>-1.5032712632108707</v>
      </c>
      <c r="N322" s="10"/>
      <c r="O322" s="4">
        <v>2.0000000000000001E-4</v>
      </c>
      <c r="P322" s="4">
        <v>2.0000000000000001E-4</v>
      </c>
      <c r="Q322" s="14"/>
      <c r="R322" t="s">
        <v>326</v>
      </c>
      <c r="S322" t="s">
        <v>327</v>
      </c>
      <c r="T322" t="s">
        <v>327</v>
      </c>
    </row>
    <row r="323" spans="2:20">
      <c r="B323" s="14">
        <v>1</v>
      </c>
      <c r="C323" s="14"/>
      <c r="D323" s="8" t="s">
        <v>374</v>
      </c>
      <c r="E323" t="s">
        <v>276</v>
      </c>
      <c r="F323" t="s">
        <v>261</v>
      </c>
      <c r="G323" t="s">
        <v>258</v>
      </c>
      <c r="H323" t="s">
        <v>325</v>
      </c>
      <c r="J323" s="10">
        <v>150</v>
      </c>
      <c r="K323">
        <v>195.3</v>
      </c>
      <c r="L323" s="10">
        <v>250</v>
      </c>
      <c r="M323" s="10">
        <f t="shared" si="31"/>
        <v>1.2075055187637964</v>
      </c>
      <c r="N323" s="10">
        <f t="shared" ref="N323:N336" si="32">K323/L323</f>
        <v>0.78120000000000001</v>
      </c>
      <c r="O323" s="4">
        <v>1.5100000000000001E-2</v>
      </c>
      <c r="P323" s="4">
        <v>1.5100000000000001E-2</v>
      </c>
      <c r="Q323" s="14"/>
      <c r="R323" t="s">
        <v>325</v>
      </c>
      <c r="S323" t="s">
        <v>325</v>
      </c>
      <c r="T323" t="s">
        <v>327</v>
      </c>
    </row>
    <row r="324" spans="2:20">
      <c r="B324" s="14">
        <v>1</v>
      </c>
      <c r="C324" s="14"/>
      <c r="D324" t="s">
        <v>509</v>
      </c>
      <c r="E324" t="s">
        <v>104</v>
      </c>
      <c r="F324" t="s">
        <v>258</v>
      </c>
      <c r="G324" t="s">
        <v>258</v>
      </c>
      <c r="H324" t="s">
        <v>326</v>
      </c>
      <c r="I324" s="19"/>
      <c r="J324" s="10">
        <v>18.5</v>
      </c>
      <c r="K324">
        <v>11.89</v>
      </c>
      <c r="L324" s="10">
        <v>22</v>
      </c>
      <c r="M324" s="10">
        <f t="shared" si="31"/>
        <v>-1.5295007564296521</v>
      </c>
      <c r="N324" s="10">
        <f t="shared" si="32"/>
        <v>0.54045454545454552</v>
      </c>
      <c r="O324" s="4">
        <v>2.92E-2</v>
      </c>
      <c r="P324" s="4">
        <v>2.92E-2</v>
      </c>
      <c r="Q324" s="14"/>
      <c r="R324" t="s">
        <v>327</v>
      </c>
      <c r="S324" t="s">
        <v>327</v>
      </c>
      <c r="T324" t="s">
        <v>327</v>
      </c>
    </row>
    <row r="325" spans="2:20">
      <c r="B325" s="14">
        <v>1</v>
      </c>
      <c r="C325" s="14"/>
      <c r="D325" t="s">
        <v>570</v>
      </c>
      <c r="E325" t="s">
        <v>375</v>
      </c>
      <c r="F325" t="s">
        <v>261</v>
      </c>
      <c r="G325" t="s">
        <v>261</v>
      </c>
      <c r="H325" t="s">
        <v>325</v>
      </c>
      <c r="I325" s="7"/>
      <c r="J325" s="10">
        <v>1.7</v>
      </c>
      <c r="K325">
        <v>2.73</v>
      </c>
      <c r="L325" s="10">
        <v>4</v>
      </c>
      <c r="M325" s="10">
        <f t="shared" si="31"/>
        <v>1.233009708737864</v>
      </c>
      <c r="N325" s="10">
        <f t="shared" si="32"/>
        <v>0.6825</v>
      </c>
      <c r="O325" s="4">
        <v>0.12330000000000001</v>
      </c>
      <c r="P325" s="4">
        <v>0.12330000000000001</v>
      </c>
      <c r="Q325" s="15"/>
      <c r="R325" t="s">
        <v>326</v>
      </c>
      <c r="S325" t="s">
        <v>326</v>
      </c>
      <c r="T325" t="s">
        <v>436</v>
      </c>
    </row>
    <row r="326" spans="2:20">
      <c r="B326" s="14">
        <v>1</v>
      </c>
      <c r="C326" s="14"/>
      <c r="D326" t="s">
        <v>10</v>
      </c>
      <c r="E326" t="s">
        <v>267</v>
      </c>
      <c r="F326"/>
      <c r="G326"/>
      <c r="H326" t="s">
        <v>710</v>
      </c>
      <c r="I326" s="8"/>
      <c r="J326" s="11">
        <v>31</v>
      </c>
      <c r="K326">
        <v>0</v>
      </c>
      <c r="L326" s="10">
        <v>35</v>
      </c>
      <c r="M326" s="10">
        <f t="shared" si="31"/>
        <v>-1.1290322580645162</v>
      </c>
      <c r="N326" s="10">
        <f t="shared" si="32"/>
        <v>0</v>
      </c>
      <c r="O326" s="4">
        <v>-3.2199999999999999E-2</v>
      </c>
      <c r="P326" s="4">
        <v>-3.2199999999999999E-2</v>
      </c>
      <c r="Q326" s="14" t="s">
        <v>121</v>
      </c>
      <c r="R326" t="s">
        <v>325</v>
      </c>
      <c r="S326" t="s">
        <v>327</v>
      </c>
      <c r="T326" t="s">
        <v>327</v>
      </c>
    </row>
    <row r="327" spans="2:20">
      <c r="B327" s="14">
        <v>1</v>
      </c>
      <c r="C327" s="14"/>
      <c r="D327" t="s">
        <v>19</v>
      </c>
      <c r="E327" t="s">
        <v>267</v>
      </c>
      <c r="F327" t="s">
        <v>258</v>
      </c>
      <c r="G327" t="s">
        <v>260</v>
      </c>
      <c r="H327" t="s">
        <v>325</v>
      </c>
      <c r="I327">
        <v>110</v>
      </c>
      <c r="J327" s="10">
        <v>100</v>
      </c>
      <c r="K327">
        <v>164</v>
      </c>
      <c r="L327" s="10">
        <v>120</v>
      </c>
      <c r="M327" s="10">
        <f t="shared" si="31"/>
        <v>-0.6875</v>
      </c>
      <c r="N327" s="10">
        <f t="shared" si="32"/>
        <v>1.3666666666666667</v>
      </c>
      <c r="O327" s="4">
        <v>-3.9199999999999999E-2</v>
      </c>
      <c r="P327" s="4">
        <v>-3.9199999999999999E-2</v>
      </c>
      <c r="Q327" s="14" t="s">
        <v>73</v>
      </c>
      <c r="R327" t="s">
        <v>325</v>
      </c>
      <c r="S327" t="s">
        <v>325</v>
      </c>
      <c r="T327" t="s">
        <v>329</v>
      </c>
    </row>
    <row r="328" spans="2:20">
      <c r="B328" s="14">
        <v>1</v>
      </c>
      <c r="C328" s="14"/>
      <c r="D328" t="s">
        <v>20</v>
      </c>
      <c r="E328" t="s">
        <v>419</v>
      </c>
      <c r="F328" t="s">
        <v>257</v>
      </c>
      <c r="G328" t="s">
        <v>257</v>
      </c>
      <c r="H328" t="s">
        <v>325</v>
      </c>
      <c r="J328" s="10"/>
      <c r="K328">
        <v>191.73</v>
      </c>
      <c r="L328" s="10"/>
      <c r="M328" s="10"/>
      <c r="N328" s="10" t="e">
        <f t="shared" si="32"/>
        <v>#DIV/0!</v>
      </c>
      <c r="O328" s="4">
        <v>2.7699999999999999E-2</v>
      </c>
      <c r="P328" s="4">
        <v>2.7699999999999999E-2</v>
      </c>
      <c r="Q328" s="14"/>
      <c r="R328" t="s">
        <v>325</v>
      </c>
      <c r="S328" t="s">
        <v>327</v>
      </c>
      <c r="T328" t="s">
        <v>327</v>
      </c>
    </row>
    <row r="329" spans="2:20">
      <c r="B329" s="14">
        <v>1</v>
      </c>
      <c r="C329" s="14"/>
      <c r="D329" t="s">
        <v>401</v>
      </c>
      <c r="E329" t="s">
        <v>267</v>
      </c>
      <c r="F329" t="s">
        <v>258</v>
      </c>
      <c r="G329" t="s">
        <v>258</v>
      </c>
      <c r="H329" t="s">
        <v>325</v>
      </c>
      <c r="I329">
        <v>14</v>
      </c>
      <c r="J329" s="10">
        <v>13</v>
      </c>
      <c r="K329">
        <v>24.49</v>
      </c>
      <c r="L329" s="10">
        <v>16</v>
      </c>
      <c r="M329" s="10">
        <f xml:space="preserve"> (L329 - K329)/(K329-J329)</f>
        <v>-0.73890339425587459</v>
      </c>
      <c r="N329" s="10">
        <f t="shared" si="32"/>
        <v>1.5306249999999999</v>
      </c>
      <c r="O329" s="4">
        <v>7.2900000000000006E-2</v>
      </c>
      <c r="P329" s="4">
        <v>7.2900000000000006E-2</v>
      </c>
      <c r="Q329" s="15"/>
      <c r="R329" t="s">
        <v>325</v>
      </c>
      <c r="S329" t="s">
        <v>327</v>
      </c>
      <c r="T329" t="s">
        <v>327</v>
      </c>
    </row>
    <row r="330" spans="2:20">
      <c r="B330" s="14">
        <v>1</v>
      </c>
      <c r="C330" s="31">
        <v>6</v>
      </c>
      <c r="D330" t="s">
        <v>24</v>
      </c>
      <c r="E330" t="s">
        <v>269</v>
      </c>
      <c r="F330" t="s">
        <v>260</v>
      </c>
      <c r="G330" t="s">
        <v>260</v>
      </c>
      <c r="H330" t="s">
        <v>326</v>
      </c>
      <c r="J330" s="10">
        <v>94.5</v>
      </c>
      <c r="K330">
        <v>118.13</v>
      </c>
      <c r="L330" s="10">
        <v>105</v>
      </c>
      <c r="M330" s="10">
        <f xml:space="preserve"> (L330 - K330)/(K330-J330)</f>
        <v>-0.55564959796868374</v>
      </c>
      <c r="N330" s="10">
        <f t="shared" si="32"/>
        <v>1.1250476190476191</v>
      </c>
      <c r="O330" s="4">
        <v>6.4999999999999997E-3</v>
      </c>
      <c r="P330" s="4">
        <v>6.4999999999999997E-3</v>
      </c>
      <c r="Q330" s="15" t="s">
        <v>68</v>
      </c>
      <c r="R330" t="s">
        <v>325</v>
      </c>
      <c r="S330" t="s">
        <v>325</v>
      </c>
      <c r="T330" t="s">
        <v>327</v>
      </c>
    </row>
    <row r="331" spans="2:20">
      <c r="B331" s="14">
        <v>1</v>
      </c>
      <c r="C331" s="31">
        <v>6</v>
      </c>
      <c r="D331" t="s">
        <v>42</v>
      </c>
      <c r="E331" t="s">
        <v>272</v>
      </c>
      <c r="F331" t="s">
        <v>258</v>
      </c>
      <c r="G331" t="s">
        <v>257</v>
      </c>
      <c r="H331" t="s">
        <v>325</v>
      </c>
      <c r="J331" s="10"/>
      <c r="K331">
        <v>114.19</v>
      </c>
      <c r="L331" s="10"/>
      <c r="M331" s="10"/>
      <c r="N331" s="10" t="e">
        <f t="shared" si="32"/>
        <v>#DIV/0!</v>
      </c>
      <c r="O331" s="4">
        <v>1.8200000000000001E-2</v>
      </c>
      <c r="P331" s="4">
        <v>1.8200000000000001E-2</v>
      </c>
      <c r="Q331" s="14"/>
      <c r="R331" t="s">
        <v>325</v>
      </c>
      <c r="S331" t="s">
        <v>325</v>
      </c>
      <c r="T331" t="s">
        <v>329</v>
      </c>
    </row>
    <row r="332" spans="2:20">
      <c r="B332" s="14">
        <v>1</v>
      </c>
      <c r="C332" s="14"/>
      <c r="D332" t="s">
        <v>80</v>
      </c>
      <c r="E332" t="s">
        <v>272</v>
      </c>
      <c r="F332" t="s">
        <v>258</v>
      </c>
      <c r="G332" t="s">
        <v>258</v>
      </c>
      <c r="H332" t="s">
        <v>325</v>
      </c>
      <c r="J332" s="10">
        <v>3</v>
      </c>
      <c r="K332">
        <v>13.34</v>
      </c>
      <c r="L332" s="10">
        <v>5.5</v>
      </c>
      <c r="M332" s="10">
        <f t="shared" ref="M332:M342" si="33" xml:space="preserve"> (L332 - K332)/(K332-J332)</f>
        <v>-0.75822050290135401</v>
      </c>
      <c r="N332" s="10">
        <f t="shared" si="32"/>
        <v>2.4254545454545453</v>
      </c>
      <c r="O332" s="4">
        <v>1.35E-2</v>
      </c>
      <c r="P332" s="4">
        <v>1.35E-2</v>
      </c>
      <c r="Q332" s="14" t="s">
        <v>87</v>
      </c>
      <c r="R332" t="s">
        <v>325</v>
      </c>
      <c r="S332" t="s">
        <v>325</v>
      </c>
      <c r="T332" t="s">
        <v>436</v>
      </c>
    </row>
    <row r="333" spans="2:20">
      <c r="B333" s="14">
        <v>1</v>
      </c>
      <c r="C333" s="14"/>
      <c r="D333" t="s">
        <v>309</v>
      </c>
      <c r="E333" t="s">
        <v>255</v>
      </c>
      <c r="F333" t="s">
        <v>260</v>
      </c>
      <c r="G333" t="s">
        <v>260</v>
      </c>
      <c r="H333" t="s">
        <v>325</v>
      </c>
      <c r="J333" s="10">
        <v>95</v>
      </c>
      <c r="K333">
        <v>235.07</v>
      </c>
      <c r="L333" s="10">
        <v>140</v>
      </c>
      <c r="M333" s="10">
        <f t="shared" si="33"/>
        <v>-0.6787320625401585</v>
      </c>
      <c r="N333" s="10">
        <f t="shared" si="32"/>
        <v>1.6790714285714285</v>
      </c>
      <c r="O333" s="4">
        <v>-6.4100000000000004E-2</v>
      </c>
      <c r="P333" s="4">
        <v>-6.4100000000000004E-2</v>
      </c>
      <c r="Q333" s="15"/>
      <c r="R333" t="s">
        <v>326</v>
      </c>
      <c r="S333" t="s">
        <v>326</v>
      </c>
      <c r="T333" t="s">
        <v>327</v>
      </c>
    </row>
    <row r="334" spans="2:20">
      <c r="B334" s="14">
        <v>1</v>
      </c>
      <c r="C334" s="14"/>
      <c r="D334" t="s">
        <v>504</v>
      </c>
      <c r="E334" t="s">
        <v>215</v>
      </c>
      <c r="F334" t="s">
        <v>264</v>
      </c>
      <c r="G334" t="s">
        <v>264</v>
      </c>
      <c r="H334" t="s">
        <v>326</v>
      </c>
      <c r="J334" s="10">
        <v>86</v>
      </c>
      <c r="K334">
        <v>148.74</v>
      </c>
      <c r="L334" s="10">
        <v>100</v>
      </c>
      <c r="M334" s="10">
        <f t="shared" si="33"/>
        <v>-0.7768568696206567</v>
      </c>
      <c r="N334" s="10">
        <f t="shared" si="32"/>
        <v>1.4874000000000001</v>
      </c>
      <c r="O334" s="4">
        <v>2.1999999999999999E-2</v>
      </c>
      <c r="P334" s="4">
        <v>2.1999999999999999E-2</v>
      </c>
      <c r="Q334" s="14"/>
      <c r="R334" t="s">
        <v>325</v>
      </c>
      <c r="S334" t="s">
        <v>327</v>
      </c>
      <c r="T334" t="s">
        <v>329</v>
      </c>
    </row>
    <row r="335" spans="2:20">
      <c r="B335" s="14">
        <v>1</v>
      </c>
      <c r="C335" s="14"/>
      <c r="D335" t="s">
        <v>111</v>
      </c>
      <c r="E335" t="s">
        <v>291</v>
      </c>
      <c r="F335" t="s">
        <v>258</v>
      </c>
      <c r="G335" t="s">
        <v>258</v>
      </c>
      <c r="H335" t="s">
        <v>325</v>
      </c>
      <c r="J335">
        <v>17</v>
      </c>
      <c r="K335">
        <v>25.36</v>
      </c>
      <c r="L335">
        <v>20</v>
      </c>
      <c r="M335" s="10">
        <f t="shared" si="33"/>
        <v>-0.64114832535885169</v>
      </c>
      <c r="N335" s="10">
        <f t="shared" si="32"/>
        <v>1.268</v>
      </c>
      <c r="O335" s="4">
        <v>-1.2999999999999999E-3</v>
      </c>
      <c r="P335" s="4">
        <v>-1.2999999999999999E-3</v>
      </c>
      <c r="Q335" s="14" t="s">
        <v>147</v>
      </c>
      <c r="R335" t="s">
        <v>325</v>
      </c>
      <c r="S335" t="s">
        <v>325</v>
      </c>
      <c r="T335" t="s">
        <v>329</v>
      </c>
    </row>
    <row r="336" spans="2:20">
      <c r="B336" s="14">
        <v>1</v>
      </c>
      <c r="C336" s="14"/>
      <c r="D336" t="s">
        <v>334</v>
      </c>
      <c r="E336" t="s">
        <v>269</v>
      </c>
      <c r="F336" t="s">
        <v>257</v>
      </c>
      <c r="G336" t="s">
        <v>257</v>
      </c>
      <c r="H336" t="s">
        <v>326</v>
      </c>
      <c r="J336" s="10">
        <v>52</v>
      </c>
      <c r="K336">
        <v>78.33</v>
      </c>
      <c r="L336" s="10">
        <v>65</v>
      </c>
      <c r="M336" s="10">
        <f t="shared" si="33"/>
        <v>-0.50626661602734524</v>
      </c>
      <c r="N336" s="10">
        <f t="shared" si="32"/>
        <v>1.2050769230769232</v>
      </c>
      <c r="O336" s="4">
        <v>2.8E-3</v>
      </c>
      <c r="P336" s="4">
        <v>2.8E-3</v>
      </c>
      <c r="Q336" s="15"/>
      <c r="R336" t="s">
        <v>326</v>
      </c>
      <c r="S336" t="s">
        <v>325</v>
      </c>
      <c r="T336" t="s">
        <v>328</v>
      </c>
    </row>
    <row r="337" spans="2:20">
      <c r="B337" s="14">
        <v>1</v>
      </c>
      <c r="C337" s="14"/>
      <c r="D337" t="s">
        <v>193</v>
      </c>
      <c r="E337" t="s">
        <v>265</v>
      </c>
      <c r="F337" t="s">
        <v>261</v>
      </c>
      <c r="G337" t="s">
        <v>260</v>
      </c>
      <c r="H337" t="s">
        <v>325</v>
      </c>
      <c r="I337">
        <v>127</v>
      </c>
      <c r="J337" s="10">
        <v>125</v>
      </c>
      <c r="K337">
        <v>232.53</v>
      </c>
      <c r="L337" s="10">
        <v>140</v>
      </c>
      <c r="M337" s="10">
        <f t="shared" si="33"/>
        <v>-0.86050404538268388</v>
      </c>
      <c r="N337" s="10"/>
      <c r="O337" s="4">
        <v>2.6499999999999999E-2</v>
      </c>
      <c r="P337" s="4">
        <v>2.6499999999999999E-2</v>
      </c>
      <c r="Q337" s="14"/>
      <c r="R337" t="s">
        <v>325</v>
      </c>
      <c r="S337" t="s">
        <v>327</v>
      </c>
      <c r="T337" t="s">
        <v>329</v>
      </c>
    </row>
    <row r="338" spans="2:20">
      <c r="B338" s="14">
        <v>1</v>
      </c>
      <c r="C338" s="14"/>
      <c r="D338" t="s">
        <v>126</v>
      </c>
      <c r="E338" t="s">
        <v>292</v>
      </c>
      <c r="F338"/>
      <c r="G338"/>
      <c r="H338" t="s">
        <v>710</v>
      </c>
      <c r="I338" s="8">
        <v>10</v>
      </c>
      <c r="J338" s="11">
        <v>8.5</v>
      </c>
      <c r="K338">
        <v>13.78</v>
      </c>
      <c r="L338" s="10">
        <v>12</v>
      </c>
      <c r="M338" s="10">
        <f t="shared" si="33"/>
        <v>-0.33712121212121204</v>
      </c>
      <c r="N338" s="10"/>
      <c r="O338" s="28">
        <v>0</v>
      </c>
      <c r="P338" s="28">
        <v>0</v>
      </c>
      <c r="Q338" s="14" t="s">
        <v>198</v>
      </c>
      <c r="R338" t="s">
        <v>710</v>
      </c>
      <c r="S338" t="s">
        <v>710</v>
      </c>
      <c r="T338" t="s">
        <v>710</v>
      </c>
    </row>
    <row r="339" spans="2:20">
      <c r="B339" s="14">
        <v>1</v>
      </c>
      <c r="C339" s="14"/>
      <c r="D339" t="s">
        <v>413</v>
      </c>
      <c r="E339" t="s">
        <v>291</v>
      </c>
      <c r="F339" t="s">
        <v>258</v>
      </c>
      <c r="G339" t="s">
        <v>258</v>
      </c>
      <c r="H339" t="s">
        <v>325</v>
      </c>
      <c r="J339" s="10">
        <v>32</v>
      </c>
      <c r="K339">
        <v>47.16</v>
      </c>
      <c r="L339" s="10">
        <v>35</v>
      </c>
      <c r="M339" s="10">
        <f t="shared" si="33"/>
        <v>-0.80211081794195249</v>
      </c>
      <c r="N339" s="10">
        <f>K339/L339</f>
        <v>1.3474285714285714</v>
      </c>
      <c r="O339" s="4">
        <v>5.9999999999999995E-4</v>
      </c>
      <c r="P339" s="4">
        <v>5.9999999999999995E-4</v>
      </c>
      <c r="Q339" s="14"/>
      <c r="R339" t="s">
        <v>327</v>
      </c>
      <c r="S339" t="s">
        <v>327</v>
      </c>
      <c r="T339" t="s">
        <v>327</v>
      </c>
    </row>
    <row r="340" spans="2:20">
      <c r="B340" s="14">
        <v>1</v>
      </c>
      <c r="C340" s="14"/>
      <c r="D340" t="s">
        <v>336</v>
      </c>
      <c r="E340" t="s">
        <v>279</v>
      </c>
      <c r="F340" t="s">
        <v>261</v>
      </c>
      <c r="G340" t="s">
        <v>261</v>
      </c>
      <c r="H340" t="s">
        <v>325</v>
      </c>
      <c r="I340" s="8"/>
      <c r="J340" s="11">
        <v>7.3</v>
      </c>
      <c r="K340">
        <v>12.16</v>
      </c>
      <c r="L340" s="10">
        <v>9</v>
      </c>
      <c r="M340" s="10">
        <f t="shared" si="33"/>
        <v>-0.65020576131687247</v>
      </c>
      <c r="N340" s="10">
        <f>K340/L340</f>
        <v>1.3511111111111112</v>
      </c>
      <c r="O340" s="4">
        <v>3.7499999999999999E-2</v>
      </c>
      <c r="P340" s="4">
        <v>3.7499999999999999E-2</v>
      </c>
      <c r="Q340" s="14"/>
      <c r="R340" t="s">
        <v>325</v>
      </c>
      <c r="S340" t="s">
        <v>325</v>
      </c>
      <c r="T340" t="s">
        <v>329</v>
      </c>
    </row>
    <row r="341" spans="2:20">
      <c r="B341" s="14">
        <v>1</v>
      </c>
      <c r="C341" s="14"/>
      <c r="D341" t="s">
        <v>320</v>
      </c>
      <c r="E341" t="s">
        <v>276</v>
      </c>
      <c r="F341" t="s">
        <v>257</v>
      </c>
      <c r="G341" t="s">
        <v>257</v>
      </c>
      <c r="H341" t="s">
        <v>325</v>
      </c>
      <c r="J341" s="10">
        <v>147</v>
      </c>
      <c r="K341">
        <v>275.16000000000003</v>
      </c>
      <c r="L341" s="10">
        <v>160</v>
      </c>
      <c r="M341" s="10">
        <f t="shared" si="33"/>
        <v>-0.89856429463171039</v>
      </c>
      <c r="N341" s="10">
        <f>K341/L341</f>
        <v>1.7197500000000001</v>
      </c>
      <c r="O341" s="4">
        <v>1.24E-2</v>
      </c>
      <c r="P341" s="4">
        <v>1.24E-2</v>
      </c>
      <c r="Q341" s="14"/>
      <c r="R341" t="s">
        <v>327</v>
      </c>
      <c r="S341" t="s">
        <v>326</v>
      </c>
      <c r="T341" t="s">
        <v>327</v>
      </c>
    </row>
    <row r="342" spans="2:20">
      <c r="B342" s="14">
        <v>1</v>
      </c>
      <c r="C342" s="14"/>
      <c r="D342" t="s">
        <v>227</v>
      </c>
      <c r="E342" t="s">
        <v>276</v>
      </c>
      <c r="F342" t="s">
        <v>257</v>
      </c>
      <c r="G342" t="s">
        <v>257</v>
      </c>
      <c r="H342" t="s">
        <v>325</v>
      </c>
      <c r="J342" s="10">
        <v>206</v>
      </c>
      <c r="K342">
        <v>353.12</v>
      </c>
      <c r="L342" s="10">
        <v>230</v>
      </c>
      <c r="M342" s="10">
        <f t="shared" si="33"/>
        <v>-0.83686786296900495</v>
      </c>
      <c r="N342" s="10"/>
      <c r="O342" s="4">
        <v>1.6500000000000001E-2</v>
      </c>
      <c r="P342" s="4">
        <v>1.6500000000000001E-2</v>
      </c>
      <c r="Q342" s="14"/>
      <c r="R342" t="s">
        <v>325</v>
      </c>
      <c r="S342" t="s">
        <v>327</v>
      </c>
      <c r="T342" t="s">
        <v>328</v>
      </c>
    </row>
    <row r="343" spans="2:20">
      <c r="B343" s="14">
        <v>1</v>
      </c>
      <c r="C343" s="14"/>
      <c r="D343" t="s">
        <v>248</v>
      </c>
      <c r="E343" t="s">
        <v>290</v>
      </c>
      <c r="F343" t="s">
        <v>258</v>
      </c>
      <c r="G343" t="s">
        <v>258</v>
      </c>
      <c r="H343" t="s">
        <v>325</v>
      </c>
      <c r="J343" s="10"/>
      <c r="K343">
        <v>161.69999999999999</v>
      </c>
      <c r="L343" s="10"/>
      <c r="M343" s="10"/>
      <c r="N343" s="10" t="e">
        <f>K343/L343</f>
        <v>#DIV/0!</v>
      </c>
      <c r="O343" s="4">
        <v>1.09E-2</v>
      </c>
      <c r="P343" s="4">
        <v>1.09E-2</v>
      </c>
      <c r="Q343" s="14" t="s">
        <v>249</v>
      </c>
      <c r="R343" t="s">
        <v>325</v>
      </c>
      <c r="S343" t="s">
        <v>327</v>
      </c>
      <c r="T343" t="s">
        <v>436</v>
      </c>
    </row>
    <row r="344" spans="2:20">
      <c r="B344" s="14">
        <v>1</v>
      </c>
      <c r="C344" s="13">
        <v>14</v>
      </c>
      <c r="D344" t="s">
        <v>565</v>
      </c>
      <c r="E344" t="s">
        <v>301</v>
      </c>
      <c r="F344" t="s">
        <v>259</v>
      </c>
      <c r="G344" t="s">
        <v>258</v>
      </c>
      <c r="H344" t="s">
        <v>325</v>
      </c>
      <c r="J344" s="10">
        <v>52</v>
      </c>
      <c r="K344">
        <v>68.150000000000006</v>
      </c>
      <c r="L344" s="10">
        <v>60</v>
      </c>
      <c r="M344" s="10">
        <f xml:space="preserve"> (L344 - K344)/(K344-J344)</f>
        <v>-0.50464396284829738</v>
      </c>
      <c r="N344" s="10">
        <f>K344/L344</f>
        <v>1.1358333333333335</v>
      </c>
      <c r="O344" s="4">
        <v>1.1900000000000001E-2</v>
      </c>
      <c r="P344" s="4">
        <v>1.1900000000000001E-2</v>
      </c>
      <c r="Q344" s="14" t="s">
        <v>662</v>
      </c>
      <c r="R344" t="s">
        <v>325</v>
      </c>
      <c r="S344" t="s">
        <v>327</v>
      </c>
      <c r="T344" t="s">
        <v>329</v>
      </c>
    </row>
    <row r="345" spans="2:20">
      <c r="B345" s="14">
        <v>1</v>
      </c>
      <c r="C345" s="14"/>
      <c r="D345" t="s">
        <v>52</v>
      </c>
      <c r="E345" t="s">
        <v>88</v>
      </c>
      <c r="F345" t="s">
        <v>258</v>
      </c>
      <c r="G345" t="s">
        <v>258</v>
      </c>
      <c r="H345" t="s">
        <v>325</v>
      </c>
      <c r="I345" s="8"/>
      <c r="J345" s="11">
        <v>70</v>
      </c>
      <c r="K345">
        <v>59.29</v>
      </c>
      <c r="L345" s="10">
        <v>90</v>
      </c>
      <c r="M345" s="10">
        <f xml:space="preserve"> (L345 - K345)/(K345-J345)</f>
        <v>-2.8674136321195145</v>
      </c>
      <c r="N345" s="10">
        <f>K345/L345</f>
        <v>0.6587777777777778</v>
      </c>
      <c r="O345" s="4">
        <v>2.24E-2</v>
      </c>
      <c r="P345" s="4">
        <v>2.24E-2</v>
      </c>
      <c r="Q345" s="15" t="s">
        <v>95</v>
      </c>
      <c r="R345" t="s">
        <v>325</v>
      </c>
      <c r="S345" t="s">
        <v>327</v>
      </c>
      <c r="T345" t="s">
        <v>329</v>
      </c>
    </row>
    <row r="346" spans="2:20">
      <c r="B346" s="14">
        <v>1</v>
      </c>
      <c r="C346" s="14"/>
      <c r="D346" t="s">
        <v>518</v>
      </c>
      <c r="E346" t="s">
        <v>335</v>
      </c>
      <c r="F346"/>
      <c r="G346"/>
      <c r="H346" t="s">
        <v>326</v>
      </c>
      <c r="J346" s="10">
        <v>60</v>
      </c>
      <c r="K346">
        <v>57.66</v>
      </c>
      <c r="L346" s="10">
        <v>67.5</v>
      </c>
      <c r="M346" s="10">
        <f xml:space="preserve"> (L346 - K346)/(K346-J346)</f>
        <v>-4.2051282051282008</v>
      </c>
      <c r="N346" s="10"/>
      <c r="O346" s="4">
        <v>-2.9999999999999997E-4</v>
      </c>
      <c r="P346" s="4">
        <v>-2.9999999999999997E-4</v>
      </c>
      <c r="Q346" s="15"/>
      <c r="R346" t="s">
        <v>327</v>
      </c>
      <c r="S346" t="s">
        <v>326</v>
      </c>
      <c r="T346" t="s">
        <v>327</v>
      </c>
    </row>
    <row r="347" spans="2:20">
      <c r="B347" s="14">
        <v>1</v>
      </c>
      <c r="C347" s="14"/>
      <c r="D347" t="s">
        <v>393</v>
      </c>
      <c r="E347" t="s">
        <v>355</v>
      </c>
      <c r="F347"/>
      <c r="G347"/>
      <c r="H347" t="s">
        <v>325</v>
      </c>
      <c r="J347" s="10"/>
      <c r="K347">
        <v>67.28</v>
      </c>
      <c r="L347" s="10"/>
      <c r="M347" s="10"/>
      <c r="N347" s="10" t="e">
        <f t="shared" ref="N347:N357" si="34">K347/L347</f>
        <v>#DIV/0!</v>
      </c>
      <c r="O347" s="4">
        <v>2.6100000000000002E-2</v>
      </c>
      <c r="P347" s="4">
        <v>2.6100000000000002E-2</v>
      </c>
      <c r="Q347" s="14"/>
      <c r="R347" t="s">
        <v>325</v>
      </c>
      <c r="S347" t="s">
        <v>327</v>
      </c>
      <c r="T347" t="s">
        <v>327</v>
      </c>
    </row>
    <row r="348" spans="2:20">
      <c r="B348" s="14">
        <v>1</v>
      </c>
      <c r="C348" s="14"/>
      <c r="D348" t="s">
        <v>354</v>
      </c>
      <c r="E348" t="s">
        <v>355</v>
      </c>
      <c r="F348"/>
      <c r="G348"/>
      <c r="H348" t="s">
        <v>325</v>
      </c>
      <c r="J348" s="10"/>
      <c r="K348">
        <v>48.3</v>
      </c>
      <c r="L348" s="10"/>
      <c r="M348" s="10"/>
      <c r="N348" s="10" t="e">
        <f t="shared" si="34"/>
        <v>#DIV/0!</v>
      </c>
      <c r="O348" s="4">
        <v>3.2000000000000002E-3</v>
      </c>
      <c r="P348" s="4">
        <v>3.2000000000000002E-3</v>
      </c>
      <c r="Q348" s="14"/>
      <c r="R348" t="s">
        <v>325</v>
      </c>
      <c r="S348" t="s">
        <v>325</v>
      </c>
      <c r="T348" t="s">
        <v>327</v>
      </c>
    </row>
    <row r="349" spans="2:20">
      <c r="B349" s="14">
        <v>1</v>
      </c>
      <c r="C349" s="14"/>
      <c r="D349" s="8" t="s">
        <v>675</v>
      </c>
      <c r="E349" t="s">
        <v>676</v>
      </c>
      <c r="F349" t="s">
        <v>257</v>
      </c>
      <c r="G349" t="s">
        <v>257</v>
      </c>
      <c r="H349" t="s">
        <v>326</v>
      </c>
      <c r="J349" s="10">
        <v>205</v>
      </c>
      <c r="K349">
        <v>184.15</v>
      </c>
      <c r="L349" s="10">
        <v>250</v>
      </c>
      <c r="M349" s="10">
        <f xml:space="preserve"> (L349 - K349)/(K349-J349)</f>
        <v>-3.1582733812949648</v>
      </c>
      <c r="N349" s="10">
        <f t="shared" si="34"/>
        <v>0.73660000000000003</v>
      </c>
      <c r="O349" s="4">
        <v>1.23E-2</v>
      </c>
      <c r="P349" s="4">
        <v>1.23E-2</v>
      </c>
      <c r="Q349" s="15"/>
      <c r="R349" t="s">
        <v>326</v>
      </c>
      <c r="S349" t="s">
        <v>326</v>
      </c>
      <c r="T349" t="s">
        <v>436</v>
      </c>
    </row>
    <row r="350" spans="2:20">
      <c r="B350" s="14">
        <v>0</v>
      </c>
      <c r="C350" s="13">
        <v>14</v>
      </c>
      <c r="D350" t="s">
        <v>135</v>
      </c>
      <c r="E350" t="s">
        <v>155</v>
      </c>
      <c r="F350" t="s">
        <v>257</v>
      </c>
      <c r="G350" t="s">
        <v>258</v>
      </c>
      <c r="H350" t="s">
        <v>325</v>
      </c>
      <c r="J350">
        <v>27</v>
      </c>
      <c r="K350">
        <v>17.71</v>
      </c>
      <c r="L350">
        <v>36.619999999999997</v>
      </c>
      <c r="M350" s="10">
        <f xml:space="preserve"> (L350 - K350)/(K350-J350)</f>
        <v>-2.0355220667384284</v>
      </c>
      <c r="N350" s="10">
        <f t="shared" si="34"/>
        <v>0.48361551064991815</v>
      </c>
      <c r="O350" s="4">
        <v>4.8999999999999998E-3</v>
      </c>
      <c r="P350" s="4">
        <v>4.8999999999999998E-3</v>
      </c>
      <c r="Q350" s="14" t="s">
        <v>155</v>
      </c>
      <c r="R350" t="s">
        <v>325</v>
      </c>
      <c r="S350" t="s">
        <v>325</v>
      </c>
      <c r="T350" t="s">
        <v>329</v>
      </c>
    </row>
    <row r="351" spans="2:20">
      <c r="B351" s="14">
        <v>0</v>
      </c>
      <c r="C351" s="14"/>
      <c r="D351" t="s">
        <v>306</v>
      </c>
      <c r="E351" t="s">
        <v>310</v>
      </c>
      <c r="F351" t="s">
        <v>258</v>
      </c>
      <c r="G351" t="s">
        <v>257</v>
      </c>
      <c r="H351" t="s">
        <v>325</v>
      </c>
      <c r="J351" s="10">
        <v>49.9</v>
      </c>
      <c r="K351">
        <v>7.54</v>
      </c>
      <c r="L351" s="10">
        <v>52.25</v>
      </c>
      <c r="M351" s="10">
        <f xml:space="preserve"> (L351 - K351)/(K351-J351)</f>
        <v>-1.0554768649669499</v>
      </c>
      <c r="N351" s="10">
        <f t="shared" si="34"/>
        <v>0.14430622009569377</v>
      </c>
      <c r="O351" s="4">
        <v>-2.5000000000000001E-3</v>
      </c>
      <c r="P351" s="4">
        <v>-2.5000000000000001E-3</v>
      </c>
      <c r="Q351" s="14"/>
      <c r="R351" t="s">
        <v>325</v>
      </c>
      <c r="S351" t="s">
        <v>326</v>
      </c>
      <c r="T351" t="s">
        <v>329</v>
      </c>
    </row>
    <row r="352" spans="2:20" ht="17.25" customHeight="1">
      <c r="B352" s="14">
        <v>0</v>
      </c>
      <c r="C352" s="13">
        <v>14</v>
      </c>
      <c r="D352" t="s">
        <v>234</v>
      </c>
      <c r="E352" t="s">
        <v>88</v>
      </c>
      <c r="F352" t="s">
        <v>263</v>
      </c>
      <c r="G352" t="s">
        <v>263</v>
      </c>
      <c r="H352" t="s">
        <v>325</v>
      </c>
      <c r="J352" s="10">
        <v>27.5</v>
      </c>
      <c r="K352">
        <v>29.96</v>
      </c>
      <c r="L352" s="10">
        <v>32.5</v>
      </c>
      <c r="M352" s="10">
        <f xml:space="preserve"> (L352 - K352)/(K352-J352)</f>
        <v>1.0325203252032513</v>
      </c>
      <c r="N352" s="10">
        <f t="shared" si="34"/>
        <v>0.92184615384615387</v>
      </c>
      <c r="O352" s="4">
        <v>1.3100000000000001E-2</v>
      </c>
      <c r="P352" s="4">
        <v>1.3100000000000001E-2</v>
      </c>
      <c r="Q352" s="14"/>
      <c r="R352" t="s">
        <v>325</v>
      </c>
      <c r="S352" t="s">
        <v>325</v>
      </c>
      <c r="T352" t="s">
        <v>329</v>
      </c>
    </row>
    <row r="353" spans="2:20">
      <c r="B353" s="14">
        <v>0</v>
      </c>
      <c r="C353" s="14"/>
      <c r="D353" t="s">
        <v>475</v>
      </c>
      <c r="E353" t="s">
        <v>289</v>
      </c>
      <c r="F353" t="s">
        <v>264</v>
      </c>
      <c r="G353" t="s">
        <v>264</v>
      </c>
      <c r="H353" t="s">
        <v>326</v>
      </c>
      <c r="I353" s="8"/>
      <c r="J353" s="11">
        <v>81</v>
      </c>
      <c r="K353">
        <v>86.2</v>
      </c>
      <c r="L353" s="10">
        <v>90</v>
      </c>
      <c r="M353" s="10">
        <f xml:space="preserve"> (L353 - K353)/(K353-J353)</f>
        <v>0.73076923076922984</v>
      </c>
      <c r="N353" s="10">
        <f t="shared" si="34"/>
        <v>0.95777777777777784</v>
      </c>
      <c r="O353" s="4">
        <v>-1.38E-2</v>
      </c>
      <c r="P353" s="4">
        <v>-1.38E-2</v>
      </c>
      <c r="Q353" s="15"/>
      <c r="R353" t="s">
        <v>327</v>
      </c>
      <c r="S353" t="s">
        <v>326</v>
      </c>
      <c r="T353" t="s">
        <v>328</v>
      </c>
    </row>
    <row r="354" spans="2:20">
      <c r="B354" s="14">
        <v>0</v>
      </c>
      <c r="C354" s="14"/>
      <c r="D354" t="s">
        <v>519</v>
      </c>
      <c r="E354" t="s">
        <v>255</v>
      </c>
      <c r="F354" t="s">
        <v>257</v>
      </c>
      <c r="G354" t="s">
        <v>257</v>
      </c>
      <c r="H354" t="s">
        <v>325</v>
      </c>
      <c r="J354" s="10"/>
      <c r="K354">
        <v>13.68</v>
      </c>
      <c r="L354" s="10"/>
      <c r="M354" s="10"/>
      <c r="N354" s="10" t="e">
        <f t="shared" si="34"/>
        <v>#DIV/0!</v>
      </c>
      <c r="O354" s="4">
        <v>-5.2400000000000002E-2</v>
      </c>
      <c r="P354" s="4">
        <v>-5.2400000000000002E-2</v>
      </c>
      <c r="Q354" s="14"/>
      <c r="R354" t="s">
        <v>326</v>
      </c>
      <c r="S354" t="s">
        <v>326</v>
      </c>
      <c r="T354" t="s">
        <v>327</v>
      </c>
    </row>
    <row r="355" spans="2:20">
      <c r="B355" s="14">
        <v>0</v>
      </c>
      <c r="C355" s="14"/>
      <c r="D355" t="s">
        <v>27</v>
      </c>
      <c r="E355" t="s">
        <v>281</v>
      </c>
      <c r="F355" t="s">
        <v>258</v>
      </c>
      <c r="G355" t="s">
        <v>257</v>
      </c>
      <c r="H355" t="s">
        <v>326</v>
      </c>
      <c r="I355" s="8">
        <v>21.3</v>
      </c>
      <c r="J355" s="11">
        <v>19</v>
      </c>
      <c r="K355">
        <v>27.28</v>
      </c>
      <c r="L355" s="10">
        <v>35</v>
      </c>
      <c r="M355" s="10">
        <f xml:space="preserve"> (L355 - K355)/(K355-J355)</f>
        <v>0.93236714975845381</v>
      </c>
      <c r="N355" s="10">
        <f t="shared" si="34"/>
        <v>0.77942857142857147</v>
      </c>
      <c r="O355" s="4">
        <v>2.8E-3</v>
      </c>
      <c r="P355" s="4">
        <v>2.8E-3</v>
      </c>
      <c r="Q355" s="14" t="s">
        <v>152</v>
      </c>
      <c r="R355" t="s">
        <v>325</v>
      </c>
      <c r="S355" t="s">
        <v>325</v>
      </c>
      <c r="T355" t="s">
        <v>329</v>
      </c>
    </row>
    <row r="356" spans="2:20">
      <c r="B356" s="14">
        <v>0</v>
      </c>
      <c r="C356" s="14"/>
      <c r="D356" t="s">
        <v>406</v>
      </c>
      <c r="E356" t="s">
        <v>302</v>
      </c>
      <c r="F356" t="s">
        <v>264</v>
      </c>
      <c r="G356" t="s">
        <v>264</v>
      </c>
      <c r="H356" t="s">
        <v>325</v>
      </c>
      <c r="J356" s="10">
        <v>150</v>
      </c>
      <c r="K356">
        <v>96.38</v>
      </c>
      <c r="L356" s="10">
        <v>170</v>
      </c>
      <c r="M356" s="10">
        <f xml:space="preserve"> (L356 - K356)/(K356-J356)</f>
        <v>-1.372995151063036</v>
      </c>
      <c r="N356" s="10">
        <f t="shared" si="34"/>
        <v>0.56694117647058817</v>
      </c>
      <c r="O356" s="4">
        <v>-3.0000000000000001E-3</v>
      </c>
      <c r="P356" s="4">
        <v>-3.0000000000000001E-3</v>
      </c>
      <c r="Q356" s="14"/>
      <c r="R356" t="s">
        <v>325</v>
      </c>
      <c r="S356" t="s">
        <v>325</v>
      </c>
      <c r="T356" t="s">
        <v>327</v>
      </c>
    </row>
    <row r="357" spans="2:20">
      <c r="B357" s="14">
        <v>0</v>
      </c>
      <c r="C357" s="20">
        <v>7</v>
      </c>
      <c r="D357" t="s">
        <v>167</v>
      </c>
      <c r="E357" t="s">
        <v>155</v>
      </c>
      <c r="F357" t="s">
        <v>257</v>
      </c>
      <c r="G357" t="s">
        <v>257</v>
      </c>
      <c r="H357" t="s">
        <v>325</v>
      </c>
      <c r="J357" s="11">
        <v>105</v>
      </c>
      <c r="K357">
        <v>156.65</v>
      </c>
      <c r="L357" s="10">
        <v>175</v>
      </c>
      <c r="M357" s="10">
        <f xml:space="preserve"> (L357 - K357)/(K357-J357)</f>
        <v>0.35527589545014504</v>
      </c>
      <c r="N357" s="10">
        <f t="shared" si="34"/>
        <v>0.89514285714285713</v>
      </c>
      <c r="O357" s="4">
        <v>4.6699999999999998E-2</v>
      </c>
      <c r="P357" s="4">
        <v>4.6699999999999998E-2</v>
      </c>
      <c r="Q357" s="14" t="s">
        <v>180</v>
      </c>
      <c r="R357" t="s">
        <v>325</v>
      </c>
      <c r="S357" t="s">
        <v>325</v>
      </c>
      <c r="T357" t="s">
        <v>436</v>
      </c>
    </row>
    <row r="358" spans="2:20">
      <c r="B358" s="14">
        <v>0</v>
      </c>
      <c r="C358" s="14"/>
      <c r="D358" t="s">
        <v>397</v>
      </c>
      <c r="E358" t="s">
        <v>41</v>
      </c>
      <c r="F358" t="s">
        <v>257</v>
      </c>
      <c r="G358" t="s">
        <v>257</v>
      </c>
      <c r="H358" t="s">
        <v>325</v>
      </c>
      <c r="J358" s="10"/>
      <c r="K358">
        <v>262.83</v>
      </c>
      <c r="L358" s="10"/>
      <c r="M358" s="10"/>
      <c r="N358" s="10"/>
      <c r="O358" s="4">
        <v>1.1900000000000001E-2</v>
      </c>
      <c r="P358" s="4">
        <v>1.1900000000000001E-2</v>
      </c>
      <c r="Q358" s="14"/>
      <c r="R358" t="s">
        <v>325</v>
      </c>
      <c r="S358" t="s">
        <v>325</v>
      </c>
      <c r="T358" t="s">
        <v>327</v>
      </c>
    </row>
    <row r="359" spans="2:20">
      <c r="B359" s="14">
        <v>0</v>
      </c>
      <c r="C359" s="14"/>
      <c r="D359" t="s">
        <v>487</v>
      </c>
      <c r="E359" t="s">
        <v>269</v>
      </c>
      <c r="F359" t="s">
        <v>257</v>
      </c>
      <c r="G359" t="s">
        <v>257</v>
      </c>
      <c r="H359" t="s">
        <v>326</v>
      </c>
      <c r="J359" s="10">
        <v>238</v>
      </c>
      <c r="K359">
        <v>210.01</v>
      </c>
      <c r="L359" s="10">
        <v>260</v>
      </c>
      <c r="M359" s="10">
        <f t="shared" ref="M359:M365" si="35" xml:space="preserve"> (L359 - K359)/(K359-J359)</f>
        <v>-1.7859949982136474</v>
      </c>
      <c r="N359" s="10">
        <f t="shared" ref="N359:N365" si="36">K359/L359</f>
        <v>0.80773076923076914</v>
      </c>
      <c r="O359" s="4">
        <v>-1.6299999999999999E-2</v>
      </c>
      <c r="P359" s="4">
        <v>-1.6299999999999999E-2</v>
      </c>
      <c r="Q359" s="14"/>
      <c r="R359" t="s">
        <v>325</v>
      </c>
      <c r="S359" t="s">
        <v>327</v>
      </c>
      <c r="T359" t="s">
        <v>329</v>
      </c>
    </row>
    <row r="360" spans="2:20">
      <c r="B360" s="14">
        <v>0</v>
      </c>
      <c r="C360" s="14"/>
      <c r="D360" t="s">
        <v>460</v>
      </c>
      <c r="E360" t="s">
        <v>275</v>
      </c>
      <c r="F360" t="s">
        <v>261</v>
      </c>
      <c r="G360" t="s">
        <v>261</v>
      </c>
      <c r="H360" t="s">
        <v>325</v>
      </c>
      <c r="J360" s="10">
        <v>110</v>
      </c>
      <c r="K360">
        <v>146.34</v>
      </c>
      <c r="L360" s="10">
        <v>120</v>
      </c>
      <c r="M360" s="10">
        <f t="shared" si="35"/>
        <v>-0.72482113373692902</v>
      </c>
      <c r="N360" s="10">
        <f t="shared" si="36"/>
        <v>1.2195</v>
      </c>
      <c r="O360" s="4">
        <v>4.2299999999999997E-2</v>
      </c>
      <c r="P360" s="4">
        <v>4.2299999999999997E-2</v>
      </c>
      <c r="Q360" s="14"/>
      <c r="R360" t="s">
        <v>327</v>
      </c>
      <c r="S360" t="s">
        <v>327</v>
      </c>
      <c r="T360" t="s">
        <v>327</v>
      </c>
    </row>
    <row r="361" spans="2:20">
      <c r="B361" s="14">
        <v>0</v>
      </c>
      <c r="C361" s="13">
        <v>14</v>
      </c>
      <c r="D361" t="s">
        <v>5</v>
      </c>
      <c r="E361" t="s">
        <v>265</v>
      </c>
      <c r="F361" t="s">
        <v>260</v>
      </c>
      <c r="G361" t="s">
        <v>260</v>
      </c>
      <c r="H361" t="s">
        <v>325</v>
      </c>
      <c r="J361" s="10">
        <v>56</v>
      </c>
      <c r="K361">
        <v>60.71</v>
      </c>
      <c r="L361" s="10">
        <v>70</v>
      </c>
      <c r="M361" s="10">
        <f t="shared" si="35"/>
        <v>1.9723991507430993</v>
      </c>
      <c r="N361" s="10">
        <f t="shared" si="36"/>
        <v>0.86728571428571433</v>
      </c>
      <c r="O361" s="4">
        <v>1.2800000000000001E-2</v>
      </c>
      <c r="P361" s="4">
        <v>1.2800000000000001E-2</v>
      </c>
      <c r="Q361" s="14" t="s">
        <v>63</v>
      </c>
      <c r="R361" t="s">
        <v>325</v>
      </c>
      <c r="S361" t="s">
        <v>327</v>
      </c>
      <c r="T361" t="s">
        <v>327</v>
      </c>
    </row>
    <row r="362" spans="2:20">
      <c r="B362" s="14">
        <v>0</v>
      </c>
      <c r="C362" s="14"/>
      <c r="D362" t="s">
        <v>181</v>
      </c>
      <c r="E362" t="s">
        <v>274</v>
      </c>
      <c r="F362" t="s">
        <v>263</v>
      </c>
      <c r="G362" t="s">
        <v>263</v>
      </c>
      <c r="H362" t="s">
        <v>326</v>
      </c>
      <c r="I362">
        <v>15</v>
      </c>
      <c r="J362" s="10">
        <v>20</v>
      </c>
      <c r="K362">
        <v>14.91</v>
      </c>
      <c r="L362" s="10">
        <v>25</v>
      </c>
      <c r="M362" s="10">
        <f t="shared" si="35"/>
        <v>-1.9823182711198428</v>
      </c>
      <c r="N362" s="10">
        <f t="shared" si="36"/>
        <v>0.59640000000000004</v>
      </c>
      <c r="O362" s="4">
        <v>0.26640000000000003</v>
      </c>
      <c r="P362" s="4">
        <v>0.26640000000000003</v>
      </c>
      <c r="Q362" s="15" t="s">
        <v>182</v>
      </c>
      <c r="R362" t="s">
        <v>327</v>
      </c>
      <c r="S362" t="s">
        <v>326</v>
      </c>
      <c r="T362" t="s">
        <v>329</v>
      </c>
    </row>
    <row r="363" spans="2:20">
      <c r="B363" s="14">
        <v>0</v>
      </c>
      <c r="C363" s="14"/>
      <c r="D363" t="s">
        <v>57</v>
      </c>
      <c r="E363" t="s">
        <v>274</v>
      </c>
      <c r="F363" t="s">
        <v>262</v>
      </c>
      <c r="G363" t="s">
        <v>262</v>
      </c>
      <c r="H363" t="s">
        <v>326</v>
      </c>
      <c r="J363" s="10">
        <v>400</v>
      </c>
      <c r="K363">
        <v>368.01</v>
      </c>
      <c r="L363" s="10">
        <v>500</v>
      </c>
      <c r="M363" s="10">
        <f t="shared" si="35"/>
        <v>-4.1259768677711772</v>
      </c>
      <c r="N363" s="10">
        <f t="shared" si="36"/>
        <v>0.73602000000000001</v>
      </c>
      <c r="O363" s="4">
        <v>8.9999999999999998E-4</v>
      </c>
      <c r="P363" s="4">
        <v>8.9999999999999998E-4</v>
      </c>
      <c r="Q363" s="15" t="s">
        <v>89</v>
      </c>
      <c r="R363" t="s">
        <v>326</v>
      </c>
      <c r="S363" t="s">
        <v>326</v>
      </c>
      <c r="T363" t="s">
        <v>327</v>
      </c>
    </row>
    <row r="364" spans="2:20">
      <c r="B364" s="14">
        <v>0</v>
      </c>
      <c r="C364" s="14"/>
      <c r="D364" t="s">
        <v>338</v>
      </c>
      <c r="E364" t="s">
        <v>269</v>
      </c>
      <c r="F364" t="s">
        <v>257</v>
      </c>
      <c r="G364" t="s">
        <v>257</v>
      </c>
      <c r="H364" t="s">
        <v>326</v>
      </c>
      <c r="J364" s="10">
        <v>100</v>
      </c>
      <c r="K364">
        <v>39.96</v>
      </c>
      <c r="L364" s="10">
        <v>110</v>
      </c>
      <c r="M364" s="10">
        <f t="shared" si="35"/>
        <v>-1.1665556295802797</v>
      </c>
      <c r="N364" s="10">
        <f t="shared" si="36"/>
        <v>0.3632727272727273</v>
      </c>
      <c r="O364" s="4">
        <v>-9.7000000000000003E-3</v>
      </c>
      <c r="P364" s="4">
        <v>-9.7000000000000003E-3</v>
      </c>
      <c r="Q364" s="14"/>
      <c r="R364" t="s">
        <v>327</v>
      </c>
      <c r="S364" t="s">
        <v>325</v>
      </c>
      <c r="T364" t="s">
        <v>327</v>
      </c>
    </row>
    <row r="365" spans="2:20">
      <c r="B365" s="14">
        <v>0</v>
      </c>
      <c r="C365" s="14"/>
      <c r="D365" t="s">
        <v>396</v>
      </c>
      <c r="E365" t="s">
        <v>284</v>
      </c>
      <c r="F365" t="s">
        <v>264</v>
      </c>
      <c r="G365" t="s">
        <v>264</v>
      </c>
      <c r="H365" t="s">
        <v>326</v>
      </c>
      <c r="J365" s="10">
        <v>350</v>
      </c>
      <c r="K365">
        <v>320.85000000000002</v>
      </c>
      <c r="L365" s="10">
        <v>425</v>
      </c>
      <c r="M365" s="10">
        <f t="shared" si="35"/>
        <v>-3.5728987993138959</v>
      </c>
      <c r="N365" s="10">
        <f t="shared" si="36"/>
        <v>0.75494117647058834</v>
      </c>
      <c r="O365" s="4">
        <v>2.0999999999999999E-3</v>
      </c>
      <c r="P365" s="4">
        <v>2.0999999999999999E-3</v>
      </c>
      <c r="Q365" s="14"/>
      <c r="R365" t="s">
        <v>325</v>
      </c>
      <c r="S365" t="s">
        <v>325</v>
      </c>
      <c r="T365" t="s">
        <v>327</v>
      </c>
    </row>
    <row r="366" spans="2:20">
      <c r="B366" s="14">
        <v>0</v>
      </c>
      <c r="C366" s="14"/>
      <c r="D366" t="s">
        <v>340</v>
      </c>
      <c r="E366" t="s">
        <v>341</v>
      </c>
      <c r="F366" t="s">
        <v>262</v>
      </c>
      <c r="G366" t="s">
        <v>262</v>
      </c>
      <c r="H366" t="s">
        <v>326</v>
      </c>
      <c r="J366" s="10"/>
      <c r="K366">
        <v>474.53</v>
      </c>
      <c r="L366" s="10"/>
      <c r="M366" s="10"/>
      <c r="N366" s="10"/>
      <c r="O366" s="4">
        <v>-9.7999999999999997E-3</v>
      </c>
      <c r="P366" s="4">
        <v>-9.7999999999999997E-3</v>
      </c>
      <c r="Q366" s="15"/>
      <c r="R366" t="s">
        <v>326</v>
      </c>
      <c r="S366" t="s">
        <v>327</v>
      </c>
      <c r="T366" t="s">
        <v>436</v>
      </c>
    </row>
    <row r="367" spans="2:20">
      <c r="B367" s="14">
        <v>0</v>
      </c>
      <c r="C367" s="14"/>
      <c r="D367" t="s">
        <v>440</v>
      </c>
      <c r="E367" t="s">
        <v>442</v>
      </c>
      <c r="F367" t="s">
        <v>263</v>
      </c>
      <c r="G367" t="s">
        <v>263</v>
      </c>
      <c r="H367" t="s">
        <v>326</v>
      </c>
      <c r="I367" s="8">
        <v>300</v>
      </c>
      <c r="J367" s="11">
        <v>280</v>
      </c>
      <c r="K367">
        <v>265.86</v>
      </c>
      <c r="L367" s="10">
        <v>320</v>
      </c>
      <c r="M367" s="10">
        <f xml:space="preserve"> (L367 - K367)/(K367-J367)</f>
        <v>-3.8288543140028315</v>
      </c>
      <c r="N367" s="10">
        <f>I367/L367</f>
        <v>0.9375</v>
      </c>
      <c r="O367" s="4">
        <v>2.7300000000000001E-2</v>
      </c>
      <c r="P367" s="4">
        <v>2.7300000000000001E-2</v>
      </c>
      <c r="Q367" s="15"/>
      <c r="R367" t="s">
        <v>325</v>
      </c>
      <c r="S367" t="s">
        <v>325</v>
      </c>
      <c r="T367" t="s">
        <v>329</v>
      </c>
    </row>
    <row r="368" spans="2:20">
      <c r="B368" s="14">
        <v>0</v>
      </c>
      <c r="C368" s="14"/>
      <c r="D368" t="s">
        <v>56</v>
      </c>
      <c r="E368" t="s">
        <v>269</v>
      </c>
      <c r="F368" t="s">
        <v>262</v>
      </c>
      <c r="G368" t="s">
        <v>262</v>
      </c>
      <c r="H368" t="s">
        <v>326</v>
      </c>
      <c r="J368" s="10">
        <v>138.63999999999999</v>
      </c>
      <c r="K368">
        <v>99.35</v>
      </c>
      <c r="L368" s="10">
        <v>145</v>
      </c>
      <c r="M368" s="10">
        <f xml:space="preserve"> (L368 - K368)/(K368-J368)</f>
        <v>-1.1618732501908886</v>
      </c>
      <c r="N368" s="10">
        <f>K368/L368</f>
        <v>0.68517241379310345</v>
      </c>
      <c r="O368" s="4">
        <v>5.5999999999999999E-3</v>
      </c>
      <c r="P368" s="4">
        <v>5.5999999999999999E-3</v>
      </c>
      <c r="Q368" s="15" t="s">
        <v>68</v>
      </c>
      <c r="R368" t="s">
        <v>325</v>
      </c>
      <c r="S368" t="s">
        <v>325</v>
      </c>
      <c r="T368" t="s">
        <v>329</v>
      </c>
    </row>
    <row r="369" spans="2:20">
      <c r="B369" s="14">
        <v>0</v>
      </c>
      <c r="C369" s="14"/>
      <c r="D369" t="s">
        <v>498</v>
      </c>
      <c r="E369" t="s">
        <v>444</v>
      </c>
      <c r="F369"/>
      <c r="G369"/>
      <c r="H369" t="s">
        <v>710</v>
      </c>
      <c r="J369" s="10">
        <v>32.5</v>
      </c>
      <c r="K369">
        <v>24.57</v>
      </c>
      <c r="L369" s="10">
        <v>41</v>
      </c>
      <c r="M369" s="10">
        <f xml:space="preserve"> (L369 - K369)/(K369-J369)</f>
        <v>-2.0718789407313998</v>
      </c>
      <c r="N369" s="10">
        <f>K369/L369</f>
        <v>0.59926829268292681</v>
      </c>
      <c r="O369" s="28">
        <v>0</v>
      </c>
      <c r="P369" s="28">
        <v>0</v>
      </c>
      <c r="Q369" s="14"/>
      <c r="R369" t="s">
        <v>710</v>
      </c>
      <c r="S369" t="s">
        <v>710</v>
      </c>
      <c r="T369" t="s">
        <v>710</v>
      </c>
    </row>
    <row r="370" spans="2:20">
      <c r="B370" s="14">
        <v>0</v>
      </c>
      <c r="C370" s="14"/>
      <c r="D370" t="s">
        <v>331</v>
      </c>
      <c r="E370" t="s">
        <v>335</v>
      </c>
      <c r="F370" t="s">
        <v>262</v>
      </c>
      <c r="G370" t="s">
        <v>264</v>
      </c>
      <c r="H370" t="s">
        <v>326</v>
      </c>
      <c r="K370">
        <v>27.68</v>
      </c>
      <c r="M370" s="10"/>
      <c r="N370" s="10"/>
      <c r="O370" s="28">
        <v>0</v>
      </c>
      <c r="P370" s="28">
        <v>0</v>
      </c>
      <c r="Q370" s="14"/>
      <c r="R370" t="s">
        <v>326</v>
      </c>
      <c r="S370" t="s">
        <v>325</v>
      </c>
      <c r="T370" t="s">
        <v>329</v>
      </c>
    </row>
    <row r="371" spans="2:20">
      <c r="B371" s="14">
        <v>0</v>
      </c>
      <c r="C371" s="14"/>
      <c r="D371" t="s">
        <v>535</v>
      </c>
      <c r="E371" t="s">
        <v>536</v>
      </c>
      <c r="F371" t="s">
        <v>259</v>
      </c>
      <c r="G371" t="s">
        <v>259</v>
      </c>
      <c r="H371" t="s">
        <v>325</v>
      </c>
      <c r="J371" s="10"/>
      <c r="K371">
        <v>93.45</v>
      </c>
      <c r="L371" s="10"/>
      <c r="M371" s="10"/>
      <c r="N371" s="10"/>
      <c r="O371" s="4">
        <v>1.37E-2</v>
      </c>
      <c r="P371" s="4">
        <v>1.37E-2</v>
      </c>
      <c r="Q371" s="14"/>
      <c r="R371" t="s">
        <v>325</v>
      </c>
      <c r="S371" t="s">
        <v>326</v>
      </c>
      <c r="T371" t="s">
        <v>329</v>
      </c>
    </row>
    <row r="372" spans="2:20">
      <c r="B372" s="14">
        <v>0</v>
      </c>
      <c r="C372" s="14"/>
      <c r="D372" t="s">
        <v>668</v>
      </c>
      <c r="E372" t="s">
        <v>273</v>
      </c>
      <c r="F372" t="s">
        <v>261</v>
      </c>
      <c r="G372" t="s">
        <v>261</v>
      </c>
      <c r="H372" t="s">
        <v>325</v>
      </c>
      <c r="J372" s="10">
        <v>35</v>
      </c>
      <c r="K372">
        <v>52.89</v>
      </c>
      <c r="L372" s="10">
        <v>45</v>
      </c>
      <c r="M372" s="10">
        <f t="shared" ref="M372:M380" si="37" xml:space="preserve"> (L372 - K372)/(K372-J372)</f>
        <v>-0.44102850754611517</v>
      </c>
      <c r="N372" s="10">
        <f>K372/L372</f>
        <v>1.1753333333333333</v>
      </c>
      <c r="O372" s="4">
        <v>-1.0999999999999999E-2</v>
      </c>
      <c r="P372" s="4">
        <v>-1.0999999999999999E-2</v>
      </c>
      <c r="Q372" s="14"/>
      <c r="R372" t="s">
        <v>325</v>
      </c>
      <c r="S372" t="s">
        <v>327</v>
      </c>
      <c r="T372" t="s">
        <v>329</v>
      </c>
    </row>
    <row r="373" spans="2:20">
      <c r="B373" s="14">
        <v>0</v>
      </c>
      <c r="C373" s="14"/>
      <c r="D373" t="s">
        <v>630</v>
      </c>
      <c r="E373" t="s">
        <v>255</v>
      </c>
      <c r="F373" t="s">
        <v>257</v>
      </c>
      <c r="G373" t="s">
        <v>257</v>
      </c>
      <c r="H373" t="s">
        <v>325</v>
      </c>
      <c r="J373" s="10">
        <v>50</v>
      </c>
      <c r="K373">
        <v>33.36</v>
      </c>
      <c r="L373" s="10">
        <v>65</v>
      </c>
      <c r="M373" s="10">
        <f t="shared" si="37"/>
        <v>-1.9014423076923077</v>
      </c>
      <c r="N373" s="10">
        <f>K373/L373</f>
        <v>0.51323076923076927</v>
      </c>
      <c r="O373" s="4">
        <v>1.2800000000000001E-2</v>
      </c>
      <c r="P373" s="4">
        <v>1.2800000000000001E-2</v>
      </c>
      <c r="Q373" s="14"/>
      <c r="R373" t="s">
        <v>327</v>
      </c>
      <c r="S373" t="s">
        <v>326</v>
      </c>
      <c r="T373" t="s">
        <v>328</v>
      </c>
    </row>
    <row r="374" spans="2:20">
      <c r="B374" s="14">
        <v>0</v>
      </c>
      <c r="C374" s="14"/>
      <c r="D374" t="s">
        <v>505</v>
      </c>
      <c r="E374" t="s">
        <v>289</v>
      </c>
      <c r="F374" t="s">
        <v>257</v>
      </c>
      <c r="G374" t="s">
        <v>257</v>
      </c>
      <c r="H374" t="s">
        <v>326</v>
      </c>
      <c r="J374" s="10">
        <v>98</v>
      </c>
      <c r="K374">
        <v>66.930000000000007</v>
      </c>
      <c r="L374" s="10">
        <v>125</v>
      </c>
      <c r="M374" s="10">
        <f t="shared" si="37"/>
        <v>-1.8690054715159319</v>
      </c>
      <c r="N374" s="10">
        <f>K374/L374</f>
        <v>0.53544000000000003</v>
      </c>
      <c r="O374" s="4">
        <v>7.5899999999999995E-2</v>
      </c>
      <c r="P374" s="4">
        <v>7.5899999999999995E-2</v>
      </c>
      <c r="Q374" s="14"/>
      <c r="R374" t="s">
        <v>327</v>
      </c>
      <c r="S374" t="s">
        <v>326</v>
      </c>
      <c r="T374" t="s">
        <v>436</v>
      </c>
    </row>
    <row r="375" spans="2:20">
      <c r="B375" s="14">
        <v>0</v>
      </c>
      <c r="C375" s="14"/>
      <c r="D375" t="s">
        <v>621</v>
      </c>
      <c r="E375" t="s">
        <v>41</v>
      </c>
      <c r="F375" t="s">
        <v>257</v>
      </c>
      <c r="G375" t="s">
        <v>257</v>
      </c>
      <c r="H375" t="s">
        <v>325</v>
      </c>
      <c r="J375" s="10">
        <v>50</v>
      </c>
      <c r="K375">
        <v>86.49</v>
      </c>
      <c r="L375" s="10">
        <v>90</v>
      </c>
      <c r="M375" s="10">
        <f t="shared" si="37"/>
        <v>9.6190737188270911E-2</v>
      </c>
      <c r="N375" s="10">
        <f>K375/L375</f>
        <v>0.96099999999999997</v>
      </c>
      <c r="O375" s="4">
        <v>1.61E-2</v>
      </c>
      <c r="P375" s="4">
        <v>1.61E-2</v>
      </c>
      <c r="Q375" s="14" t="s">
        <v>622</v>
      </c>
      <c r="R375" t="s">
        <v>326</v>
      </c>
      <c r="S375" t="s">
        <v>326</v>
      </c>
      <c r="T375" t="s">
        <v>327</v>
      </c>
    </row>
    <row r="376" spans="2:20">
      <c r="B376" s="14">
        <v>0</v>
      </c>
      <c r="C376" s="14"/>
      <c r="D376" t="s">
        <v>482</v>
      </c>
      <c r="E376" t="s">
        <v>255</v>
      </c>
      <c r="F376" t="s">
        <v>257</v>
      </c>
      <c r="G376" t="s">
        <v>257</v>
      </c>
      <c r="H376" t="s">
        <v>325</v>
      </c>
      <c r="I376" s="8">
        <v>170</v>
      </c>
      <c r="J376" s="11">
        <v>170</v>
      </c>
      <c r="K376">
        <v>319.89999999999998</v>
      </c>
      <c r="L376" s="10">
        <v>183</v>
      </c>
      <c r="M376" s="10">
        <f t="shared" si="37"/>
        <v>-0.91327551701134091</v>
      </c>
      <c r="N376" s="10"/>
      <c r="O376" s="4">
        <v>-3.3999999999999998E-3</v>
      </c>
      <c r="P376" s="4">
        <v>-3.3999999999999998E-3</v>
      </c>
      <c r="Q376" s="15"/>
      <c r="R376" t="s">
        <v>325</v>
      </c>
      <c r="S376" t="s">
        <v>325</v>
      </c>
      <c r="T376" t="s">
        <v>329</v>
      </c>
    </row>
    <row r="377" spans="2:20">
      <c r="B377" s="14">
        <v>0</v>
      </c>
      <c r="C377" s="14"/>
      <c r="D377" t="s">
        <v>120</v>
      </c>
      <c r="E377" t="s">
        <v>267</v>
      </c>
      <c r="F377" t="s">
        <v>258</v>
      </c>
      <c r="G377" t="s">
        <v>258</v>
      </c>
      <c r="H377" t="s">
        <v>325</v>
      </c>
      <c r="I377" s="8">
        <v>47</v>
      </c>
      <c r="J377" s="11">
        <v>45</v>
      </c>
      <c r="K377">
        <v>45.37</v>
      </c>
      <c r="L377" s="10">
        <v>50</v>
      </c>
      <c r="M377" s="10">
        <f t="shared" si="37"/>
        <v>12.513513513513606</v>
      </c>
      <c r="N377" s="10">
        <f>K377/L377</f>
        <v>0.90739999999999998</v>
      </c>
      <c r="O377" s="4">
        <v>5.7999999999999996E-3</v>
      </c>
      <c r="P377" s="4">
        <v>5.7999999999999996E-3</v>
      </c>
      <c r="Q377" s="14" t="s">
        <v>203</v>
      </c>
      <c r="R377" t="s">
        <v>325</v>
      </c>
      <c r="S377" t="s">
        <v>326</v>
      </c>
      <c r="T377" t="s">
        <v>327</v>
      </c>
    </row>
    <row r="378" spans="2:20">
      <c r="B378" s="14">
        <v>0</v>
      </c>
      <c r="C378" s="14"/>
      <c r="D378" t="s">
        <v>337</v>
      </c>
      <c r="E378" t="s">
        <v>155</v>
      </c>
      <c r="F378" t="s">
        <v>258</v>
      </c>
      <c r="G378" t="s">
        <v>258</v>
      </c>
      <c r="H378" t="s">
        <v>325</v>
      </c>
      <c r="J378" s="10">
        <v>84</v>
      </c>
      <c r="K378">
        <v>71.12</v>
      </c>
      <c r="L378" s="10">
        <v>100</v>
      </c>
      <c r="M378" s="10">
        <f t="shared" si="37"/>
        <v>-2.2422360248447211</v>
      </c>
      <c r="N378" s="10">
        <f>K378/L378</f>
        <v>0.71120000000000005</v>
      </c>
      <c r="O378" s="4">
        <v>1.14E-2</v>
      </c>
      <c r="P378" s="4">
        <v>1.14E-2</v>
      </c>
      <c r="Q378" s="14"/>
      <c r="R378" t="s">
        <v>325</v>
      </c>
      <c r="S378" t="s">
        <v>326</v>
      </c>
      <c r="T378" t="s">
        <v>436</v>
      </c>
    </row>
    <row r="379" spans="2:20">
      <c r="B379" s="14">
        <v>0</v>
      </c>
      <c r="C379" s="14"/>
      <c r="D379" t="s">
        <v>601</v>
      </c>
      <c r="E379" t="s">
        <v>375</v>
      </c>
      <c r="F379" t="s">
        <v>257</v>
      </c>
      <c r="G379" t="s">
        <v>257</v>
      </c>
      <c r="H379" t="s">
        <v>325</v>
      </c>
      <c r="J379" s="11">
        <v>45</v>
      </c>
      <c r="K379">
        <v>37.56</v>
      </c>
      <c r="L379" s="10">
        <v>60</v>
      </c>
      <c r="M379" s="10">
        <f t="shared" si="37"/>
        <v>-3.0161290322580649</v>
      </c>
      <c r="N379" s="10">
        <f>K379/L379</f>
        <v>0.626</v>
      </c>
      <c r="O379" s="4">
        <v>-1.55E-2</v>
      </c>
      <c r="P379" s="4">
        <v>-1.55E-2</v>
      </c>
      <c r="Q379" s="14"/>
      <c r="R379" t="s">
        <v>326</v>
      </c>
      <c r="S379" t="s">
        <v>327</v>
      </c>
      <c r="T379" t="s">
        <v>328</v>
      </c>
    </row>
    <row r="380" spans="2:20">
      <c r="B380" s="14">
        <v>0</v>
      </c>
      <c r="C380" s="14"/>
      <c r="D380" t="s">
        <v>247</v>
      </c>
      <c r="E380" t="s">
        <v>279</v>
      </c>
      <c r="F380" t="s">
        <v>258</v>
      </c>
      <c r="G380" t="s">
        <v>258</v>
      </c>
      <c r="H380" t="s">
        <v>325</v>
      </c>
      <c r="I380" s="8"/>
      <c r="J380" s="11">
        <v>14</v>
      </c>
      <c r="K380">
        <v>18.670000000000002</v>
      </c>
      <c r="L380" s="11">
        <v>18</v>
      </c>
      <c r="M380" s="10">
        <f t="shared" si="37"/>
        <v>-0.14346895074946497</v>
      </c>
      <c r="N380" s="10">
        <f>K380/L380</f>
        <v>1.0372222222222223</v>
      </c>
      <c r="O380" s="4">
        <v>1.0500000000000001E-2</v>
      </c>
      <c r="P380" s="4">
        <v>1.0500000000000001E-2</v>
      </c>
      <c r="Q380" s="15"/>
      <c r="R380" t="s">
        <v>325</v>
      </c>
      <c r="S380" t="s">
        <v>327</v>
      </c>
      <c r="T380" t="s">
        <v>327</v>
      </c>
    </row>
    <row r="381" spans="2:20">
      <c r="B381" s="14">
        <v>0</v>
      </c>
      <c r="C381" s="14"/>
      <c r="D381" t="s">
        <v>657</v>
      </c>
      <c r="E381" t="s">
        <v>289</v>
      </c>
      <c r="F381" t="s">
        <v>257</v>
      </c>
      <c r="G381" t="s">
        <v>257</v>
      </c>
      <c r="H381" t="s">
        <v>326</v>
      </c>
      <c r="I381" s="8"/>
      <c r="J381" s="11"/>
      <c r="K381">
        <v>478.02</v>
      </c>
      <c r="L381" s="10"/>
      <c r="M381" s="10"/>
      <c r="N381" s="10"/>
      <c r="O381" s="4">
        <v>1.5100000000000001E-2</v>
      </c>
      <c r="P381" s="4">
        <v>1.5100000000000001E-2</v>
      </c>
      <c r="Q381" s="15"/>
      <c r="R381" t="s">
        <v>326</v>
      </c>
      <c r="S381" t="s">
        <v>327</v>
      </c>
      <c r="T381" t="s">
        <v>329</v>
      </c>
    </row>
    <row r="382" spans="2:20">
      <c r="B382" s="14">
        <v>0</v>
      </c>
      <c r="C382" s="14"/>
      <c r="D382" t="s">
        <v>669</v>
      </c>
      <c r="E382" t="s">
        <v>273</v>
      </c>
      <c r="F382" t="s">
        <v>258</v>
      </c>
      <c r="G382" t="s">
        <v>258</v>
      </c>
      <c r="H382" t="s">
        <v>325</v>
      </c>
      <c r="J382" s="10"/>
      <c r="K382">
        <v>16.510000000000002</v>
      </c>
      <c r="L382" s="10"/>
      <c r="M382" s="10"/>
      <c r="N382" s="10"/>
      <c r="O382" s="4">
        <v>-2.3E-3</v>
      </c>
      <c r="P382" s="4">
        <v>-2.3E-3</v>
      </c>
      <c r="Q382" s="14"/>
      <c r="R382" t="s">
        <v>325</v>
      </c>
      <c r="S382" t="s">
        <v>325</v>
      </c>
      <c r="T382" t="s">
        <v>327</v>
      </c>
    </row>
    <row r="383" spans="2:20">
      <c r="B383" s="14">
        <v>0</v>
      </c>
      <c r="C383" s="14"/>
      <c r="D383" t="s">
        <v>448</v>
      </c>
      <c r="E383" t="s">
        <v>41</v>
      </c>
      <c r="F383" t="s">
        <v>257</v>
      </c>
      <c r="G383" t="s">
        <v>257</v>
      </c>
      <c r="H383" t="s">
        <v>325</v>
      </c>
      <c r="J383" s="10"/>
      <c r="K383">
        <v>357.04</v>
      </c>
      <c r="L383" s="10"/>
      <c r="M383" s="10"/>
      <c r="N383" s="10"/>
      <c r="O383" s="4">
        <v>1.6E-2</v>
      </c>
      <c r="P383" s="4">
        <v>1.6E-2</v>
      </c>
      <c r="Q383" s="14"/>
      <c r="R383" t="s">
        <v>325</v>
      </c>
      <c r="S383" t="s">
        <v>325</v>
      </c>
      <c r="T383" t="s">
        <v>327</v>
      </c>
    </row>
    <row r="384" spans="2:20">
      <c r="B384" s="14">
        <v>0</v>
      </c>
      <c r="C384" s="14"/>
      <c r="D384" t="s">
        <v>236</v>
      </c>
      <c r="E384" t="s">
        <v>284</v>
      </c>
      <c r="F384" t="s">
        <v>262</v>
      </c>
      <c r="G384" t="s">
        <v>262</v>
      </c>
      <c r="H384" t="s">
        <v>326</v>
      </c>
      <c r="J384" s="10">
        <v>77.819999999999993</v>
      </c>
      <c r="K384">
        <v>62.77</v>
      </c>
      <c r="L384" s="10">
        <v>84.95</v>
      </c>
      <c r="M384" s="10">
        <f xml:space="preserve"> (L384 - K384)/(K384-J384)</f>
        <v>-1.4737541528239213</v>
      </c>
      <c r="N384" s="10">
        <f>K384/L384</f>
        <v>0.73890523837551503</v>
      </c>
      <c r="O384" s="4">
        <v>1.43E-2</v>
      </c>
      <c r="P384" s="4">
        <v>1.43E-2</v>
      </c>
      <c r="Q384" s="14"/>
      <c r="R384" t="s">
        <v>326</v>
      </c>
      <c r="S384" t="s">
        <v>327</v>
      </c>
      <c r="T384" t="s">
        <v>327</v>
      </c>
    </row>
    <row r="385" spans="1:20">
      <c r="B385" s="14">
        <v>0</v>
      </c>
      <c r="C385" s="14"/>
      <c r="D385" t="s">
        <v>90</v>
      </c>
      <c r="E385" t="s">
        <v>286</v>
      </c>
      <c r="F385" t="s">
        <v>257</v>
      </c>
      <c r="G385" t="s">
        <v>257</v>
      </c>
      <c r="H385" t="s">
        <v>325</v>
      </c>
      <c r="J385" s="10">
        <v>33</v>
      </c>
      <c r="K385">
        <v>18.27</v>
      </c>
      <c r="L385" s="10">
        <v>38</v>
      </c>
      <c r="M385" s="10">
        <f xml:space="preserve"> (L385 - K385)/(K385-J385)</f>
        <v>-1.3394433129667345</v>
      </c>
      <c r="N385" s="10">
        <f>K385/L385</f>
        <v>0.48078947368421049</v>
      </c>
      <c r="O385" s="4">
        <v>2.07E-2</v>
      </c>
      <c r="P385" s="4">
        <v>2.07E-2</v>
      </c>
      <c r="Q385" s="14" t="s">
        <v>91</v>
      </c>
      <c r="R385" t="s">
        <v>326</v>
      </c>
      <c r="S385" t="s">
        <v>327</v>
      </c>
      <c r="T385" t="s">
        <v>329</v>
      </c>
    </row>
    <row r="386" spans="1:20">
      <c r="B386" s="14">
        <v>0</v>
      </c>
      <c r="C386" s="14"/>
      <c r="D386" t="s">
        <v>463</v>
      </c>
      <c r="E386" t="s">
        <v>341</v>
      </c>
      <c r="F386" t="s">
        <v>257</v>
      </c>
      <c r="G386" t="s">
        <v>257</v>
      </c>
      <c r="H386" t="s">
        <v>326</v>
      </c>
      <c r="J386" s="10"/>
      <c r="K386">
        <v>264.27999999999997</v>
      </c>
      <c r="L386" s="10"/>
      <c r="M386" s="10"/>
      <c r="N386" s="10"/>
      <c r="O386" s="4">
        <v>-0.1226</v>
      </c>
      <c r="P386" s="4">
        <v>-0.1226</v>
      </c>
      <c r="Q386" s="15"/>
      <c r="R386" t="s">
        <v>326</v>
      </c>
      <c r="S386" t="s">
        <v>326</v>
      </c>
      <c r="T386" t="s">
        <v>327</v>
      </c>
    </row>
    <row r="387" spans="1:20">
      <c r="B387" s="14">
        <v>0</v>
      </c>
      <c r="C387" s="14"/>
      <c r="D387" t="s">
        <v>377</v>
      </c>
      <c r="E387" t="s">
        <v>41</v>
      </c>
      <c r="F387" t="s">
        <v>258</v>
      </c>
      <c r="G387" t="s">
        <v>258</v>
      </c>
      <c r="H387" t="s">
        <v>325</v>
      </c>
      <c r="I387">
        <v>325</v>
      </c>
      <c r="J387" s="10">
        <v>300</v>
      </c>
      <c r="K387">
        <v>894.41</v>
      </c>
      <c r="L387" s="10">
        <v>350</v>
      </c>
      <c r="M387" s="10">
        <f xml:space="preserve"> (L387 - K387)/(K387-J387)</f>
        <v>-0.91588297639676319</v>
      </c>
      <c r="N387" s="10">
        <f>K387/L387</f>
        <v>2.5554571428571426</v>
      </c>
      <c r="O387" s="4">
        <v>1.9900000000000001E-2</v>
      </c>
      <c r="P387" s="4">
        <v>1.9900000000000001E-2</v>
      </c>
      <c r="Q387" s="14"/>
      <c r="R387" t="s">
        <v>325</v>
      </c>
      <c r="S387" t="s">
        <v>326</v>
      </c>
      <c r="T387" t="s">
        <v>329</v>
      </c>
    </row>
    <row r="388" spans="1:20">
      <c r="B388" s="14">
        <v>0</v>
      </c>
      <c r="C388" s="14"/>
      <c r="D388" t="s">
        <v>226</v>
      </c>
      <c r="E388" t="s">
        <v>293</v>
      </c>
      <c r="F388" t="s">
        <v>257</v>
      </c>
      <c r="G388" t="s">
        <v>257</v>
      </c>
      <c r="H388" t="s">
        <v>325</v>
      </c>
      <c r="J388" s="10">
        <v>124.02</v>
      </c>
      <c r="K388">
        <v>86.25</v>
      </c>
      <c r="L388" s="10">
        <v>140</v>
      </c>
      <c r="M388" s="10">
        <f xml:space="preserve"> (L388 - K388)/(K388-J388)</f>
        <v>-1.4230871061689172</v>
      </c>
      <c r="N388" s="10">
        <f>K388/L388</f>
        <v>0.6160714285714286</v>
      </c>
      <c r="O388" s="4">
        <v>6.4000000000000003E-3</v>
      </c>
      <c r="P388" s="4">
        <v>6.4000000000000003E-3</v>
      </c>
      <c r="Q388" s="14"/>
      <c r="R388" t="s">
        <v>326</v>
      </c>
      <c r="S388" t="s">
        <v>326</v>
      </c>
      <c r="T388" t="s">
        <v>328</v>
      </c>
    </row>
    <row r="389" spans="1:20">
      <c r="B389" s="14">
        <v>0</v>
      </c>
      <c r="C389" s="14"/>
      <c r="D389" t="s">
        <v>220</v>
      </c>
      <c r="E389" t="s">
        <v>41</v>
      </c>
      <c r="F389" t="s">
        <v>258</v>
      </c>
      <c r="G389" t="s">
        <v>258</v>
      </c>
      <c r="H389" t="s">
        <v>325</v>
      </c>
      <c r="J389" s="10">
        <v>330</v>
      </c>
      <c r="K389">
        <v>680.77</v>
      </c>
      <c r="L389" s="10">
        <v>380</v>
      </c>
      <c r="M389" s="10">
        <f xml:space="preserve"> (L389 - K389)/(K389-J389)</f>
        <v>-0.85745645294637507</v>
      </c>
      <c r="N389" s="10">
        <f>K389/L389</f>
        <v>1.7914999999999999</v>
      </c>
      <c r="O389" s="4">
        <v>2.1000000000000001E-2</v>
      </c>
      <c r="P389" s="4">
        <v>2.1000000000000001E-2</v>
      </c>
      <c r="Q389" s="14" t="s">
        <v>41</v>
      </c>
      <c r="R389" t="s">
        <v>325</v>
      </c>
      <c r="S389" t="s">
        <v>325</v>
      </c>
      <c r="T389" t="s">
        <v>329</v>
      </c>
    </row>
    <row r="390" spans="1:20">
      <c r="B390" s="14">
        <v>0</v>
      </c>
      <c r="C390" s="31">
        <v>6</v>
      </c>
      <c r="D390" t="s">
        <v>382</v>
      </c>
      <c r="E390" t="s">
        <v>292</v>
      </c>
      <c r="F390" t="s">
        <v>264</v>
      </c>
      <c r="G390" t="s">
        <v>264</v>
      </c>
      <c r="H390" t="s">
        <v>325</v>
      </c>
      <c r="J390" s="11">
        <v>350</v>
      </c>
      <c r="K390">
        <v>710.5</v>
      </c>
      <c r="L390" s="10">
        <v>476</v>
      </c>
      <c r="M390" s="10">
        <f xml:space="preserve"> (L390 - K390)/(K390-J390)</f>
        <v>-0.65048543689320393</v>
      </c>
      <c r="N390" s="10">
        <f>K390/L390</f>
        <v>1.4926470588235294</v>
      </c>
      <c r="O390" s="4">
        <v>1E-4</v>
      </c>
      <c r="P390" s="4">
        <v>1E-4</v>
      </c>
      <c r="Q390" s="15"/>
      <c r="R390" t="s">
        <v>327</v>
      </c>
      <c r="S390" t="s">
        <v>326</v>
      </c>
      <c r="T390" t="s">
        <v>329</v>
      </c>
    </row>
    <row r="391" spans="1:20">
      <c r="B391" s="14">
        <v>0</v>
      </c>
      <c r="C391" s="14"/>
      <c r="D391" t="s">
        <v>359</v>
      </c>
      <c r="E391" t="s">
        <v>41</v>
      </c>
      <c r="F391" t="s">
        <v>261</v>
      </c>
      <c r="G391" t="s">
        <v>261</v>
      </c>
      <c r="H391" t="s">
        <v>325</v>
      </c>
      <c r="J391" s="10">
        <v>100</v>
      </c>
      <c r="K391">
        <v>120.42</v>
      </c>
      <c r="L391" s="10">
        <v>116</v>
      </c>
      <c r="M391" s="10">
        <f xml:space="preserve"> (L391 - K391)/(K391-J391)</f>
        <v>-0.21645445641527922</v>
      </c>
      <c r="N391" s="10">
        <f>K391/L391</f>
        <v>1.038103448275862</v>
      </c>
      <c r="O391" s="4">
        <v>1.5800000000000002E-2</v>
      </c>
      <c r="P391" s="4">
        <v>1.5800000000000002E-2</v>
      </c>
      <c r="Q391" s="14"/>
      <c r="R391" t="s">
        <v>326</v>
      </c>
      <c r="S391" t="s">
        <v>326</v>
      </c>
      <c r="T391" t="s">
        <v>327</v>
      </c>
    </row>
    <row r="392" spans="1:20">
      <c r="B392" s="14">
        <v>0</v>
      </c>
      <c r="C392" s="14"/>
      <c r="D392" t="s">
        <v>428</v>
      </c>
      <c r="E392" t="s">
        <v>341</v>
      </c>
      <c r="F392" t="s">
        <v>257</v>
      </c>
      <c r="G392" t="s">
        <v>257</v>
      </c>
      <c r="H392" t="s">
        <v>326</v>
      </c>
      <c r="J392" s="10"/>
      <c r="K392">
        <v>153.52000000000001</v>
      </c>
      <c r="L392" s="10"/>
      <c r="M392" s="10"/>
      <c r="N392" s="10"/>
      <c r="O392" s="4">
        <v>1.6400000000000001E-2</v>
      </c>
      <c r="P392" s="4">
        <v>1.6400000000000001E-2</v>
      </c>
      <c r="Q392" s="14"/>
      <c r="R392" t="s">
        <v>326</v>
      </c>
      <c r="S392" t="s">
        <v>327</v>
      </c>
      <c r="T392" t="s">
        <v>436</v>
      </c>
    </row>
    <row r="393" spans="1:20">
      <c r="B393" s="14">
        <v>0</v>
      </c>
      <c r="C393" s="14"/>
      <c r="D393" t="s">
        <v>311</v>
      </c>
      <c r="E393" t="s">
        <v>283</v>
      </c>
      <c r="F393" t="s">
        <v>258</v>
      </c>
      <c r="G393" t="s">
        <v>258</v>
      </c>
      <c r="H393" t="s">
        <v>325</v>
      </c>
      <c r="J393" s="10">
        <v>41</v>
      </c>
      <c r="K393">
        <v>384.03</v>
      </c>
      <c r="L393" s="10">
        <v>50</v>
      </c>
      <c r="M393" s="10">
        <f t="shared" ref="M393:M400" si="38" xml:space="preserve"> (L393 - K393)/(K393-J393)</f>
        <v>-0.97376322770603152</v>
      </c>
      <c r="N393" s="10">
        <f t="shared" ref="N393:N408" si="39">K393/L393</f>
        <v>7.6805999999999992</v>
      </c>
      <c r="O393" s="4">
        <v>3.7400000000000003E-2</v>
      </c>
      <c r="P393" s="4">
        <v>3.7400000000000003E-2</v>
      </c>
      <c r="Q393" s="14"/>
      <c r="R393" t="s">
        <v>325</v>
      </c>
      <c r="S393" t="s">
        <v>325</v>
      </c>
      <c r="T393" t="s">
        <v>329</v>
      </c>
    </row>
    <row r="394" spans="1:20">
      <c r="A394" s="10"/>
      <c r="B394" s="14">
        <v>0</v>
      </c>
      <c r="C394" s="14"/>
      <c r="D394" t="s">
        <v>177</v>
      </c>
      <c r="E394" t="s">
        <v>298</v>
      </c>
      <c r="F394" t="s">
        <v>257</v>
      </c>
      <c r="G394" t="s">
        <v>257</v>
      </c>
      <c r="H394" t="s">
        <v>325</v>
      </c>
      <c r="J394" s="10">
        <v>60</v>
      </c>
      <c r="K394">
        <v>58.84</v>
      </c>
      <c r="L394" s="10">
        <v>80</v>
      </c>
      <c r="M394" s="10">
        <f t="shared" si="38"/>
        <v>-18.241379310344879</v>
      </c>
      <c r="N394" s="10">
        <f t="shared" si="39"/>
        <v>0.73550000000000004</v>
      </c>
      <c r="O394" s="4">
        <v>-1.7399999999999999E-2</v>
      </c>
      <c r="P394" s="4">
        <v>-1.7399999999999999E-2</v>
      </c>
      <c r="Q394" s="15"/>
      <c r="R394" t="s">
        <v>325</v>
      </c>
      <c r="S394" t="s">
        <v>327</v>
      </c>
      <c r="T394" t="s">
        <v>329</v>
      </c>
    </row>
    <row r="395" spans="1:20">
      <c r="B395" s="14">
        <v>0</v>
      </c>
      <c r="C395" s="14"/>
      <c r="D395" t="s">
        <v>700</v>
      </c>
      <c r="E395" t="s">
        <v>265</v>
      </c>
      <c r="F395" t="s">
        <v>258</v>
      </c>
      <c r="G395" t="s">
        <v>258</v>
      </c>
      <c r="H395" t="s">
        <v>325</v>
      </c>
      <c r="J395" s="10">
        <v>70</v>
      </c>
      <c r="K395">
        <v>89.28</v>
      </c>
      <c r="L395" s="10">
        <v>80</v>
      </c>
      <c r="M395" s="10">
        <f t="shared" si="38"/>
        <v>-0.48132780082987553</v>
      </c>
      <c r="N395" s="10">
        <f t="shared" si="39"/>
        <v>1.1160000000000001</v>
      </c>
      <c r="O395" s="4">
        <v>1.78E-2</v>
      </c>
      <c r="P395" s="4">
        <v>1.78E-2</v>
      </c>
      <c r="Q395" s="15"/>
      <c r="R395" t="s">
        <v>325</v>
      </c>
      <c r="S395" t="s">
        <v>327</v>
      </c>
      <c r="T395" t="s">
        <v>329</v>
      </c>
    </row>
    <row r="396" spans="1:20">
      <c r="B396" s="14">
        <v>0</v>
      </c>
      <c r="C396" s="14"/>
      <c r="D396" t="s">
        <v>333</v>
      </c>
      <c r="E396" t="s">
        <v>255</v>
      </c>
      <c r="F396" t="s">
        <v>262</v>
      </c>
      <c r="G396" t="s">
        <v>262</v>
      </c>
      <c r="H396" t="s">
        <v>325</v>
      </c>
      <c r="J396" s="10">
        <v>205</v>
      </c>
      <c r="K396">
        <v>202.99</v>
      </c>
      <c r="L396" s="10">
        <v>220</v>
      </c>
      <c r="M396" s="10">
        <f t="shared" si="38"/>
        <v>-8.4626865671642122</v>
      </c>
      <c r="N396" s="10">
        <f t="shared" si="39"/>
        <v>0.92268181818181827</v>
      </c>
      <c r="O396" s="4">
        <v>-6.4000000000000003E-3</v>
      </c>
      <c r="P396" s="4">
        <v>-6.4000000000000003E-3</v>
      </c>
      <c r="Q396" s="14"/>
      <c r="R396" t="s">
        <v>325</v>
      </c>
      <c r="S396" t="s">
        <v>325</v>
      </c>
      <c r="T396" t="s">
        <v>329</v>
      </c>
    </row>
    <row r="397" spans="1:20">
      <c r="B397" s="14">
        <v>0</v>
      </c>
      <c r="C397" s="14"/>
      <c r="D397" t="s">
        <v>503</v>
      </c>
      <c r="E397" t="s">
        <v>281</v>
      </c>
      <c r="F397" t="s">
        <v>262</v>
      </c>
      <c r="G397" t="s">
        <v>264</v>
      </c>
      <c r="H397" t="s">
        <v>326</v>
      </c>
      <c r="J397" s="10">
        <v>32</v>
      </c>
      <c r="K397">
        <v>53.22</v>
      </c>
      <c r="L397" s="10">
        <v>44</v>
      </c>
      <c r="M397" s="10">
        <f t="shared" si="38"/>
        <v>-0.43449575871819035</v>
      </c>
      <c r="N397" s="10">
        <f t="shared" si="39"/>
        <v>1.2095454545454545</v>
      </c>
      <c r="O397" s="4">
        <v>-1.0699999999999999E-2</v>
      </c>
      <c r="P397" s="4">
        <v>-1.0699999999999999E-2</v>
      </c>
      <c r="Q397" s="14"/>
      <c r="R397" t="s">
        <v>327</v>
      </c>
      <c r="S397" t="s">
        <v>325</v>
      </c>
      <c r="T397" t="s">
        <v>327</v>
      </c>
    </row>
    <row r="398" spans="1:20">
      <c r="B398" s="14">
        <v>0</v>
      </c>
      <c r="C398" s="14"/>
      <c r="D398" t="s">
        <v>389</v>
      </c>
      <c r="E398" t="s">
        <v>299</v>
      </c>
      <c r="F398" t="s">
        <v>264</v>
      </c>
      <c r="G398" t="s">
        <v>264</v>
      </c>
      <c r="H398" t="s">
        <v>325</v>
      </c>
      <c r="J398" s="10">
        <v>220</v>
      </c>
      <c r="K398">
        <v>214.94</v>
      </c>
      <c r="L398" s="10">
        <v>240</v>
      </c>
      <c r="M398" s="10">
        <f t="shared" si="38"/>
        <v>-4.9525691699604728</v>
      </c>
      <c r="N398" s="10">
        <f t="shared" si="39"/>
        <v>0.89558333333333329</v>
      </c>
      <c r="O398" s="4">
        <v>1.7899999999999999E-2</v>
      </c>
      <c r="P398" s="4">
        <v>1.7899999999999999E-2</v>
      </c>
      <c r="Q398" s="14"/>
      <c r="R398" t="s">
        <v>326</v>
      </c>
      <c r="S398" t="s">
        <v>326</v>
      </c>
      <c r="T398" t="s">
        <v>328</v>
      </c>
    </row>
    <row r="399" spans="1:20">
      <c r="B399" s="14">
        <v>0</v>
      </c>
      <c r="C399" s="20">
        <v>7</v>
      </c>
      <c r="D399" t="s">
        <v>650</v>
      </c>
      <c r="E399" t="s">
        <v>529</v>
      </c>
      <c r="F399" t="s">
        <v>257</v>
      </c>
      <c r="G399" t="s">
        <v>263</v>
      </c>
      <c r="H399" t="s">
        <v>326</v>
      </c>
      <c r="J399" s="10">
        <v>87</v>
      </c>
      <c r="K399">
        <v>106.08</v>
      </c>
      <c r="L399" s="10">
        <v>97</v>
      </c>
      <c r="M399" s="10">
        <f t="shared" si="38"/>
        <v>-0.47589098532494756</v>
      </c>
      <c r="N399" s="10">
        <f t="shared" si="39"/>
        <v>1.0936082474226805</v>
      </c>
      <c r="O399" s="4">
        <v>1.49E-2</v>
      </c>
      <c r="P399" s="4">
        <v>1.49E-2</v>
      </c>
      <c r="Q399" s="15"/>
      <c r="R399" t="s">
        <v>325</v>
      </c>
      <c r="S399" t="s">
        <v>325</v>
      </c>
      <c r="T399" t="s">
        <v>329</v>
      </c>
    </row>
    <row r="400" spans="1:20">
      <c r="B400" s="14">
        <v>0</v>
      </c>
      <c r="C400" s="14"/>
      <c r="D400" t="s">
        <v>552</v>
      </c>
      <c r="E400" t="s">
        <v>419</v>
      </c>
      <c r="F400" t="s">
        <v>257</v>
      </c>
      <c r="G400" t="s">
        <v>257</v>
      </c>
      <c r="H400" t="s">
        <v>325</v>
      </c>
      <c r="J400" s="10">
        <v>375</v>
      </c>
      <c r="K400">
        <v>183.89</v>
      </c>
      <c r="L400" s="10">
        <v>425</v>
      </c>
      <c r="M400" s="10">
        <f t="shared" si="38"/>
        <v>-1.2616294280780702</v>
      </c>
      <c r="N400" s="10">
        <f t="shared" si="39"/>
        <v>0.43268235294117646</v>
      </c>
      <c r="O400" s="4">
        <v>4.1500000000000002E-2</v>
      </c>
      <c r="P400" s="4">
        <v>4.1500000000000002E-2</v>
      </c>
      <c r="Q400" s="15"/>
      <c r="R400" t="s">
        <v>325</v>
      </c>
      <c r="S400" t="s">
        <v>325</v>
      </c>
      <c r="T400" t="s">
        <v>327</v>
      </c>
    </row>
    <row r="401" spans="2:20">
      <c r="B401" s="14">
        <v>0</v>
      </c>
      <c r="C401" s="14"/>
      <c r="D401" t="s">
        <v>671</v>
      </c>
      <c r="E401" t="s">
        <v>164</v>
      </c>
      <c r="F401" t="s">
        <v>264</v>
      </c>
      <c r="G401" t="s">
        <v>264</v>
      </c>
      <c r="H401" t="s">
        <v>326</v>
      </c>
      <c r="J401" s="10"/>
      <c r="K401">
        <v>15.76</v>
      </c>
      <c r="L401" s="10"/>
      <c r="M401" s="10"/>
      <c r="N401" s="10" t="e">
        <f t="shared" si="39"/>
        <v>#DIV/0!</v>
      </c>
      <c r="O401" s="4">
        <v>4.5199999999999997E-2</v>
      </c>
      <c r="P401" s="4">
        <v>4.5199999999999997E-2</v>
      </c>
      <c r="Q401" s="14" t="s">
        <v>674</v>
      </c>
      <c r="R401" t="s">
        <v>326</v>
      </c>
      <c r="S401" t="s">
        <v>326</v>
      </c>
      <c r="T401" t="s">
        <v>327</v>
      </c>
    </row>
    <row r="402" spans="2:20">
      <c r="B402" s="14">
        <v>0</v>
      </c>
      <c r="C402" s="14"/>
      <c r="D402" t="s">
        <v>33</v>
      </c>
      <c r="E402" t="s">
        <v>269</v>
      </c>
      <c r="F402" t="s">
        <v>257</v>
      </c>
      <c r="G402" t="s">
        <v>262</v>
      </c>
      <c r="H402" t="s">
        <v>326</v>
      </c>
      <c r="J402" s="10">
        <v>44.87</v>
      </c>
      <c r="K402">
        <v>22.16</v>
      </c>
      <c r="L402" s="10">
        <v>49</v>
      </c>
      <c r="M402" s="10">
        <f t="shared" ref="M402:M408" si="40" xml:space="preserve"> (L402 - K402)/(K402-J402)</f>
        <v>-1.1818582122413035</v>
      </c>
      <c r="N402" s="10">
        <f t="shared" si="39"/>
        <v>0.45224489795918366</v>
      </c>
      <c r="O402" s="4">
        <v>1.4500000000000001E-2</v>
      </c>
      <c r="P402" s="4">
        <v>1.4500000000000001E-2</v>
      </c>
      <c r="Q402" s="14" t="s">
        <v>68</v>
      </c>
      <c r="R402" t="s">
        <v>327</v>
      </c>
      <c r="S402" t="s">
        <v>326</v>
      </c>
      <c r="T402" t="s">
        <v>328</v>
      </c>
    </row>
    <row r="403" spans="2:20">
      <c r="B403" s="14">
        <v>0</v>
      </c>
      <c r="C403" s="14"/>
      <c r="D403" t="s">
        <v>462</v>
      </c>
      <c r="E403" t="s">
        <v>255</v>
      </c>
      <c r="F403" t="s">
        <v>263</v>
      </c>
      <c r="G403" t="s">
        <v>263</v>
      </c>
      <c r="H403" t="s">
        <v>325</v>
      </c>
      <c r="J403" s="10">
        <v>100</v>
      </c>
      <c r="K403">
        <v>92.57</v>
      </c>
      <c r="L403" s="10">
        <v>107</v>
      </c>
      <c r="M403" s="10">
        <f t="shared" si="40"/>
        <v>-1.9421265141318969</v>
      </c>
      <c r="N403" s="10">
        <f t="shared" si="39"/>
        <v>0.86514018691588779</v>
      </c>
      <c r="O403" s="4">
        <v>-2.4400000000000002E-2</v>
      </c>
      <c r="P403" s="4">
        <v>-2.4400000000000002E-2</v>
      </c>
      <c r="Q403" s="14"/>
      <c r="R403" t="s">
        <v>325</v>
      </c>
      <c r="S403" t="s">
        <v>326</v>
      </c>
      <c r="T403" t="s">
        <v>327</v>
      </c>
    </row>
    <row r="404" spans="2:20">
      <c r="B404" s="14">
        <v>0</v>
      </c>
      <c r="C404" s="14"/>
      <c r="D404" t="s">
        <v>564</v>
      </c>
      <c r="E404" t="s">
        <v>375</v>
      </c>
      <c r="F404" t="s">
        <v>257</v>
      </c>
      <c r="G404" t="s">
        <v>257</v>
      </c>
      <c r="H404" t="s">
        <v>325</v>
      </c>
      <c r="J404" s="11">
        <v>10</v>
      </c>
      <c r="K404">
        <v>4.4800000000000004</v>
      </c>
      <c r="L404" s="10">
        <v>16</v>
      </c>
      <c r="M404" s="10">
        <f t="shared" si="40"/>
        <v>-2.0869565217391304</v>
      </c>
      <c r="N404" s="10">
        <f t="shared" si="39"/>
        <v>0.28000000000000003</v>
      </c>
      <c r="O404" s="4">
        <v>2.0999999999999999E-3</v>
      </c>
      <c r="P404" s="4">
        <v>2.0999999999999999E-3</v>
      </c>
      <c r="Q404" s="14"/>
      <c r="R404" t="s">
        <v>326</v>
      </c>
      <c r="S404" t="s">
        <v>326</v>
      </c>
      <c r="T404" t="s">
        <v>328</v>
      </c>
    </row>
    <row r="405" spans="2:20">
      <c r="B405" s="14">
        <v>0</v>
      </c>
      <c r="C405" s="14"/>
      <c r="D405" t="s">
        <v>166</v>
      </c>
      <c r="E405" t="s">
        <v>275</v>
      </c>
      <c r="F405" t="s">
        <v>258</v>
      </c>
      <c r="G405" t="s">
        <v>258</v>
      </c>
      <c r="H405" t="s">
        <v>325</v>
      </c>
      <c r="J405" s="10">
        <v>260</v>
      </c>
      <c r="K405">
        <v>359.13</v>
      </c>
      <c r="L405" s="10">
        <v>300</v>
      </c>
      <c r="M405" s="10">
        <f t="shared" si="40"/>
        <v>-0.59648945828709776</v>
      </c>
      <c r="N405" s="10">
        <f t="shared" si="39"/>
        <v>1.1971000000000001</v>
      </c>
      <c r="O405" s="4">
        <v>1.4200000000000001E-2</v>
      </c>
      <c r="P405" s="4">
        <v>1.4200000000000001E-2</v>
      </c>
      <c r="Q405" s="14"/>
      <c r="R405" t="s">
        <v>325</v>
      </c>
      <c r="S405" t="s">
        <v>325</v>
      </c>
      <c r="T405" t="s">
        <v>329</v>
      </c>
    </row>
    <row r="406" spans="2:20">
      <c r="B406" s="14">
        <v>0</v>
      </c>
      <c r="C406" s="14"/>
      <c r="D406" t="s">
        <v>434</v>
      </c>
      <c r="E406" t="s">
        <v>255</v>
      </c>
      <c r="F406" t="s">
        <v>263</v>
      </c>
      <c r="G406" t="s">
        <v>263</v>
      </c>
      <c r="H406" t="s">
        <v>325</v>
      </c>
      <c r="J406" s="10">
        <v>45</v>
      </c>
      <c r="K406">
        <v>26.77</v>
      </c>
      <c r="L406" s="10">
        <v>55</v>
      </c>
      <c r="M406" s="10">
        <f t="shared" si="40"/>
        <v>-1.5485463521667582</v>
      </c>
      <c r="N406" s="10">
        <f t="shared" si="39"/>
        <v>0.48672727272727273</v>
      </c>
      <c r="O406" s="4">
        <v>-4.53E-2</v>
      </c>
      <c r="P406" s="4">
        <v>-4.53E-2</v>
      </c>
      <c r="Q406" s="14"/>
      <c r="R406" t="s">
        <v>326</v>
      </c>
      <c r="S406" t="s">
        <v>326</v>
      </c>
      <c r="T406" t="s">
        <v>327</v>
      </c>
    </row>
    <row r="407" spans="2:20">
      <c r="B407" s="14">
        <v>0</v>
      </c>
      <c r="C407" s="14"/>
      <c r="D407" t="s">
        <v>81</v>
      </c>
      <c r="E407" t="s">
        <v>273</v>
      </c>
      <c r="F407" t="s">
        <v>257</v>
      </c>
      <c r="G407" t="s">
        <v>257</v>
      </c>
      <c r="H407" t="s">
        <v>325</v>
      </c>
      <c r="I407">
        <v>62</v>
      </c>
      <c r="J407" s="10">
        <v>60</v>
      </c>
      <c r="K407">
        <v>41.42</v>
      </c>
      <c r="L407" s="10">
        <v>66</v>
      </c>
      <c r="M407" s="10">
        <f t="shared" si="40"/>
        <v>-1.3229278794402584</v>
      </c>
      <c r="N407" s="10">
        <f t="shared" si="39"/>
        <v>0.62757575757575756</v>
      </c>
      <c r="O407" s="4">
        <v>-2.1299999999999999E-2</v>
      </c>
      <c r="P407" s="4">
        <v>-2.1299999999999999E-2</v>
      </c>
      <c r="Q407" s="14" t="s">
        <v>195</v>
      </c>
      <c r="R407" t="s">
        <v>325</v>
      </c>
      <c r="S407" t="s">
        <v>325</v>
      </c>
      <c r="T407" t="s">
        <v>329</v>
      </c>
    </row>
    <row r="408" spans="2:20">
      <c r="B408" s="14">
        <v>0</v>
      </c>
      <c r="C408" s="14"/>
      <c r="D408" t="s">
        <v>106</v>
      </c>
      <c r="E408" t="s">
        <v>279</v>
      </c>
      <c r="F408" t="s">
        <v>260</v>
      </c>
      <c r="G408" t="s">
        <v>260</v>
      </c>
      <c r="H408" t="s">
        <v>325</v>
      </c>
      <c r="J408" s="10">
        <v>37</v>
      </c>
      <c r="K408">
        <v>36.54</v>
      </c>
      <c r="L408" s="10">
        <v>43</v>
      </c>
      <c r="M408" s="10">
        <f t="shared" si="40"/>
        <v>-14.043478260869541</v>
      </c>
      <c r="N408" s="10">
        <f t="shared" si="39"/>
        <v>0.84976744186046504</v>
      </c>
      <c r="O408" s="4">
        <v>-9.5999999999999992E-3</v>
      </c>
      <c r="P408" s="4">
        <v>-9.5999999999999992E-3</v>
      </c>
      <c r="Q408" s="14"/>
      <c r="R408" t="s">
        <v>325</v>
      </c>
      <c r="S408" t="s">
        <v>326</v>
      </c>
      <c r="T408" t="s">
        <v>327</v>
      </c>
    </row>
    <row r="409" spans="2:20">
      <c r="B409" s="14">
        <v>0</v>
      </c>
      <c r="C409" s="14"/>
      <c r="D409" t="s">
        <v>605</v>
      </c>
      <c r="E409" t="s">
        <v>302</v>
      </c>
      <c r="F409" t="s">
        <v>263</v>
      </c>
      <c r="G409" t="s">
        <v>264</v>
      </c>
      <c r="H409" t="s">
        <v>325</v>
      </c>
      <c r="J409" s="10"/>
      <c r="K409">
        <v>28.28</v>
      </c>
      <c r="L409" s="10"/>
      <c r="M409" s="10"/>
      <c r="N409" s="10"/>
      <c r="O409" s="4">
        <v>1.8E-3</v>
      </c>
      <c r="P409" s="4">
        <v>1.8E-3</v>
      </c>
      <c r="Q409" s="14"/>
      <c r="R409" t="s">
        <v>325</v>
      </c>
      <c r="S409" t="s">
        <v>326</v>
      </c>
      <c r="T409" t="s">
        <v>327</v>
      </c>
    </row>
    <row r="410" spans="2:20">
      <c r="B410" s="14">
        <v>0</v>
      </c>
      <c r="C410" s="13">
        <v>14</v>
      </c>
      <c r="D410" t="s">
        <v>3</v>
      </c>
      <c r="E410" t="s">
        <v>265</v>
      </c>
      <c r="F410" t="s">
        <v>263</v>
      </c>
      <c r="G410" t="s">
        <v>263</v>
      </c>
      <c r="H410" t="s">
        <v>325</v>
      </c>
      <c r="J410" s="10">
        <v>6.74</v>
      </c>
      <c r="K410">
        <v>2.84</v>
      </c>
      <c r="L410" s="10">
        <v>7.32</v>
      </c>
      <c r="M410" s="10">
        <f t="shared" ref="M410:M419" si="41" xml:space="preserve"> (L410 - K410)/(K410-J410)</f>
        <v>-1.1487179487179486</v>
      </c>
      <c r="N410" s="10">
        <f t="shared" ref="N410:N419" si="42">K410/L410</f>
        <v>0.38797814207650272</v>
      </c>
      <c r="O410" s="4">
        <v>3.6999999999999998E-2</v>
      </c>
      <c r="P410" s="4">
        <v>3.6999999999999998E-2</v>
      </c>
      <c r="Q410" s="14" t="s">
        <v>63</v>
      </c>
      <c r="R410" t="s">
        <v>325</v>
      </c>
      <c r="S410" t="s">
        <v>327</v>
      </c>
      <c r="T410" t="s">
        <v>327</v>
      </c>
    </row>
    <row r="411" spans="2:20">
      <c r="B411" s="14">
        <v>0</v>
      </c>
      <c r="C411" s="13">
        <v>14</v>
      </c>
      <c r="D411" t="s">
        <v>199</v>
      </c>
      <c r="E411" t="s">
        <v>269</v>
      </c>
      <c r="F411" t="s">
        <v>264</v>
      </c>
      <c r="G411" t="s">
        <v>264</v>
      </c>
      <c r="H411" t="s">
        <v>326</v>
      </c>
      <c r="I411">
        <v>47</v>
      </c>
      <c r="J411" s="10">
        <v>45</v>
      </c>
      <c r="K411">
        <v>21.08</v>
      </c>
      <c r="L411" s="10">
        <v>55</v>
      </c>
      <c r="M411" s="10">
        <f t="shared" si="41"/>
        <v>-1.4180602006688963</v>
      </c>
      <c r="N411" s="10">
        <f t="shared" si="42"/>
        <v>0.38327272727272726</v>
      </c>
      <c r="O411" s="4">
        <v>1.6199999999999999E-2</v>
      </c>
      <c r="P411" s="4">
        <v>1.6199999999999999E-2</v>
      </c>
      <c r="Q411" s="14" t="s">
        <v>68</v>
      </c>
      <c r="R411" t="s">
        <v>327</v>
      </c>
      <c r="S411" t="s">
        <v>325</v>
      </c>
      <c r="T411" t="s">
        <v>329</v>
      </c>
    </row>
    <row r="412" spans="2:20">
      <c r="B412" s="14">
        <v>0</v>
      </c>
      <c r="C412" s="20">
        <v>7</v>
      </c>
      <c r="D412" t="s">
        <v>178</v>
      </c>
      <c r="E412" t="s">
        <v>269</v>
      </c>
      <c r="F412" t="s">
        <v>264</v>
      </c>
      <c r="G412" t="s">
        <v>264</v>
      </c>
      <c r="H412" t="s">
        <v>326</v>
      </c>
      <c r="J412" s="10">
        <v>37.5</v>
      </c>
      <c r="K412">
        <v>21.57</v>
      </c>
      <c r="L412" s="10">
        <v>40</v>
      </c>
      <c r="M412" s="10">
        <f t="shared" si="41"/>
        <v>-1.1569365976145638</v>
      </c>
      <c r="N412" s="10">
        <f t="shared" si="42"/>
        <v>0.53925000000000001</v>
      </c>
      <c r="O412" s="4">
        <v>1.9699999999999999E-2</v>
      </c>
      <c r="P412" s="4">
        <v>1.9699999999999999E-2</v>
      </c>
      <c r="Q412" s="14" t="s">
        <v>68</v>
      </c>
      <c r="R412" t="s">
        <v>325</v>
      </c>
      <c r="S412" t="s">
        <v>327</v>
      </c>
      <c r="T412" t="s">
        <v>329</v>
      </c>
    </row>
    <row r="413" spans="2:20">
      <c r="B413" s="14">
        <v>0</v>
      </c>
      <c r="C413" s="31">
        <v>6</v>
      </c>
      <c r="D413" t="s">
        <v>319</v>
      </c>
      <c r="E413" t="s">
        <v>269</v>
      </c>
      <c r="F413" t="s">
        <v>264</v>
      </c>
      <c r="G413" t="s">
        <v>264</v>
      </c>
      <c r="H413" t="s">
        <v>326</v>
      </c>
      <c r="J413" s="10">
        <v>37</v>
      </c>
      <c r="K413">
        <v>37.03</v>
      </c>
      <c r="L413" s="10">
        <v>90</v>
      </c>
      <c r="M413" s="10">
        <f t="shared" si="41"/>
        <v>1765.6666666665997</v>
      </c>
      <c r="N413" s="10">
        <f t="shared" si="42"/>
        <v>0.41144444444444445</v>
      </c>
      <c r="O413" s="4">
        <v>-4.8999999999999998E-3</v>
      </c>
      <c r="P413" s="4">
        <v>-4.8999999999999998E-3</v>
      </c>
      <c r="Q413" s="14"/>
      <c r="R413" t="s">
        <v>325</v>
      </c>
      <c r="S413" t="s">
        <v>327</v>
      </c>
      <c r="T413" t="s">
        <v>329</v>
      </c>
    </row>
    <row r="414" spans="2:20">
      <c r="B414" s="14">
        <v>0</v>
      </c>
      <c r="C414" s="14"/>
      <c r="D414" t="s">
        <v>360</v>
      </c>
      <c r="E414" t="s">
        <v>341</v>
      </c>
      <c r="F414" t="s">
        <v>264</v>
      </c>
      <c r="G414" t="s">
        <v>264</v>
      </c>
      <c r="H414" t="s">
        <v>326</v>
      </c>
      <c r="J414" s="10">
        <v>260</v>
      </c>
      <c r="K414">
        <v>189.27</v>
      </c>
      <c r="L414" s="10">
        <v>277</v>
      </c>
      <c r="M414" s="10">
        <f t="shared" si="41"/>
        <v>-1.2403506291531174</v>
      </c>
      <c r="N414" s="10">
        <f t="shared" si="42"/>
        <v>0.68328519855595671</v>
      </c>
      <c r="O414" s="4">
        <v>-1.0999999999999999E-2</v>
      </c>
      <c r="P414" s="4">
        <v>-1.0999999999999999E-2</v>
      </c>
      <c r="Q414" s="14"/>
      <c r="R414" t="s">
        <v>326</v>
      </c>
      <c r="S414" t="s">
        <v>326</v>
      </c>
      <c r="T414" t="s">
        <v>327</v>
      </c>
    </row>
    <row r="415" spans="2:20">
      <c r="B415" s="14">
        <v>0</v>
      </c>
      <c r="C415" s="14"/>
      <c r="D415" t="s">
        <v>455</v>
      </c>
      <c r="E415" t="s">
        <v>275</v>
      </c>
      <c r="F415" t="s">
        <v>258</v>
      </c>
      <c r="G415" t="s">
        <v>258</v>
      </c>
      <c r="H415" t="s">
        <v>325</v>
      </c>
      <c r="I415">
        <v>170</v>
      </c>
      <c r="J415" s="10">
        <v>160</v>
      </c>
      <c r="K415">
        <v>95.94</v>
      </c>
      <c r="L415" s="10">
        <v>190</v>
      </c>
      <c r="M415" s="10">
        <f t="shared" si="41"/>
        <v>-1.4683109584764282</v>
      </c>
      <c r="N415" s="10">
        <f t="shared" si="42"/>
        <v>0.50494736842105259</v>
      </c>
      <c r="O415" s="4">
        <v>9.9000000000000008E-3</v>
      </c>
      <c r="P415" s="4">
        <v>9.9000000000000008E-3</v>
      </c>
      <c r="Q415" s="14"/>
      <c r="R415" t="s">
        <v>325</v>
      </c>
      <c r="S415" t="s">
        <v>325</v>
      </c>
      <c r="T415" t="s">
        <v>329</v>
      </c>
    </row>
    <row r="416" spans="2:20">
      <c r="B416" s="14">
        <v>0</v>
      </c>
      <c r="C416" s="31">
        <v>6</v>
      </c>
      <c r="D416" t="s">
        <v>114</v>
      </c>
      <c r="E416" t="s">
        <v>269</v>
      </c>
      <c r="F416"/>
      <c r="G416"/>
      <c r="H416" t="s">
        <v>710</v>
      </c>
      <c r="J416" s="10">
        <v>68.819999999999993</v>
      </c>
      <c r="K416">
        <v>83.44</v>
      </c>
      <c r="L416" s="10">
        <v>76.819999999999993</v>
      </c>
      <c r="M416" s="10">
        <f t="shared" si="41"/>
        <v>-0.45280437756497965</v>
      </c>
      <c r="N416" s="10">
        <f t="shared" si="42"/>
        <v>1.0861754751366832</v>
      </c>
      <c r="O416" s="28">
        <v>0</v>
      </c>
      <c r="P416" s="28">
        <v>0</v>
      </c>
      <c r="Q416" s="14" t="s">
        <v>68</v>
      </c>
      <c r="R416" t="s">
        <v>710</v>
      </c>
      <c r="S416" t="s">
        <v>710</v>
      </c>
      <c r="T416" t="s">
        <v>710</v>
      </c>
    </row>
    <row r="417" spans="2:20">
      <c r="B417" s="14">
        <v>0</v>
      </c>
      <c r="C417" s="14"/>
      <c r="D417" t="s">
        <v>117</v>
      </c>
      <c r="E417" t="s">
        <v>155</v>
      </c>
      <c r="F417" t="s">
        <v>258</v>
      </c>
      <c r="G417" t="s">
        <v>258</v>
      </c>
      <c r="H417" t="s">
        <v>325</v>
      </c>
      <c r="J417" s="10">
        <v>95.5</v>
      </c>
      <c r="K417">
        <v>73.349999999999994</v>
      </c>
      <c r="L417" s="10">
        <v>105</v>
      </c>
      <c r="M417" s="10">
        <f t="shared" si="41"/>
        <v>-1.4288939051918734</v>
      </c>
      <c r="N417" s="10">
        <f t="shared" si="42"/>
        <v>0.69857142857142851</v>
      </c>
      <c r="O417" s="4">
        <v>-2.8999999999999998E-3</v>
      </c>
      <c r="P417" s="4">
        <v>-2.8999999999999998E-3</v>
      </c>
      <c r="Q417" s="14" t="s">
        <v>67</v>
      </c>
      <c r="R417" t="s">
        <v>325</v>
      </c>
      <c r="S417" t="s">
        <v>325</v>
      </c>
      <c r="T417" t="s">
        <v>329</v>
      </c>
    </row>
    <row r="418" spans="2:20">
      <c r="B418" s="14">
        <v>0</v>
      </c>
      <c r="C418" s="14"/>
      <c r="D418" t="s">
        <v>609</v>
      </c>
      <c r="E418" t="s">
        <v>274</v>
      </c>
      <c r="F418" t="s">
        <v>264</v>
      </c>
      <c r="G418" t="s">
        <v>264</v>
      </c>
      <c r="H418" t="s">
        <v>326</v>
      </c>
      <c r="J418" s="10">
        <v>2.35</v>
      </c>
      <c r="K418">
        <v>10.08</v>
      </c>
      <c r="L418" s="10">
        <v>4</v>
      </c>
      <c r="M418" s="10">
        <f t="shared" si="41"/>
        <v>-0.78654592496765841</v>
      </c>
      <c r="N418" s="10">
        <f t="shared" si="42"/>
        <v>2.52</v>
      </c>
      <c r="O418" s="4">
        <v>3.6299999999999999E-2</v>
      </c>
      <c r="P418" s="4">
        <v>3.6299999999999999E-2</v>
      </c>
      <c r="Q418" s="15"/>
      <c r="R418" t="s">
        <v>326</v>
      </c>
      <c r="S418" t="s">
        <v>326</v>
      </c>
      <c r="T418" t="s">
        <v>327</v>
      </c>
    </row>
    <row r="419" spans="2:20">
      <c r="B419" s="14">
        <v>0</v>
      </c>
      <c r="C419" s="14"/>
      <c r="D419" t="s">
        <v>14</v>
      </c>
      <c r="E419" t="s">
        <v>297</v>
      </c>
      <c r="F419" t="s">
        <v>262</v>
      </c>
      <c r="G419" t="s">
        <v>262</v>
      </c>
      <c r="H419" t="s">
        <v>326</v>
      </c>
      <c r="J419" s="10">
        <v>73.52</v>
      </c>
      <c r="K419">
        <v>81.290000000000006</v>
      </c>
      <c r="L419" s="10">
        <v>77.5</v>
      </c>
      <c r="M419" s="10">
        <f t="shared" si="41"/>
        <v>-0.48777348777348795</v>
      </c>
      <c r="N419" s="10">
        <f t="shared" si="42"/>
        <v>1.0489032258064517</v>
      </c>
      <c r="O419" s="4">
        <v>3.3E-3</v>
      </c>
      <c r="P419" s="4">
        <v>3.3E-3</v>
      </c>
      <c r="Q419" s="14" t="s">
        <v>98</v>
      </c>
      <c r="R419" t="s">
        <v>325</v>
      </c>
      <c r="S419" t="s">
        <v>325</v>
      </c>
      <c r="T419" t="s">
        <v>329</v>
      </c>
    </row>
    <row r="420" spans="2:20">
      <c r="B420" s="14">
        <v>0</v>
      </c>
      <c r="C420" s="14"/>
      <c r="D420" t="s">
        <v>634</v>
      </c>
      <c r="E420" t="s">
        <v>299</v>
      </c>
      <c r="F420" t="s">
        <v>257</v>
      </c>
      <c r="G420" t="s">
        <v>257</v>
      </c>
      <c r="H420" t="s">
        <v>325</v>
      </c>
      <c r="J420" s="10"/>
      <c r="K420">
        <v>240.36</v>
      </c>
      <c r="L420" s="10"/>
      <c r="M420" s="10"/>
      <c r="N420" s="10"/>
      <c r="O420" s="4">
        <v>-1.35E-2</v>
      </c>
      <c r="P420" s="4">
        <v>-1.35E-2</v>
      </c>
      <c r="Q420" s="14"/>
      <c r="R420" t="s">
        <v>327</v>
      </c>
      <c r="S420" t="s">
        <v>327</v>
      </c>
      <c r="T420" t="s">
        <v>327</v>
      </c>
    </row>
    <row r="421" spans="2:20">
      <c r="B421" s="14">
        <v>0</v>
      </c>
      <c r="C421" s="13">
        <v>14</v>
      </c>
      <c r="D421" t="s">
        <v>312</v>
      </c>
      <c r="E421" t="s">
        <v>421</v>
      </c>
      <c r="F421" t="s">
        <v>264</v>
      </c>
      <c r="G421" t="s">
        <v>264</v>
      </c>
      <c r="H421" t="s">
        <v>326</v>
      </c>
      <c r="I421">
        <v>150</v>
      </c>
      <c r="J421" s="10">
        <v>125</v>
      </c>
      <c r="K421">
        <v>121.79</v>
      </c>
      <c r="L421" s="10">
        <v>200</v>
      </c>
      <c r="M421" s="10">
        <f xml:space="preserve"> (L421 - K421)/(K421-J421)</f>
        <v>-24.364485981308455</v>
      </c>
      <c r="N421" s="10">
        <f t="shared" ref="N421:N427" si="43">K421/L421</f>
        <v>0.60894999999999999</v>
      </c>
      <c r="O421" s="4">
        <v>1.5800000000000002E-2</v>
      </c>
      <c r="P421" s="4">
        <v>1.5800000000000002E-2</v>
      </c>
      <c r="Q421" s="15"/>
      <c r="R421" t="s">
        <v>327</v>
      </c>
      <c r="S421" t="s">
        <v>327</v>
      </c>
      <c r="T421" t="s">
        <v>329</v>
      </c>
    </row>
    <row r="422" spans="2:20">
      <c r="B422" s="14">
        <v>0</v>
      </c>
      <c r="C422" s="20">
        <v>7</v>
      </c>
      <c r="D422" t="s">
        <v>9</v>
      </c>
      <c r="E422" t="s">
        <v>265</v>
      </c>
      <c r="F422" t="s">
        <v>258</v>
      </c>
      <c r="G422" t="s">
        <v>258</v>
      </c>
      <c r="H422" t="s">
        <v>325</v>
      </c>
      <c r="J422" s="10">
        <v>135</v>
      </c>
      <c r="K422">
        <v>192.57</v>
      </c>
      <c r="L422" s="10">
        <v>160</v>
      </c>
      <c r="M422" s="10">
        <f xml:space="preserve"> (L422 - K422)/(K422-J422)</f>
        <v>-0.5657460482890394</v>
      </c>
      <c r="N422" s="10">
        <f t="shared" si="43"/>
        <v>1.2035624999999999</v>
      </c>
      <c r="O422" s="4">
        <v>1.03E-2</v>
      </c>
      <c r="P422" s="4">
        <v>1.03E-2</v>
      </c>
      <c r="Q422" s="14" t="s">
        <v>63</v>
      </c>
      <c r="R422" t="s">
        <v>325</v>
      </c>
      <c r="S422" t="s">
        <v>327</v>
      </c>
      <c r="T422" t="s">
        <v>327</v>
      </c>
    </row>
    <row r="423" spans="2:20">
      <c r="B423" s="14">
        <v>0</v>
      </c>
      <c r="C423" s="14"/>
      <c r="D423" t="s">
        <v>690</v>
      </c>
      <c r="E423" t="s">
        <v>164</v>
      </c>
      <c r="F423" t="s">
        <v>264</v>
      </c>
      <c r="G423" t="s">
        <v>264</v>
      </c>
      <c r="H423" t="s">
        <v>326</v>
      </c>
      <c r="J423" s="10">
        <v>1500</v>
      </c>
      <c r="K423">
        <v>1128.2</v>
      </c>
      <c r="L423" s="10">
        <v>2250</v>
      </c>
      <c r="M423" s="10">
        <f xml:space="preserve"> (L423 - K423)/(K423-J423)</f>
        <v>-3.0172135556750943</v>
      </c>
      <c r="N423" s="10">
        <f t="shared" si="43"/>
        <v>0.50142222222222221</v>
      </c>
      <c r="O423" s="4">
        <v>5.3E-3</v>
      </c>
      <c r="P423" s="4">
        <v>5.3E-3</v>
      </c>
      <c r="Q423" s="15"/>
      <c r="R423" t="s">
        <v>326</v>
      </c>
      <c r="S423" t="s">
        <v>326</v>
      </c>
      <c r="T423" t="s">
        <v>329</v>
      </c>
    </row>
    <row r="424" spans="2:20">
      <c r="B424" s="14">
        <v>0</v>
      </c>
      <c r="C424" s="14"/>
      <c r="D424" t="s">
        <v>691</v>
      </c>
      <c r="E424" t="s">
        <v>289</v>
      </c>
      <c r="F424" t="s">
        <v>257</v>
      </c>
      <c r="G424" t="s">
        <v>257</v>
      </c>
      <c r="H424" t="s">
        <v>326</v>
      </c>
      <c r="J424" s="10">
        <v>125</v>
      </c>
      <c r="K424">
        <v>105.55</v>
      </c>
      <c r="L424" s="10">
        <v>135</v>
      </c>
      <c r="M424" s="10">
        <f xml:space="preserve"> (L424 - K424)/(K424-J424)</f>
        <v>-1.5141388174807198</v>
      </c>
      <c r="N424" s="10">
        <f t="shared" si="43"/>
        <v>0.7818518518518518</v>
      </c>
      <c r="O424" s="4">
        <v>1.09E-2</v>
      </c>
      <c r="P424" s="4">
        <v>1.09E-2</v>
      </c>
      <c r="Q424" s="14"/>
      <c r="R424" t="s">
        <v>326</v>
      </c>
      <c r="S424" t="s">
        <v>326</v>
      </c>
      <c r="T424" t="s">
        <v>329</v>
      </c>
    </row>
    <row r="425" spans="2:20">
      <c r="B425" s="14">
        <v>0</v>
      </c>
      <c r="C425" s="14"/>
      <c r="D425" t="s">
        <v>211</v>
      </c>
      <c r="E425" t="s">
        <v>417</v>
      </c>
      <c r="F425" t="s">
        <v>264</v>
      </c>
      <c r="G425" t="s">
        <v>264</v>
      </c>
      <c r="H425" t="s">
        <v>325</v>
      </c>
      <c r="J425" s="10">
        <v>206</v>
      </c>
      <c r="K425">
        <v>301.62</v>
      </c>
      <c r="L425" s="10">
        <v>217</v>
      </c>
      <c r="M425" s="10">
        <f xml:space="preserve"> (L425 - K425)/(K425-J425)</f>
        <v>-0.88496130516628324</v>
      </c>
      <c r="N425" s="10">
        <f t="shared" si="43"/>
        <v>1.3899539170506912</v>
      </c>
      <c r="O425" s="4">
        <v>-3.1199999999999999E-2</v>
      </c>
      <c r="P425" s="4">
        <v>-3.1199999999999999E-2</v>
      </c>
      <c r="Q425" s="15"/>
      <c r="R425" t="s">
        <v>326</v>
      </c>
      <c r="S425" t="s">
        <v>326</v>
      </c>
      <c r="T425" t="s">
        <v>327</v>
      </c>
    </row>
    <row r="426" spans="2:20">
      <c r="B426" s="14">
        <v>0</v>
      </c>
      <c r="C426" s="14"/>
      <c r="D426" t="s">
        <v>610</v>
      </c>
      <c r="E426" t="s">
        <v>611</v>
      </c>
      <c r="F426" t="s">
        <v>259</v>
      </c>
      <c r="G426" t="s">
        <v>259</v>
      </c>
      <c r="H426" t="s">
        <v>326</v>
      </c>
      <c r="J426" s="10"/>
      <c r="K426">
        <v>44.65</v>
      </c>
      <c r="L426" s="10"/>
      <c r="M426" s="10"/>
      <c r="N426" s="10" t="e">
        <f t="shared" si="43"/>
        <v>#DIV/0!</v>
      </c>
      <c r="O426" s="4">
        <v>2.76E-2</v>
      </c>
      <c r="P426" s="4">
        <v>2.76E-2</v>
      </c>
      <c r="Q426" s="14"/>
      <c r="R426" t="s">
        <v>325</v>
      </c>
      <c r="S426" t="s">
        <v>325</v>
      </c>
      <c r="T426" t="s">
        <v>329</v>
      </c>
    </row>
    <row r="427" spans="2:20">
      <c r="B427" s="14">
        <v>0</v>
      </c>
      <c r="C427" s="14"/>
      <c r="D427" t="s">
        <v>133</v>
      </c>
      <c r="E427" t="s">
        <v>417</v>
      </c>
      <c r="F427" t="s">
        <v>257</v>
      </c>
      <c r="G427" t="s">
        <v>257</v>
      </c>
      <c r="H427" t="s">
        <v>325</v>
      </c>
      <c r="J427">
        <v>150</v>
      </c>
      <c r="K427">
        <v>165.3</v>
      </c>
      <c r="L427">
        <v>160</v>
      </c>
      <c r="M427" s="10">
        <f t="shared" ref="M427:M439" si="44" xml:space="preserve"> (L427 - K427)/(K427-J427)</f>
        <v>-0.34640522875817042</v>
      </c>
      <c r="N427" s="10">
        <f t="shared" si="43"/>
        <v>1.0331250000000001</v>
      </c>
      <c r="O427" s="4">
        <v>-5.0000000000000001E-3</v>
      </c>
      <c r="P427" s="4">
        <v>-5.0000000000000001E-3</v>
      </c>
      <c r="Q427" s="14" t="s">
        <v>99</v>
      </c>
      <c r="R427" t="s">
        <v>326</v>
      </c>
      <c r="S427" t="s">
        <v>327</v>
      </c>
      <c r="T427" t="s">
        <v>327</v>
      </c>
    </row>
    <row r="428" spans="2:20">
      <c r="B428" s="14">
        <v>0</v>
      </c>
      <c r="C428" s="14"/>
      <c r="D428" t="s">
        <v>207</v>
      </c>
      <c r="E428" t="s">
        <v>265</v>
      </c>
      <c r="F428" t="s">
        <v>261</v>
      </c>
      <c r="G428" t="s">
        <v>261</v>
      </c>
      <c r="H428" t="s">
        <v>325</v>
      </c>
      <c r="J428" s="10">
        <v>25</v>
      </c>
      <c r="K428">
        <v>43.11</v>
      </c>
      <c r="L428" s="10">
        <v>30</v>
      </c>
      <c r="M428" s="10">
        <f t="shared" si="44"/>
        <v>-0.72390944229707344</v>
      </c>
      <c r="N428" s="10">
        <f>I428/L428</f>
        <v>0</v>
      </c>
      <c r="O428" s="4">
        <v>2.81E-2</v>
      </c>
      <c r="P428" s="4">
        <v>2.81E-2</v>
      </c>
      <c r="Q428" s="14" t="s">
        <v>213</v>
      </c>
      <c r="R428" t="s">
        <v>327</v>
      </c>
      <c r="S428" t="s">
        <v>327</v>
      </c>
      <c r="T428" t="s">
        <v>328</v>
      </c>
    </row>
    <row r="429" spans="2:20">
      <c r="B429" s="14">
        <v>0</v>
      </c>
      <c r="C429" s="13">
        <v>14</v>
      </c>
      <c r="D429" t="s">
        <v>568</v>
      </c>
      <c r="E429" t="s">
        <v>301</v>
      </c>
      <c r="F429" t="s">
        <v>262</v>
      </c>
      <c r="G429" t="s">
        <v>259</v>
      </c>
      <c r="H429" t="s">
        <v>325</v>
      </c>
      <c r="J429" s="10">
        <v>32</v>
      </c>
      <c r="K429">
        <v>33.6</v>
      </c>
      <c r="L429" s="10">
        <v>34</v>
      </c>
      <c r="M429" s="10">
        <f t="shared" si="44"/>
        <v>0.24999999999999889</v>
      </c>
      <c r="N429" s="10">
        <f t="shared" ref="N429:N439" si="45">K429/L429</f>
        <v>0.9882352941176471</v>
      </c>
      <c r="O429" s="28">
        <v>0.01</v>
      </c>
      <c r="P429" s="28">
        <v>0.01</v>
      </c>
      <c r="Q429" s="14"/>
      <c r="R429" t="s">
        <v>325</v>
      </c>
      <c r="S429" t="s">
        <v>327</v>
      </c>
      <c r="T429" t="s">
        <v>329</v>
      </c>
    </row>
    <row r="430" spans="2:20">
      <c r="B430" s="14">
        <v>0</v>
      </c>
      <c r="C430" s="20">
        <v>7</v>
      </c>
      <c r="D430" t="s">
        <v>174</v>
      </c>
      <c r="E430" t="s">
        <v>41</v>
      </c>
      <c r="F430" t="s">
        <v>257</v>
      </c>
      <c r="G430" t="s">
        <v>257</v>
      </c>
      <c r="H430" t="s">
        <v>325</v>
      </c>
      <c r="J430" s="10">
        <v>375</v>
      </c>
      <c r="K430">
        <v>559.74</v>
      </c>
      <c r="L430" s="10">
        <v>425</v>
      </c>
      <c r="M430" s="10">
        <f t="shared" si="44"/>
        <v>-0.72934935585146699</v>
      </c>
      <c r="N430" s="10">
        <f t="shared" si="45"/>
        <v>1.3170352941176471</v>
      </c>
      <c r="O430" s="4">
        <v>8.0000000000000002E-3</v>
      </c>
      <c r="P430" s="4">
        <v>8.0000000000000002E-3</v>
      </c>
      <c r="Q430" s="14" t="s">
        <v>198</v>
      </c>
      <c r="R430" t="s">
        <v>325</v>
      </c>
      <c r="S430" t="s">
        <v>325</v>
      </c>
      <c r="T430" t="s">
        <v>329</v>
      </c>
    </row>
    <row r="431" spans="2:20">
      <c r="B431" s="14">
        <v>0</v>
      </c>
      <c r="C431" s="14"/>
      <c r="D431" t="s">
        <v>115</v>
      </c>
      <c r="E431" t="s">
        <v>88</v>
      </c>
      <c r="F431" t="s">
        <v>257</v>
      </c>
      <c r="G431" t="s">
        <v>257</v>
      </c>
      <c r="H431" t="s">
        <v>325</v>
      </c>
      <c r="J431" s="11">
        <v>12.5</v>
      </c>
      <c r="K431">
        <v>9.27</v>
      </c>
      <c r="L431" s="10">
        <v>20</v>
      </c>
      <c r="M431" s="10">
        <f t="shared" si="44"/>
        <v>-3.3219814241486065</v>
      </c>
      <c r="N431" s="10">
        <f t="shared" si="45"/>
        <v>0.46349999999999997</v>
      </c>
      <c r="O431" s="4">
        <v>2.0899999999999998E-2</v>
      </c>
      <c r="P431" s="4">
        <v>2.0899999999999998E-2</v>
      </c>
      <c r="Q431" s="14" t="s">
        <v>88</v>
      </c>
      <c r="R431" t="s">
        <v>325</v>
      </c>
      <c r="S431" t="s">
        <v>325</v>
      </c>
      <c r="T431" t="s">
        <v>436</v>
      </c>
    </row>
    <row r="432" spans="2:20">
      <c r="B432" s="14">
        <v>0</v>
      </c>
      <c r="C432" s="14"/>
      <c r="D432" t="s">
        <v>616</v>
      </c>
      <c r="E432" t="s">
        <v>284</v>
      </c>
      <c r="F432" t="s">
        <v>257</v>
      </c>
      <c r="G432" t="s">
        <v>257</v>
      </c>
      <c r="H432" t="s">
        <v>326</v>
      </c>
      <c r="J432" s="10">
        <v>40</v>
      </c>
      <c r="K432">
        <v>19.420000000000002</v>
      </c>
      <c r="L432" s="10">
        <v>55</v>
      </c>
      <c r="M432" s="10">
        <f t="shared" si="44"/>
        <v>-1.7288629737609329</v>
      </c>
      <c r="N432" s="10">
        <f t="shared" si="45"/>
        <v>0.35309090909090912</v>
      </c>
      <c r="O432" s="4">
        <v>5.2900000000000003E-2</v>
      </c>
      <c r="P432" s="4">
        <v>5.2900000000000003E-2</v>
      </c>
      <c r="Q432" s="14" t="s">
        <v>620</v>
      </c>
      <c r="R432" t="s">
        <v>327</v>
      </c>
      <c r="S432" t="s">
        <v>327</v>
      </c>
      <c r="T432" t="s">
        <v>329</v>
      </c>
    </row>
    <row r="433" spans="2:20">
      <c r="B433" s="14">
        <v>0</v>
      </c>
      <c r="C433" s="14"/>
      <c r="D433" t="s">
        <v>40</v>
      </c>
      <c r="E433" t="s">
        <v>155</v>
      </c>
      <c r="F433" t="s">
        <v>263</v>
      </c>
      <c r="G433" t="s">
        <v>257</v>
      </c>
      <c r="H433" t="s">
        <v>325</v>
      </c>
      <c r="J433" s="10">
        <v>91</v>
      </c>
      <c r="K433">
        <v>13.09</v>
      </c>
      <c r="L433" s="10">
        <v>105</v>
      </c>
      <c r="M433" s="10">
        <f t="shared" si="44"/>
        <v>-1.1796945193171609</v>
      </c>
      <c r="N433" s="10">
        <f t="shared" si="45"/>
        <v>0.12466666666666666</v>
      </c>
      <c r="O433" s="4">
        <v>-1.3100000000000001E-2</v>
      </c>
      <c r="P433" s="4">
        <v>-1.3100000000000001E-2</v>
      </c>
      <c r="Q433" s="14"/>
      <c r="R433" t="s">
        <v>327</v>
      </c>
      <c r="S433" t="s">
        <v>325</v>
      </c>
      <c r="T433" t="s">
        <v>327</v>
      </c>
    </row>
    <row r="434" spans="2:20">
      <c r="B434" s="14">
        <v>0</v>
      </c>
      <c r="C434" s="14"/>
      <c r="D434" t="s">
        <v>581</v>
      </c>
      <c r="E434" t="s">
        <v>88</v>
      </c>
      <c r="F434" t="s">
        <v>258</v>
      </c>
      <c r="G434" t="s">
        <v>258</v>
      </c>
      <c r="H434" t="s">
        <v>325</v>
      </c>
      <c r="J434" s="11">
        <v>68</v>
      </c>
      <c r="K434">
        <v>87.94</v>
      </c>
      <c r="L434" s="10">
        <v>80</v>
      </c>
      <c r="M434" s="10">
        <f t="shared" si="44"/>
        <v>-0.39819458375125372</v>
      </c>
      <c r="N434" s="10">
        <f t="shared" si="45"/>
        <v>1.0992500000000001</v>
      </c>
      <c r="O434" s="4">
        <v>4.8999999999999998E-3</v>
      </c>
      <c r="P434" s="4">
        <v>4.8999999999999998E-3</v>
      </c>
      <c r="R434" t="s">
        <v>326</v>
      </c>
      <c r="S434" t="s">
        <v>326</v>
      </c>
      <c r="T434" t="s">
        <v>329</v>
      </c>
    </row>
    <row r="435" spans="2:20">
      <c r="B435" s="14">
        <v>0</v>
      </c>
      <c r="C435" s="14"/>
      <c r="D435" t="s">
        <v>491</v>
      </c>
      <c r="E435" t="s">
        <v>41</v>
      </c>
      <c r="F435" t="s">
        <v>257</v>
      </c>
      <c r="G435" t="s">
        <v>257</v>
      </c>
      <c r="H435" t="s">
        <v>325</v>
      </c>
      <c r="I435" s="8"/>
      <c r="J435" s="11">
        <v>300</v>
      </c>
      <c r="K435">
        <v>295.94</v>
      </c>
      <c r="L435" s="10">
        <v>400</v>
      </c>
      <c r="M435" s="10">
        <f t="shared" si="44"/>
        <v>-25.630541871921167</v>
      </c>
      <c r="N435" s="10">
        <f t="shared" si="45"/>
        <v>0.73985000000000001</v>
      </c>
      <c r="O435" s="4">
        <v>1.2999999999999999E-3</v>
      </c>
      <c r="P435" s="4">
        <v>1.2999999999999999E-3</v>
      </c>
      <c r="R435" t="s">
        <v>325</v>
      </c>
      <c r="S435" t="s">
        <v>326</v>
      </c>
      <c r="T435" t="s">
        <v>329</v>
      </c>
    </row>
    <row r="436" spans="2:20">
      <c r="B436" s="14">
        <v>0</v>
      </c>
      <c r="C436" s="14"/>
      <c r="D436" t="s">
        <v>153</v>
      </c>
      <c r="E436" t="s">
        <v>288</v>
      </c>
      <c r="F436" t="s">
        <v>263</v>
      </c>
      <c r="G436" t="s">
        <v>263</v>
      </c>
      <c r="H436" t="s">
        <v>325</v>
      </c>
      <c r="J436" s="10">
        <v>100</v>
      </c>
      <c r="K436">
        <v>34.31</v>
      </c>
      <c r="L436" s="10">
        <v>115</v>
      </c>
      <c r="M436" s="10">
        <f t="shared" si="44"/>
        <v>-1.2283452580301415</v>
      </c>
      <c r="N436" s="10">
        <f t="shared" si="45"/>
        <v>0.29834782608695654</v>
      </c>
      <c r="O436" s="4">
        <v>-1.29E-2</v>
      </c>
      <c r="P436" s="4">
        <v>-1.29E-2</v>
      </c>
      <c r="Q436" s="8" t="s">
        <v>154</v>
      </c>
      <c r="R436" t="s">
        <v>325</v>
      </c>
      <c r="S436" t="s">
        <v>326</v>
      </c>
      <c r="T436" t="s">
        <v>329</v>
      </c>
    </row>
    <row r="437" spans="2:20">
      <c r="B437" s="14">
        <v>0</v>
      </c>
      <c r="C437" s="13">
        <v>14</v>
      </c>
      <c r="D437" t="s">
        <v>437</v>
      </c>
      <c r="E437" t="s">
        <v>301</v>
      </c>
      <c r="F437" t="s">
        <v>259</v>
      </c>
      <c r="G437" t="s">
        <v>259</v>
      </c>
      <c r="H437" t="s">
        <v>325</v>
      </c>
      <c r="J437" s="10">
        <v>17</v>
      </c>
      <c r="K437">
        <v>17.21</v>
      </c>
      <c r="L437" s="10">
        <v>18</v>
      </c>
      <c r="M437" s="10">
        <f t="shared" si="44"/>
        <v>3.7619047619047428</v>
      </c>
      <c r="N437" s="10">
        <f t="shared" si="45"/>
        <v>0.95611111111111113</v>
      </c>
      <c r="O437" s="4">
        <v>2.3E-3</v>
      </c>
      <c r="P437" s="4">
        <v>2.3E-3</v>
      </c>
      <c r="Q437" s="8"/>
      <c r="R437" t="s">
        <v>325</v>
      </c>
      <c r="S437" t="s">
        <v>325</v>
      </c>
      <c r="T437" t="s">
        <v>327</v>
      </c>
    </row>
    <row r="438" spans="2:20">
      <c r="B438" s="14">
        <v>0</v>
      </c>
      <c r="C438" s="20">
        <v>7</v>
      </c>
      <c r="D438" t="s">
        <v>4</v>
      </c>
      <c r="E438" t="s">
        <v>265</v>
      </c>
      <c r="F438" t="s">
        <v>258</v>
      </c>
      <c r="G438" t="s">
        <v>258</v>
      </c>
      <c r="H438" t="s">
        <v>325</v>
      </c>
      <c r="J438" s="10">
        <v>110</v>
      </c>
      <c r="K438">
        <v>126.88</v>
      </c>
      <c r="L438" s="10">
        <v>135</v>
      </c>
      <c r="M438" s="10">
        <f t="shared" si="44"/>
        <v>0.48104265402843643</v>
      </c>
      <c r="N438" s="10">
        <f t="shared" si="45"/>
        <v>0.93985185185185183</v>
      </c>
      <c r="O438" s="4">
        <v>5.4000000000000003E-3</v>
      </c>
      <c r="P438" s="4">
        <v>5.4000000000000003E-3</v>
      </c>
      <c r="Q438" t="s">
        <v>206</v>
      </c>
      <c r="R438" t="s">
        <v>325</v>
      </c>
      <c r="S438" t="s">
        <v>327</v>
      </c>
      <c r="T438" t="s">
        <v>329</v>
      </c>
    </row>
    <row r="439" spans="2:20">
      <c r="B439" s="14">
        <v>0</v>
      </c>
      <c r="C439" s="14"/>
      <c r="D439" t="s">
        <v>239</v>
      </c>
      <c r="E439" t="s">
        <v>281</v>
      </c>
      <c r="F439" t="s">
        <v>257</v>
      </c>
      <c r="G439" t="s">
        <v>257</v>
      </c>
      <c r="H439" t="s">
        <v>326</v>
      </c>
      <c r="J439" s="10">
        <v>46</v>
      </c>
      <c r="K439">
        <v>32.86</v>
      </c>
      <c r="L439" s="10">
        <v>55</v>
      </c>
      <c r="M439" s="10">
        <f t="shared" si="44"/>
        <v>-1.6849315068493151</v>
      </c>
      <c r="N439" s="10">
        <f t="shared" si="45"/>
        <v>0.59745454545454546</v>
      </c>
      <c r="O439" s="4">
        <v>2.1000000000000001E-2</v>
      </c>
      <c r="P439" s="4">
        <v>2.1000000000000001E-2</v>
      </c>
      <c r="Q439" s="15"/>
      <c r="R439" t="s">
        <v>326</v>
      </c>
      <c r="S439" t="s">
        <v>326</v>
      </c>
      <c r="T439" t="s">
        <v>327</v>
      </c>
    </row>
    <row r="440" spans="2:20">
      <c r="B440" s="14">
        <v>0</v>
      </c>
      <c r="C440" s="31">
        <v>6</v>
      </c>
      <c r="D440" t="s">
        <v>365</v>
      </c>
      <c r="E440" t="s">
        <v>269</v>
      </c>
      <c r="F440" t="s">
        <v>264</v>
      </c>
      <c r="G440" t="s">
        <v>263</v>
      </c>
      <c r="H440" t="s">
        <v>326</v>
      </c>
      <c r="J440" s="10"/>
      <c r="K440">
        <v>96.72</v>
      </c>
      <c r="L440" s="10"/>
      <c r="M440" s="10"/>
      <c r="N440" s="10"/>
      <c r="O440" s="4">
        <v>1.35E-2</v>
      </c>
      <c r="P440" s="4">
        <v>1.35E-2</v>
      </c>
      <c r="Q440" s="15"/>
      <c r="R440" t="s">
        <v>325</v>
      </c>
      <c r="S440" t="s">
        <v>327</v>
      </c>
      <c r="T440" t="s">
        <v>329</v>
      </c>
    </row>
    <row r="441" spans="2:20">
      <c r="B441" s="14">
        <v>0</v>
      </c>
      <c r="C441" s="14"/>
      <c r="D441" t="s">
        <v>48</v>
      </c>
      <c r="E441" t="s">
        <v>277</v>
      </c>
      <c r="F441" t="s">
        <v>257</v>
      </c>
      <c r="G441" t="s">
        <v>257</v>
      </c>
      <c r="H441" t="s">
        <v>326</v>
      </c>
      <c r="J441" s="10">
        <v>20.48</v>
      </c>
      <c r="K441">
        <v>8.9</v>
      </c>
      <c r="L441" s="10">
        <v>23.69</v>
      </c>
      <c r="M441" s="10">
        <f xml:space="preserve"> (L441 - K441)/(K441-J441)</f>
        <v>-1.2772020725388602</v>
      </c>
      <c r="N441" s="10">
        <f>K441/L441</f>
        <v>0.37568594343604894</v>
      </c>
      <c r="O441" s="4">
        <v>1.72E-2</v>
      </c>
      <c r="P441" s="4">
        <v>1.72E-2</v>
      </c>
      <c r="Q441" s="15" t="s">
        <v>69</v>
      </c>
      <c r="R441" t="s">
        <v>326</v>
      </c>
      <c r="S441" t="s">
        <v>325</v>
      </c>
      <c r="T441" t="s">
        <v>327</v>
      </c>
    </row>
    <row r="442" spans="2:20">
      <c r="B442" s="14">
        <v>0</v>
      </c>
      <c r="C442" s="14"/>
      <c r="D442" t="s">
        <v>398</v>
      </c>
      <c r="E442" t="s">
        <v>255</v>
      </c>
      <c r="F442" t="s">
        <v>264</v>
      </c>
      <c r="G442" t="s">
        <v>264</v>
      </c>
      <c r="H442" t="s">
        <v>325</v>
      </c>
      <c r="I442" s="8"/>
      <c r="J442" s="11">
        <v>290</v>
      </c>
      <c r="K442">
        <v>373.44</v>
      </c>
      <c r="L442" s="10">
        <v>350</v>
      </c>
      <c r="M442" s="10">
        <f xml:space="preserve"> (L442 - K442)/(K442-J442)</f>
        <v>-0.28092042186001914</v>
      </c>
      <c r="N442" s="10">
        <f>K442/L442</f>
        <v>1.0669714285714285</v>
      </c>
      <c r="O442" s="4">
        <v>-1.6400000000000001E-2</v>
      </c>
      <c r="P442" s="4">
        <v>-1.6400000000000001E-2</v>
      </c>
      <c r="Q442" s="14"/>
      <c r="R442" t="s">
        <v>326</v>
      </c>
      <c r="S442" t="s">
        <v>326</v>
      </c>
      <c r="T442" t="s">
        <v>328</v>
      </c>
    </row>
    <row r="443" spans="2:20">
      <c r="B443" s="14">
        <v>0</v>
      </c>
      <c r="C443" s="14"/>
      <c r="D443" s="8" t="s">
        <v>636</v>
      </c>
      <c r="E443" t="s">
        <v>299</v>
      </c>
      <c r="F443" t="s">
        <v>257</v>
      </c>
      <c r="G443" t="s">
        <v>257</v>
      </c>
      <c r="H443" t="s">
        <v>325</v>
      </c>
      <c r="J443" s="10">
        <v>55</v>
      </c>
      <c r="K443">
        <v>43.27</v>
      </c>
      <c r="L443" s="10">
        <v>65</v>
      </c>
      <c r="M443" s="10">
        <f xml:space="preserve"> (L443 - K443)/(K443-J443)</f>
        <v>-1.852514919011083</v>
      </c>
      <c r="N443" s="10">
        <f>K443/L443</f>
        <v>0.66569230769230769</v>
      </c>
      <c r="O443" s="4">
        <v>-4.5999999999999999E-3</v>
      </c>
      <c r="P443" s="4">
        <v>-4.5999999999999999E-3</v>
      </c>
      <c r="Q443" s="15"/>
      <c r="R443" t="s">
        <v>325</v>
      </c>
      <c r="S443" t="s">
        <v>325</v>
      </c>
      <c r="T443" t="s">
        <v>327</v>
      </c>
    </row>
    <row r="444" spans="2:20">
      <c r="B444" s="14">
        <v>-5</v>
      </c>
      <c r="C444" s="13">
        <v>14</v>
      </c>
      <c r="D444" t="s">
        <v>660</v>
      </c>
      <c r="E444" t="s">
        <v>164</v>
      </c>
      <c r="F444">
        <v>0</v>
      </c>
      <c r="G444" t="s">
        <v>257</v>
      </c>
      <c r="H444" t="s">
        <v>326</v>
      </c>
      <c r="J444" s="10"/>
      <c r="K444">
        <v>6.33</v>
      </c>
      <c r="L444" s="10"/>
      <c r="M444" s="10"/>
      <c r="N444" s="10"/>
      <c r="O444" s="4">
        <v>1.2699999999999999E-2</v>
      </c>
      <c r="P444" s="4">
        <v>1.2699999999999999E-2</v>
      </c>
      <c r="Q444" s="14"/>
      <c r="R444" t="s">
        <v>326</v>
      </c>
      <c r="S444" t="s">
        <v>326</v>
      </c>
      <c r="T444" t="s">
        <v>328</v>
      </c>
    </row>
    <row r="445" spans="2:20">
      <c r="B445" s="14">
        <v>-5</v>
      </c>
      <c r="C445" s="20">
        <v>7</v>
      </c>
      <c r="D445" t="s">
        <v>30</v>
      </c>
      <c r="E445" t="s">
        <v>155</v>
      </c>
      <c r="F445" t="s">
        <v>260</v>
      </c>
      <c r="G445" t="s">
        <v>260</v>
      </c>
      <c r="H445" t="s">
        <v>325</v>
      </c>
      <c r="J445" s="10">
        <v>87</v>
      </c>
      <c r="K445">
        <v>124.88</v>
      </c>
      <c r="L445" s="10">
        <v>100</v>
      </c>
      <c r="M445" s="10">
        <f xml:space="preserve"> (L445 - K445)/(K445-J445)</f>
        <v>-0.65681098204857435</v>
      </c>
      <c r="N445" s="10">
        <f>K445/L445</f>
        <v>1.2487999999999999</v>
      </c>
      <c r="O445" s="4">
        <v>1.0699999999999999E-2</v>
      </c>
      <c r="P445" s="4">
        <v>1.0699999999999999E-2</v>
      </c>
      <c r="Q445" s="14" t="s">
        <v>321</v>
      </c>
      <c r="R445" t="s">
        <v>325</v>
      </c>
      <c r="S445" t="s">
        <v>325</v>
      </c>
      <c r="T445" t="s">
        <v>327</v>
      </c>
    </row>
    <row r="446" spans="2:20">
      <c r="B446" s="14">
        <v>-5</v>
      </c>
      <c r="C446" s="14"/>
      <c r="D446" t="s">
        <v>235</v>
      </c>
      <c r="E446" t="s">
        <v>265</v>
      </c>
      <c r="F446" t="s">
        <v>260</v>
      </c>
      <c r="G446" t="s">
        <v>260</v>
      </c>
      <c r="H446" t="s">
        <v>325</v>
      </c>
      <c r="I446" s="8"/>
      <c r="J446" s="11">
        <v>15.7</v>
      </c>
      <c r="K446">
        <v>19</v>
      </c>
      <c r="L446" s="11">
        <v>17</v>
      </c>
      <c r="M446" s="11">
        <f xml:space="preserve"> (L446 - K446)/(K446-J446)</f>
        <v>-0.60606060606060597</v>
      </c>
      <c r="N446" s="10">
        <f>K446/L446</f>
        <v>1.1176470588235294</v>
      </c>
      <c r="O446" s="4">
        <v>2.6800000000000001E-2</v>
      </c>
      <c r="P446" s="4">
        <v>2.6800000000000001E-2</v>
      </c>
      <c r="Q446" s="15" t="s">
        <v>435</v>
      </c>
      <c r="R446" t="s">
        <v>325</v>
      </c>
      <c r="S446" t="s">
        <v>325</v>
      </c>
      <c r="T446" t="s">
        <v>436</v>
      </c>
    </row>
    <row r="447" spans="2:20">
      <c r="B447" s="14">
        <v>-5</v>
      </c>
      <c r="C447" s="31">
        <v>6</v>
      </c>
      <c r="D447" t="s">
        <v>11</v>
      </c>
      <c r="E447" t="s">
        <v>269</v>
      </c>
      <c r="F447" t="s">
        <v>261</v>
      </c>
      <c r="G447" t="s">
        <v>258</v>
      </c>
      <c r="H447" t="s">
        <v>326</v>
      </c>
      <c r="J447" s="10">
        <v>83</v>
      </c>
      <c r="K447">
        <v>66.16</v>
      </c>
      <c r="L447" s="10">
        <v>95</v>
      </c>
      <c r="M447" s="10">
        <f xml:space="preserve"> (L447 - K447)/(K447-J447)</f>
        <v>-1.7125890736342042</v>
      </c>
      <c r="N447" s="10">
        <f>K447/L447</f>
        <v>0.69642105263157894</v>
      </c>
      <c r="O447" s="4">
        <v>1E-4</v>
      </c>
      <c r="P447" s="4">
        <v>1E-4</v>
      </c>
      <c r="Q447" s="14"/>
      <c r="R447" t="s">
        <v>325</v>
      </c>
      <c r="S447" t="s">
        <v>325</v>
      </c>
      <c r="T447" t="s">
        <v>327</v>
      </c>
    </row>
    <row r="448" spans="2:20">
      <c r="B448" s="14">
        <v>-5</v>
      </c>
      <c r="C448" s="14"/>
      <c r="D448" t="s">
        <v>402</v>
      </c>
      <c r="E448" t="s">
        <v>164</v>
      </c>
      <c r="F448" t="s">
        <v>257</v>
      </c>
      <c r="G448" t="s">
        <v>257</v>
      </c>
      <c r="H448" t="s">
        <v>326</v>
      </c>
      <c r="J448" s="10">
        <v>200</v>
      </c>
      <c r="K448">
        <v>247.93</v>
      </c>
      <c r="L448" s="10">
        <v>240</v>
      </c>
      <c r="M448" s="10">
        <f xml:space="preserve"> (L448 - K448)/(K448-J448)</f>
        <v>-0.16544961402044661</v>
      </c>
      <c r="N448" s="10">
        <f>K448/L448</f>
        <v>1.0330416666666666</v>
      </c>
      <c r="O448" s="4">
        <v>3.4599999999999999E-2</v>
      </c>
      <c r="P448" s="4">
        <v>3.4599999999999999E-2</v>
      </c>
      <c r="Q448" s="14"/>
      <c r="R448" t="s">
        <v>326</v>
      </c>
      <c r="S448" t="s">
        <v>327</v>
      </c>
      <c r="T448" t="s">
        <v>436</v>
      </c>
    </row>
    <row r="449" spans="2:20">
      <c r="B449" s="14">
        <v>-5</v>
      </c>
      <c r="C449" s="14"/>
      <c r="D449" s="8" t="s">
        <v>708</v>
      </c>
      <c r="E449" t="s">
        <v>267</v>
      </c>
      <c r="F449" t="s">
        <v>260</v>
      </c>
      <c r="G449" t="s">
        <v>260</v>
      </c>
      <c r="H449" t="s">
        <v>325</v>
      </c>
      <c r="J449" s="10"/>
      <c r="K449">
        <v>7.28</v>
      </c>
      <c r="L449" s="10"/>
      <c r="M449" s="10"/>
      <c r="N449" s="10"/>
      <c r="O449" s="4">
        <v>-3.7699999999999997E-2</v>
      </c>
      <c r="P449" s="4">
        <v>-3.7699999999999997E-2</v>
      </c>
      <c r="Q449" s="15"/>
      <c r="R449" t="s">
        <v>325</v>
      </c>
      <c r="S449" t="s">
        <v>326</v>
      </c>
      <c r="T449" t="s">
        <v>328</v>
      </c>
    </row>
    <row r="450" spans="2:20">
      <c r="B450" s="14">
        <v>-5</v>
      </c>
      <c r="C450" s="14"/>
      <c r="D450" t="s">
        <v>422</v>
      </c>
      <c r="E450" t="s">
        <v>280</v>
      </c>
      <c r="F450" t="s">
        <v>261</v>
      </c>
      <c r="G450" t="s">
        <v>257</v>
      </c>
      <c r="H450" t="s">
        <v>326</v>
      </c>
      <c r="J450" s="10">
        <v>190</v>
      </c>
      <c r="K450">
        <v>124.93</v>
      </c>
      <c r="L450" s="10">
        <v>250</v>
      </c>
      <c r="M450" s="10">
        <f t="shared" ref="M450:M457" si="46" xml:space="preserve"> (L450 - K450)/(K450-J450)</f>
        <v>-1.9220839096357769</v>
      </c>
      <c r="N450" s="10">
        <f>K450/L450</f>
        <v>0.49972000000000005</v>
      </c>
      <c r="O450" s="4">
        <v>4.6300000000000001E-2</v>
      </c>
      <c r="P450" s="4">
        <v>4.6300000000000001E-2</v>
      </c>
      <c r="Q450" s="14"/>
      <c r="R450" t="s">
        <v>326</v>
      </c>
      <c r="S450" t="s">
        <v>326</v>
      </c>
      <c r="T450" t="s">
        <v>327</v>
      </c>
    </row>
    <row r="451" spans="2:20">
      <c r="B451" s="14">
        <v>-5</v>
      </c>
      <c r="C451" s="20">
        <v>7</v>
      </c>
      <c r="D451" t="s">
        <v>218</v>
      </c>
      <c r="E451" t="s">
        <v>283</v>
      </c>
      <c r="F451" t="s">
        <v>258</v>
      </c>
      <c r="G451" t="s">
        <v>258</v>
      </c>
      <c r="H451" t="s">
        <v>325</v>
      </c>
      <c r="J451" s="10">
        <v>100</v>
      </c>
      <c r="K451">
        <v>131.21</v>
      </c>
      <c r="L451" s="10">
        <v>120</v>
      </c>
      <c r="M451" s="10">
        <f t="shared" si="46"/>
        <v>-0.35917975008010272</v>
      </c>
      <c r="N451" s="10">
        <f>K451/L451</f>
        <v>1.0934166666666667</v>
      </c>
      <c r="O451" s="4">
        <v>4.7899999999999998E-2</v>
      </c>
      <c r="P451" s="4">
        <v>4.7899999999999998E-2</v>
      </c>
      <c r="Q451" s="14" t="s">
        <v>219</v>
      </c>
      <c r="R451" t="s">
        <v>327</v>
      </c>
      <c r="S451" t="s">
        <v>326</v>
      </c>
      <c r="T451" t="s">
        <v>327</v>
      </c>
    </row>
    <row r="452" spans="2:20">
      <c r="B452" s="14">
        <v>-5</v>
      </c>
      <c r="C452" s="14"/>
      <c r="D452" t="s">
        <v>441</v>
      </c>
      <c r="E452" t="s">
        <v>292</v>
      </c>
      <c r="F452" t="s">
        <v>262</v>
      </c>
      <c r="G452" t="s">
        <v>262</v>
      </c>
      <c r="H452" t="s">
        <v>325</v>
      </c>
      <c r="J452" s="10">
        <v>45</v>
      </c>
      <c r="K452">
        <v>43.77</v>
      </c>
      <c r="L452" s="10">
        <v>80</v>
      </c>
      <c r="M452" s="10">
        <f t="shared" si="46"/>
        <v>-29.455284552845601</v>
      </c>
      <c r="N452" s="10">
        <f>K452/L452</f>
        <v>0.54712500000000008</v>
      </c>
      <c r="O452" s="4">
        <v>1.9099999999999999E-2</v>
      </c>
      <c r="P452" s="4">
        <v>1.9099999999999999E-2</v>
      </c>
      <c r="Q452" s="15"/>
      <c r="R452" t="s">
        <v>325</v>
      </c>
      <c r="S452" t="s">
        <v>325</v>
      </c>
      <c r="T452" t="s">
        <v>327</v>
      </c>
    </row>
    <row r="453" spans="2:20">
      <c r="B453" s="14">
        <v>-5</v>
      </c>
      <c r="C453" s="14"/>
      <c r="D453" t="s">
        <v>372</v>
      </c>
      <c r="E453" t="s">
        <v>375</v>
      </c>
      <c r="F453" t="s">
        <v>258</v>
      </c>
      <c r="G453" t="s">
        <v>258</v>
      </c>
      <c r="H453" t="s">
        <v>325</v>
      </c>
      <c r="J453" s="10">
        <v>450</v>
      </c>
      <c r="K453">
        <v>593.6</v>
      </c>
      <c r="L453" s="10">
        <v>600</v>
      </c>
      <c r="M453" s="10">
        <f t="shared" si="46"/>
        <v>4.4568245125348023E-2</v>
      </c>
      <c r="N453" s="10">
        <f>K453/L453</f>
        <v>0.9893333333333334</v>
      </c>
      <c r="O453" s="4">
        <v>-1.55E-2</v>
      </c>
      <c r="P453" s="4">
        <v>-1.55E-2</v>
      </c>
      <c r="Q453" s="14"/>
      <c r="R453" t="s">
        <v>326</v>
      </c>
      <c r="S453" t="s">
        <v>326</v>
      </c>
      <c r="T453" t="s">
        <v>328</v>
      </c>
    </row>
    <row r="454" spans="2:20">
      <c r="B454" s="14">
        <v>-5</v>
      </c>
      <c r="C454" s="20">
        <v>7</v>
      </c>
      <c r="D454" t="s">
        <v>173</v>
      </c>
      <c r="E454" t="s">
        <v>273</v>
      </c>
      <c r="F454" t="s">
        <v>263</v>
      </c>
      <c r="G454" t="s">
        <v>263</v>
      </c>
      <c r="H454" t="s">
        <v>325</v>
      </c>
      <c r="J454" s="10">
        <v>160</v>
      </c>
      <c r="K454">
        <v>149.62</v>
      </c>
      <c r="L454" s="10">
        <v>260</v>
      </c>
      <c r="M454" s="10">
        <f t="shared" si="46"/>
        <v>-10.633911368015418</v>
      </c>
      <c r="N454" s="10">
        <f>K454/L454</f>
        <v>0.57546153846153847</v>
      </c>
      <c r="O454" s="4">
        <v>-8.0399999999999999E-2</v>
      </c>
      <c r="P454" s="4">
        <v>-8.0399999999999999E-2</v>
      </c>
      <c r="Q454" s="14" t="s">
        <v>94</v>
      </c>
      <c r="R454" t="s">
        <v>325</v>
      </c>
      <c r="S454" t="s">
        <v>325</v>
      </c>
      <c r="T454" t="s">
        <v>327</v>
      </c>
    </row>
    <row r="455" spans="2:20">
      <c r="B455" s="14">
        <v>-5</v>
      </c>
      <c r="C455" s="14"/>
      <c r="D455" t="s">
        <v>405</v>
      </c>
      <c r="E455" t="s">
        <v>271</v>
      </c>
      <c r="F455" t="s">
        <v>261</v>
      </c>
      <c r="G455" t="s">
        <v>261</v>
      </c>
      <c r="H455" t="s">
        <v>325</v>
      </c>
      <c r="I455" s="8"/>
      <c r="J455" s="11">
        <v>120</v>
      </c>
      <c r="K455">
        <v>185.83</v>
      </c>
      <c r="L455" s="10">
        <v>150</v>
      </c>
      <c r="M455" s="10">
        <f t="shared" si="46"/>
        <v>-0.54428072307458619</v>
      </c>
      <c r="N455" s="10"/>
      <c r="O455" s="4">
        <v>3.2000000000000002E-3</v>
      </c>
      <c r="P455" s="4">
        <v>3.2000000000000002E-3</v>
      </c>
      <c r="Q455" s="14"/>
      <c r="R455" t="s">
        <v>325</v>
      </c>
      <c r="S455" t="s">
        <v>325</v>
      </c>
      <c r="T455" t="s">
        <v>329</v>
      </c>
    </row>
    <row r="456" spans="2:20">
      <c r="B456" s="14">
        <v>-5</v>
      </c>
      <c r="C456" s="14"/>
      <c r="D456" t="s">
        <v>474</v>
      </c>
      <c r="E456" t="s">
        <v>286</v>
      </c>
      <c r="F456" t="s">
        <v>261</v>
      </c>
      <c r="G456" t="s">
        <v>260</v>
      </c>
      <c r="H456" t="s">
        <v>325</v>
      </c>
      <c r="J456" s="10">
        <v>40</v>
      </c>
      <c r="K456">
        <v>20.399999999999999</v>
      </c>
      <c r="L456" s="10">
        <v>75</v>
      </c>
      <c r="M456" s="10">
        <f t="shared" si="46"/>
        <v>-2.7857142857142856</v>
      </c>
      <c r="N456" s="10">
        <f>K456/L456</f>
        <v>0.27199999999999996</v>
      </c>
      <c r="O456" s="4">
        <v>3.5999999999999999E-3</v>
      </c>
      <c r="P456" s="4">
        <v>3.5999999999999999E-3</v>
      </c>
      <c r="Q456" s="14"/>
      <c r="R456" t="s">
        <v>326</v>
      </c>
      <c r="S456" t="s">
        <v>325</v>
      </c>
      <c r="T456" t="s">
        <v>327</v>
      </c>
    </row>
    <row r="457" spans="2:20">
      <c r="B457" s="14">
        <v>-5</v>
      </c>
      <c r="C457" s="14"/>
      <c r="D457" t="s">
        <v>342</v>
      </c>
      <c r="E457" t="s">
        <v>164</v>
      </c>
      <c r="F457" t="s">
        <v>257</v>
      </c>
      <c r="G457" t="s">
        <v>257</v>
      </c>
      <c r="H457" t="s">
        <v>326</v>
      </c>
      <c r="J457" s="10">
        <v>240</v>
      </c>
      <c r="K457">
        <v>195.37</v>
      </c>
      <c r="L457" s="10">
        <v>280</v>
      </c>
      <c r="M457" s="10">
        <f t="shared" si="46"/>
        <v>-1.8962581223392339</v>
      </c>
      <c r="N457" s="10">
        <f>K457/L457</f>
        <v>0.69774999999999998</v>
      </c>
      <c r="O457" s="4">
        <v>2.3099999999999999E-2</v>
      </c>
      <c r="P457" s="4">
        <v>2.3099999999999999E-2</v>
      </c>
      <c r="Q457" s="14"/>
      <c r="R457" t="s">
        <v>326</v>
      </c>
      <c r="S457" t="s">
        <v>326</v>
      </c>
      <c r="T457" t="s">
        <v>327</v>
      </c>
    </row>
    <row r="458" spans="2:20">
      <c r="B458" s="14">
        <v>-5</v>
      </c>
      <c r="C458" s="14"/>
      <c r="D458" t="s">
        <v>721</v>
      </c>
      <c r="F458" t="s">
        <v>264</v>
      </c>
      <c r="G458" t="s">
        <v>264</v>
      </c>
      <c r="H458" t="s">
        <v>326</v>
      </c>
      <c r="J458" s="10"/>
      <c r="K458"/>
      <c r="L458" s="10"/>
      <c r="M458" s="10"/>
      <c r="N458" s="10"/>
      <c r="O458" s="4"/>
      <c r="P458" s="4"/>
      <c r="Q458" s="14"/>
    </row>
    <row r="459" spans="2:20">
      <c r="B459" s="14">
        <v>-5</v>
      </c>
      <c r="C459" s="14"/>
      <c r="D459" t="s">
        <v>347</v>
      </c>
      <c r="E459" t="s">
        <v>420</v>
      </c>
      <c r="F459" t="s">
        <v>261</v>
      </c>
      <c r="G459" t="s">
        <v>261</v>
      </c>
      <c r="H459" t="s">
        <v>325</v>
      </c>
      <c r="J459" s="10"/>
      <c r="K459">
        <v>89.93</v>
      </c>
      <c r="L459" s="10"/>
      <c r="M459" s="10"/>
      <c r="N459" s="10"/>
      <c r="O459" s="4">
        <v>-1E-4</v>
      </c>
      <c r="P459" s="4">
        <v>-1E-4</v>
      </c>
      <c r="Q459" s="14"/>
      <c r="R459" t="s">
        <v>327</v>
      </c>
      <c r="S459" t="s">
        <v>326</v>
      </c>
      <c r="T459" t="s">
        <v>329</v>
      </c>
    </row>
    <row r="460" spans="2:20">
      <c r="B460" s="14">
        <v>-5</v>
      </c>
      <c r="C460" s="20">
        <v>7</v>
      </c>
      <c r="D460" t="s">
        <v>6</v>
      </c>
      <c r="E460" t="s">
        <v>155</v>
      </c>
      <c r="F460" t="s">
        <v>257</v>
      </c>
      <c r="G460" t="s">
        <v>257</v>
      </c>
      <c r="H460" t="s">
        <v>325</v>
      </c>
      <c r="J460" s="10">
        <v>35</v>
      </c>
      <c r="K460">
        <v>23.6</v>
      </c>
      <c r="L460" s="10">
        <v>40</v>
      </c>
      <c r="M460" s="10">
        <f xml:space="preserve"> (L460 - K460)/(K460-J460)</f>
        <v>-1.4385964912280702</v>
      </c>
      <c r="N460" s="10">
        <f>K460/L460</f>
        <v>0.59000000000000008</v>
      </c>
      <c r="O460" s="4">
        <v>-4.0000000000000001E-3</v>
      </c>
      <c r="P460" s="4">
        <v>-4.0000000000000001E-3</v>
      </c>
      <c r="Q460" s="15" t="s">
        <v>67</v>
      </c>
      <c r="R460" t="s">
        <v>325</v>
      </c>
      <c r="S460" t="s">
        <v>325</v>
      </c>
      <c r="T460" t="s">
        <v>327</v>
      </c>
    </row>
    <row r="461" spans="2:20">
      <c r="B461" s="14">
        <v>-5</v>
      </c>
      <c r="C461" s="14"/>
      <c r="D461" t="s">
        <v>726</v>
      </c>
      <c r="F461"/>
      <c r="G461"/>
      <c r="H461"/>
      <c r="J461" s="10"/>
      <c r="K461"/>
      <c r="L461" s="10"/>
      <c r="M461" s="10"/>
      <c r="N461" s="10"/>
      <c r="O461" s="4"/>
      <c r="P461" s="4"/>
      <c r="Q461" s="14"/>
    </row>
    <row r="462" spans="2:20">
      <c r="B462" s="14">
        <v>-5</v>
      </c>
      <c r="C462" s="14"/>
      <c r="D462" s="8" t="s">
        <v>704</v>
      </c>
      <c r="E462" t="s">
        <v>255</v>
      </c>
      <c r="F462" t="s">
        <v>262</v>
      </c>
      <c r="G462" t="s">
        <v>262</v>
      </c>
      <c r="H462" t="s">
        <v>325</v>
      </c>
      <c r="J462" s="10"/>
      <c r="K462">
        <v>52.93</v>
      </c>
      <c r="L462" s="10"/>
      <c r="M462" s="10"/>
      <c r="N462" s="10"/>
      <c r="O462" s="4">
        <v>5.5999999999999999E-3</v>
      </c>
      <c r="P462" s="4">
        <v>5.5999999999999999E-3</v>
      </c>
      <c r="Q462" s="15"/>
      <c r="R462" t="s">
        <v>326</v>
      </c>
      <c r="S462" t="s">
        <v>326</v>
      </c>
      <c r="T462" t="s">
        <v>329</v>
      </c>
    </row>
    <row r="463" spans="2:20">
      <c r="B463" s="14">
        <v>-5</v>
      </c>
      <c r="C463" s="14"/>
      <c r="D463" t="s">
        <v>511</v>
      </c>
      <c r="E463" t="s">
        <v>164</v>
      </c>
      <c r="F463" t="s">
        <v>257</v>
      </c>
      <c r="G463" t="s">
        <v>257</v>
      </c>
      <c r="H463" t="s">
        <v>326</v>
      </c>
      <c r="J463" s="10">
        <v>28</v>
      </c>
      <c r="K463">
        <v>24.65</v>
      </c>
      <c r="L463" s="10">
        <v>32</v>
      </c>
      <c r="M463" s="10">
        <f xml:space="preserve"> (L463 - K463)/(K463-J463)</f>
        <v>-2.1940298507462681</v>
      </c>
      <c r="N463" s="11">
        <f>K463/L463</f>
        <v>0.77031249999999996</v>
      </c>
      <c r="O463" s="4">
        <v>1.7100000000000001E-2</v>
      </c>
      <c r="P463" s="4">
        <v>1.7100000000000001E-2</v>
      </c>
      <c r="Q463" s="14"/>
      <c r="R463" t="s">
        <v>326</v>
      </c>
      <c r="S463" t="s">
        <v>326</v>
      </c>
      <c r="T463" t="s">
        <v>327</v>
      </c>
    </row>
    <row r="464" spans="2:20">
      <c r="B464" s="14">
        <v>-5</v>
      </c>
      <c r="C464" s="14"/>
      <c r="D464" t="s">
        <v>472</v>
      </c>
      <c r="E464" t="s">
        <v>473</v>
      </c>
      <c r="F464" t="s">
        <v>261</v>
      </c>
      <c r="G464" t="s">
        <v>261</v>
      </c>
      <c r="H464" t="s">
        <v>325</v>
      </c>
      <c r="J464" s="10">
        <v>125</v>
      </c>
      <c r="K464">
        <v>181.32</v>
      </c>
      <c r="L464" s="10">
        <v>140</v>
      </c>
      <c r="M464" s="10">
        <f xml:space="preserve"> (L464 - K464)/(K464-J464)</f>
        <v>-0.73366477272727271</v>
      </c>
      <c r="N464" s="10">
        <f>K464/L464</f>
        <v>1.2951428571428572</v>
      </c>
      <c r="O464" s="4">
        <v>2.3E-3</v>
      </c>
      <c r="P464" s="4">
        <v>2.3E-3</v>
      </c>
      <c r="Q464" s="15"/>
      <c r="R464" t="s">
        <v>326</v>
      </c>
      <c r="S464" t="s">
        <v>326</v>
      </c>
      <c r="T464" t="s">
        <v>327</v>
      </c>
    </row>
    <row r="465" spans="2:20">
      <c r="B465" s="14">
        <v>-5</v>
      </c>
      <c r="C465" s="14"/>
      <c r="D465" t="s">
        <v>212</v>
      </c>
      <c r="F465" t="s">
        <v>263</v>
      </c>
      <c r="G465" t="s">
        <v>263</v>
      </c>
      <c r="H465" t="s">
        <v>326</v>
      </c>
      <c r="J465" s="10">
        <v>200</v>
      </c>
      <c r="K465">
        <v>205.41</v>
      </c>
      <c r="L465" s="10">
        <v>250</v>
      </c>
      <c r="M465" s="10">
        <f xml:space="preserve"> (L465 - K465)/(K465-J465)</f>
        <v>8.2421441774491733</v>
      </c>
      <c r="N465" s="10">
        <f>K465/L465</f>
        <v>0.82164000000000004</v>
      </c>
      <c r="O465" s="4">
        <v>-4.1000000000000003E-3</v>
      </c>
      <c r="P465" s="4">
        <v>-4.1000000000000003E-3</v>
      </c>
      <c r="Q465" s="14"/>
      <c r="R465" t="s">
        <v>326</v>
      </c>
      <c r="S465" t="s">
        <v>325</v>
      </c>
      <c r="T465" t="s">
        <v>328</v>
      </c>
    </row>
    <row r="466" spans="2:20">
      <c r="B466" s="14">
        <v>-5</v>
      </c>
      <c r="C466" s="14"/>
      <c r="D466" s="8" t="s">
        <v>646</v>
      </c>
      <c r="E466" t="s">
        <v>293</v>
      </c>
      <c r="F466" t="s">
        <v>262</v>
      </c>
      <c r="G466" t="s">
        <v>262</v>
      </c>
      <c r="H466" t="s">
        <v>325</v>
      </c>
      <c r="J466" s="10">
        <v>30</v>
      </c>
      <c r="K466">
        <v>70.92</v>
      </c>
      <c r="L466" s="10">
        <v>70</v>
      </c>
      <c r="M466" s="10">
        <f xml:space="preserve"> (L466 - K466)/(K466-J466)</f>
        <v>-2.2482893450635425E-2</v>
      </c>
      <c r="N466" s="10">
        <f>K466/L466</f>
        <v>1.0131428571428571</v>
      </c>
      <c r="O466" s="4">
        <v>6.8199999999999997E-2</v>
      </c>
      <c r="P466" s="4">
        <v>6.8199999999999997E-2</v>
      </c>
      <c r="Q466" s="15"/>
      <c r="R466" t="s">
        <v>326</v>
      </c>
      <c r="S466" t="s">
        <v>326</v>
      </c>
      <c r="T466" t="s">
        <v>327</v>
      </c>
    </row>
    <row r="467" spans="2:20">
      <c r="B467" s="14">
        <v>-5</v>
      </c>
      <c r="C467" s="14"/>
      <c r="D467" t="s">
        <v>189</v>
      </c>
      <c r="E467" t="s">
        <v>415</v>
      </c>
      <c r="F467" t="s">
        <v>257</v>
      </c>
      <c r="G467" t="s">
        <v>257</v>
      </c>
      <c r="H467" t="s">
        <v>325</v>
      </c>
      <c r="J467" s="10"/>
      <c r="K467">
        <v>7.62</v>
      </c>
      <c r="L467" s="10"/>
      <c r="M467" s="10"/>
      <c r="N467" s="10"/>
      <c r="O467" s="4">
        <v>-2.23E-2</v>
      </c>
      <c r="P467" s="4">
        <v>-2.23E-2</v>
      </c>
      <c r="Q467" s="14"/>
      <c r="R467" t="s">
        <v>326</v>
      </c>
      <c r="S467" t="s">
        <v>326</v>
      </c>
      <c r="T467" t="s">
        <v>329</v>
      </c>
    </row>
    <row r="468" spans="2:20">
      <c r="B468" s="14">
        <v>-5</v>
      </c>
      <c r="C468" s="14"/>
      <c r="D468" t="s">
        <v>723</v>
      </c>
      <c r="F468"/>
      <c r="G468"/>
      <c r="H468"/>
      <c r="J468" s="10"/>
      <c r="K468"/>
      <c r="L468" s="10"/>
      <c r="M468" s="10"/>
      <c r="N468" s="10"/>
      <c r="O468" s="4"/>
      <c r="P468" s="4"/>
      <c r="Q468" s="14"/>
    </row>
    <row r="469" spans="2:20">
      <c r="B469" s="14">
        <v>-5</v>
      </c>
      <c r="C469" s="14"/>
      <c r="D469" t="s">
        <v>303</v>
      </c>
      <c r="E469" t="s">
        <v>164</v>
      </c>
      <c r="F469" t="s">
        <v>257</v>
      </c>
      <c r="G469" t="s">
        <v>257</v>
      </c>
      <c r="H469" t="s">
        <v>326</v>
      </c>
      <c r="J469" s="10">
        <v>400</v>
      </c>
      <c r="K469">
        <v>381.86</v>
      </c>
      <c r="L469" s="10">
        <v>460</v>
      </c>
      <c r="M469" s="10">
        <f t="shared" ref="M469:M490" si="47" xml:space="preserve"> (L469 - K469)/(K469-J469)</f>
        <v>-4.3076074972436631</v>
      </c>
      <c r="N469" s="10">
        <f>K469/L469</f>
        <v>0.83013043478260873</v>
      </c>
      <c r="O469" s="4">
        <v>-1.2999999999999999E-3</v>
      </c>
      <c r="P469" s="4">
        <v>-1.2999999999999999E-3</v>
      </c>
      <c r="Q469" s="14"/>
      <c r="R469" t="s">
        <v>326</v>
      </c>
      <c r="S469" t="s">
        <v>326</v>
      </c>
      <c r="T469" t="s">
        <v>436</v>
      </c>
    </row>
    <row r="470" spans="2:20">
      <c r="B470" s="14">
        <v>-5</v>
      </c>
      <c r="C470" s="14"/>
      <c r="D470" t="s">
        <v>49</v>
      </c>
      <c r="E470" t="s">
        <v>265</v>
      </c>
      <c r="F470" t="s">
        <v>261</v>
      </c>
      <c r="G470" t="s">
        <v>261</v>
      </c>
      <c r="H470" t="s">
        <v>325</v>
      </c>
      <c r="J470" s="10">
        <v>15</v>
      </c>
      <c r="K470">
        <v>15.74</v>
      </c>
      <c r="L470" s="10">
        <v>25</v>
      </c>
      <c r="M470" s="10">
        <f t="shared" si="47"/>
        <v>12.51351351351351</v>
      </c>
      <c r="N470" s="10">
        <f>K470/L470</f>
        <v>0.62960000000000005</v>
      </c>
      <c r="O470" s="4">
        <v>3.7699999999999997E-2</v>
      </c>
      <c r="P470" s="4">
        <v>3.7699999999999997E-2</v>
      </c>
      <c r="Q470" s="15" t="s">
        <v>70</v>
      </c>
      <c r="R470" t="s">
        <v>327</v>
      </c>
      <c r="S470" t="s">
        <v>327</v>
      </c>
      <c r="T470" t="s">
        <v>329</v>
      </c>
    </row>
    <row r="471" spans="2:20">
      <c r="B471" s="14">
        <v>-5</v>
      </c>
      <c r="C471" s="14"/>
      <c r="D471" t="s">
        <v>12</v>
      </c>
      <c r="E471" t="s">
        <v>256</v>
      </c>
      <c r="F471" t="s">
        <v>264</v>
      </c>
      <c r="G471" t="s">
        <v>264</v>
      </c>
      <c r="H471" t="s">
        <v>326</v>
      </c>
      <c r="J471" s="10">
        <v>250</v>
      </c>
      <c r="K471">
        <v>282.14</v>
      </c>
      <c r="L471" s="10">
        <v>350</v>
      </c>
      <c r="M471" s="10">
        <f t="shared" si="47"/>
        <v>2.111387678904793</v>
      </c>
      <c r="N471" s="10"/>
      <c r="O471" s="4">
        <v>4.4600000000000001E-2</v>
      </c>
      <c r="P471" s="4">
        <v>4.4600000000000001E-2</v>
      </c>
      <c r="Q471" s="14" t="s">
        <v>107</v>
      </c>
      <c r="R471" t="s">
        <v>326</v>
      </c>
      <c r="S471" t="s">
        <v>326</v>
      </c>
      <c r="T471" t="s">
        <v>329</v>
      </c>
    </row>
    <row r="472" spans="2:20">
      <c r="B472" s="14">
        <v>-5</v>
      </c>
      <c r="C472" s="14"/>
      <c r="D472" t="s">
        <v>387</v>
      </c>
      <c r="E472" t="s">
        <v>88</v>
      </c>
      <c r="F472" t="s">
        <v>260</v>
      </c>
      <c r="G472" t="s">
        <v>260</v>
      </c>
      <c r="H472" t="s">
        <v>325</v>
      </c>
      <c r="J472" s="10">
        <v>100</v>
      </c>
      <c r="K472">
        <v>172.89</v>
      </c>
      <c r="L472" s="10">
        <v>150</v>
      </c>
      <c r="M472" s="10">
        <f t="shared" si="47"/>
        <v>-0.31403484702977075</v>
      </c>
      <c r="N472" s="10">
        <f t="shared" ref="N472:N479" si="48">K472/L472</f>
        <v>1.1525999999999998</v>
      </c>
      <c r="O472" s="4">
        <v>-2.2100000000000002E-2</v>
      </c>
      <c r="P472" s="4">
        <v>-2.2100000000000002E-2</v>
      </c>
      <c r="Q472" s="14"/>
      <c r="R472" t="s">
        <v>327</v>
      </c>
      <c r="S472" t="s">
        <v>326</v>
      </c>
      <c r="T472" t="s">
        <v>327</v>
      </c>
    </row>
    <row r="473" spans="2:20">
      <c r="B473" s="14">
        <v>-5</v>
      </c>
      <c r="C473" s="14"/>
      <c r="D473" t="s">
        <v>229</v>
      </c>
      <c r="E473" t="s">
        <v>268</v>
      </c>
      <c r="F473" t="s">
        <v>261</v>
      </c>
      <c r="G473" t="s">
        <v>261</v>
      </c>
      <c r="H473" t="s">
        <v>325</v>
      </c>
      <c r="J473" s="10">
        <v>110</v>
      </c>
      <c r="K473">
        <v>88.59</v>
      </c>
      <c r="L473" s="10">
        <v>150</v>
      </c>
      <c r="M473" s="10">
        <f t="shared" si="47"/>
        <v>-2.8682858477347035</v>
      </c>
      <c r="N473" s="10">
        <f t="shared" si="48"/>
        <v>0.59060000000000001</v>
      </c>
      <c r="O473" s="4">
        <v>-8.0000000000000004E-4</v>
      </c>
      <c r="P473" s="4">
        <v>-8.0000000000000004E-4</v>
      </c>
      <c r="Q473" s="14"/>
      <c r="R473" t="s">
        <v>326</v>
      </c>
      <c r="S473" t="s">
        <v>326</v>
      </c>
      <c r="T473" t="s">
        <v>327</v>
      </c>
    </row>
    <row r="474" spans="2:20">
      <c r="B474" s="14">
        <v>-5</v>
      </c>
      <c r="C474" s="13">
        <v>14</v>
      </c>
      <c r="D474" t="s">
        <v>214</v>
      </c>
      <c r="E474" t="s">
        <v>215</v>
      </c>
      <c r="F474" t="s">
        <v>264</v>
      </c>
      <c r="G474" t="s">
        <v>264</v>
      </c>
      <c r="H474" t="s">
        <v>326</v>
      </c>
      <c r="I474" s="7"/>
      <c r="J474" s="11">
        <v>600</v>
      </c>
      <c r="K474">
        <v>91.87</v>
      </c>
      <c r="L474" s="10">
        <v>700</v>
      </c>
      <c r="M474" s="10">
        <f t="shared" si="47"/>
        <v>-1.196800031488005</v>
      </c>
      <c r="N474" s="10">
        <f t="shared" si="48"/>
        <v>0.13124285714285716</v>
      </c>
      <c r="O474" s="4">
        <v>1.3299999999999999E-2</v>
      </c>
      <c r="P474" s="4">
        <v>1.3299999999999999E-2</v>
      </c>
      <c r="Q474" s="15" t="s">
        <v>215</v>
      </c>
      <c r="R474" t="s">
        <v>326</v>
      </c>
      <c r="S474" t="s">
        <v>326</v>
      </c>
      <c r="T474" t="s">
        <v>327</v>
      </c>
    </row>
    <row r="475" spans="2:20">
      <c r="B475" s="14">
        <v>-5</v>
      </c>
      <c r="C475" s="14"/>
      <c r="D475" t="s">
        <v>670</v>
      </c>
      <c r="E475" t="s">
        <v>473</v>
      </c>
      <c r="F475" t="s">
        <v>262</v>
      </c>
      <c r="G475" t="s">
        <v>262</v>
      </c>
      <c r="H475" t="s">
        <v>325</v>
      </c>
      <c r="J475" s="10">
        <v>25</v>
      </c>
      <c r="K475">
        <v>16.93</v>
      </c>
      <c r="L475" s="10">
        <v>50</v>
      </c>
      <c r="M475" s="10">
        <f t="shared" si="47"/>
        <v>-4.0978934324659226</v>
      </c>
      <c r="N475" s="10">
        <f t="shared" si="48"/>
        <v>0.33860000000000001</v>
      </c>
      <c r="O475" s="4">
        <v>1.61E-2</v>
      </c>
      <c r="P475" s="4">
        <v>1.61E-2</v>
      </c>
      <c r="Q475" s="14"/>
      <c r="R475" t="s">
        <v>326</v>
      </c>
      <c r="S475" t="s">
        <v>326</v>
      </c>
      <c r="T475" t="s">
        <v>327</v>
      </c>
    </row>
    <row r="476" spans="2:20">
      <c r="B476" s="14">
        <v>-5</v>
      </c>
      <c r="C476" s="14"/>
      <c r="D476" t="s">
        <v>522</v>
      </c>
      <c r="E476" t="s">
        <v>164</v>
      </c>
      <c r="F476" t="s">
        <v>257</v>
      </c>
      <c r="G476" t="s">
        <v>257</v>
      </c>
      <c r="H476" t="s">
        <v>326</v>
      </c>
      <c r="I476" s="8"/>
      <c r="J476" s="11">
        <v>200</v>
      </c>
      <c r="K476">
        <v>135.97999999999999</v>
      </c>
      <c r="L476" s="10">
        <v>275</v>
      </c>
      <c r="M476" s="10">
        <f t="shared" si="47"/>
        <v>-2.1715089034676662</v>
      </c>
      <c r="N476" s="10">
        <f t="shared" si="48"/>
        <v>0.49447272727272723</v>
      </c>
      <c r="O476" s="4">
        <v>2.5999999999999999E-3</v>
      </c>
      <c r="P476" s="4">
        <v>2.5999999999999999E-3</v>
      </c>
      <c r="Q476" s="14"/>
      <c r="R476" t="s">
        <v>326</v>
      </c>
      <c r="S476" t="s">
        <v>326</v>
      </c>
      <c r="T476" t="s">
        <v>328</v>
      </c>
    </row>
    <row r="477" spans="2:20">
      <c r="B477" s="14">
        <v>-5</v>
      </c>
      <c r="C477" s="14"/>
      <c r="D477" s="8" t="s">
        <v>682</v>
      </c>
      <c r="E477" t="s">
        <v>299</v>
      </c>
      <c r="F477" t="s">
        <v>261</v>
      </c>
      <c r="G477" t="s">
        <v>261</v>
      </c>
      <c r="H477" t="s">
        <v>325</v>
      </c>
      <c r="J477" s="10">
        <v>4.3499999999999996</v>
      </c>
      <c r="K477">
        <v>1.48</v>
      </c>
      <c r="L477" s="10">
        <v>7.5</v>
      </c>
      <c r="M477" s="10">
        <f t="shared" si="47"/>
        <v>-2.0975609756097562</v>
      </c>
      <c r="N477" s="10">
        <f t="shared" si="48"/>
        <v>0.19733333333333333</v>
      </c>
      <c r="O477" s="4">
        <v>3.6600000000000001E-2</v>
      </c>
      <c r="P477" s="4">
        <v>3.6600000000000001E-2</v>
      </c>
      <c r="Q477" s="14"/>
      <c r="R477" t="s">
        <v>326</v>
      </c>
      <c r="S477" t="s">
        <v>326</v>
      </c>
      <c r="T477" t="s">
        <v>436</v>
      </c>
    </row>
    <row r="478" spans="2:20">
      <c r="B478" s="14">
        <v>-5</v>
      </c>
      <c r="C478" s="14"/>
      <c r="D478" t="s">
        <v>161</v>
      </c>
      <c r="E478" t="s">
        <v>164</v>
      </c>
      <c r="F478" t="s">
        <v>261</v>
      </c>
      <c r="G478" t="s">
        <v>261</v>
      </c>
      <c r="H478" t="s">
        <v>326</v>
      </c>
      <c r="J478" s="10">
        <v>500</v>
      </c>
      <c r="K478">
        <v>248.12</v>
      </c>
      <c r="L478" s="10">
        <v>650</v>
      </c>
      <c r="M478" s="10">
        <f t="shared" si="47"/>
        <v>-1.5955216769890423</v>
      </c>
      <c r="N478" s="10">
        <f t="shared" si="48"/>
        <v>0.38172307692307694</v>
      </c>
      <c r="O478" s="4">
        <v>5.5999999999999999E-3</v>
      </c>
      <c r="P478" s="4">
        <v>5.5999999999999999E-3</v>
      </c>
      <c r="Q478" s="14" t="s">
        <v>164</v>
      </c>
      <c r="R478" t="s">
        <v>326</v>
      </c>
      <c r="S478" t="s">
        <v>326</v>
      </c>
      <c r="T478" t="s">
        <v>436</v>
      </c>
    </row>
    <row r="479" spans="2:20">
      <c r="B479" s="14">
        <v>-5</v>
      </c>
      <c r="C479" s="14"/>
      <c r="D479" t="s">
        <v>208</v>
      </c>
      <c r="E479" t="s">
        <v>273</v>
      </c>
      <c r="F479" t="s">
        <v>261</v>
      </c>
      <c r="G479" t="s">
        <v>261</v>
      </c>
      <c r="H479" t="s">
        <v>325</v>
      </c>
      <c r="J479" s="10">
        <v>250</v>
      </c>
      <c r="K479">
        <v>1.18</v>
      </c>
      <c r="L479" s="10">
        <v>5</v>
      </c>
      <c r="M479" s="10">
        <f t="shared" si="47"/>
        <v>-1.5352463628325699E-2</v>
      </c>
      <c r="N479" s="10">
        <f t="shared" si="48"/>
        <v>0.23599999999999999</v>
      </c>
      <c r="O479" s="4">
        <v>3.8199999999999998E-2</v>
      </c>
      <c r="P479" s="4">
        <v>3.8199999999999998E-2</v>
      </c>
      <c r="Q479" s="14" t="s">
        <v>195</v>
      </c>
      <c r="R479" t="s">
        <v>326</v>
      </c>
      <c r="S479" t="s">
        <v>326</v>
      </c>
      <c r="T479" t="s">
        <v>436</v>
      </c>
    </row>
    <row r="480" spans="2:20">
      <c r="B480" s="14">
        <v>-5</v>
      </c>
      <c r="C480" s="14"/>
      <c r="D480" t="s">
        <v>558</v>
      </c>
      <c r="E480" t="s">
        <v>164</v>
      </c>
      <c r="F480" t="s">
        <v>261</v>
      </c>
      <c r="G480" t="s">
        <v>261</v>
      </c>
      <c r="H480" t="s">
        <v>326</v>
      </c>
      <c r="I480" s="8"/>
      <c r="J480" s="11">
        <v>21.5</v>
      </c>
      <c r="K480">
        <v>12.07</v>
      </c>
      <c r="L480" s="11">
        <v>26</v>
      </c>
      <c r="M480" s="11">
        <f t="shared" si="47"/>
        <v>-1.4772004241781549</v>
      </c>
      <c r="N480" s="10"/>
      <c r="O480" s="4">
        <v>1.2500000000000001E-2</v>
      </c>
      <c r="P480" s="4">
        <v>1.2500000000000001E-2</v>
      </c>
      <c r="Q480" s="15"/>
      <c r="R480" t="s">
        <v>326</v>
      </c>
      <c r="S480" t="s">
        <v>326</v>
      </c>
      <c r="T480" t="s">
        <v>327</v>
      </c>
    </row>
    <row r="481" spans="2:20">
      <c r="B481" s="14">
        <v>-5</v>
      </c>
      <c r="C481" s="14"/>
      <c r="D481" t="s">
        <v>165</v>
      </c>
      <c r="E481" t="s">
        <v>417</v>
      </c>
      <c r="F481" t="s">
        <v>262</v>
      </c>
      <c r="G481" t="s">
        <v>262</v>
      </c>
      <c r="H481" t="s">
        <v>325</v>
      </c>
      <c r="J481" s="10">
        <v>70</v>
      </c>
      <c r="K481">
        <v>44</v>
      </c>
      <c r="L481" s="10">
        <v>95</v>
      </c>
      <c r="M481" s="10">
        <f t="shared" si="47"/>
        <v>-1.9615384615384615</v>
      </c>
      <c r="N481" s="10">
        <f t="shared" ref="N481:N489" si="49">K481/L481</f>
        <v>0.4631578947368421</v>
      </c>
      <c r="O481" s="4">
        <v>3.1E-2</v>
      </c>
      <c r="P481" s="4">
        <v>3.1E-2</v>
      </c>
      <c r="Q481" s="14" t="s">
        <v>170</v>
      </c>
      <c r="R481" t="s">
        <v>326</v>
      </c>
      <c r="S481" t="s">
        <v>326</v>
      </c>
      <c r="T481" t="s">
        <v>436</v>
      </c>
    </row>
    <row r="482" spans="2:20">
      <c r="B482" s="14">
        <v>-5</v>
      </c>
      <c r="C482" s="14"/>
      <c r="D482" t="s">
        <v>390</v>
      </c>
      <c r="E482" t="s">
        <v>88</v>
      </c>
      <c r="F482" t="s">
        <v>258</v>
      </c>
      <c r="G482" t="s">
        <v>258</v>
      </c>
      <c r="H482" t="s">
        <v>325</v>
      </c>
      <c r="J482" s="11">
        <v>160</v>
      </c>
      <c r="K482">
        <v>51.67</v>
      </c>
      <c r="L482" s="10">
        <v>240</v>
      </c>
      <c r="M482" s="10">
        <f t="shared" si="47"/>
        <v>-1.7384842610541862</v>
      </c>
      <c r="N482" s="10">
        <f t="shared" si="49"/>
        <v>0.21529166666666669</v>
      </c>
      <c r="O482" s="4">
        <v>3.2500000000000001E-2</v>
      </c>
      <c r="P482" s="4">
        <v>3.2500000000000001E-2</v>
      </c>
      <c r="Q482" s="14"/>
      <c r="R482" t="s">
        <v>325</v>
      </c>
      <c r="S482" t="s">
        <v>326</v>
      </c>
      <c r="T482" t="s">
        <v>329</v>
      </c>
    </row>
    <row r="483" spans="2:20">
      <c r="B483" s="14">
        <v>-5</v>
      </c>
      <c r="C483" s="13">
        <v>14</v>
      </c>
      <c r="D483" t="s">
        <v>430</v>
      </c>
      <c r="E483" t="s">
        <v>298</v>
      </c>
      <c r="F483" t="s">
        <v>262</v>
      </c>
      <c r="G483" t="s">
        <v>262</v>
      </c>
      <c r="H483" t="s">
        <v>325</v>
      </c>
      <c r="J483" s="10">
        <v>170</v>
      </c>
      <c r="K483">
        <v>81.209999999999994</v>
      </c>
      <c r="L483" s="10">
        <v>220</v>
      </c>
      <c r="M483" s="10">
        <f t="shared" si="47"/>
        <v>-1.5631264782070053</v>
      </c>
      <c r="N483" s="10">
        <f t="shared" si="49"/>
        <v>0.3691363636363636</v>
      </c>
      <c r="O483" s="4">
        <v>-4.8399999999999999E-2</v>
      </c>
      <c r="P483" s="4">
        <v>-4.8399999999999999E-2</v>
      </c>
      <c r="Q483" s="14"/>
      <c r="R483" t="s">
        <v>325</v>
      </c>
      <c r="S483" t="s">
        <v>326</v>
      </c>
      <c r="T483" t="s">
        <v>327</v>
      </c>
    </row>
    <row r="484" spans="2:20">
      <c r="B484" s="14">
        <v>-5</v>
      </c>
      <c r="C484" s="14"/>
      <c r="D484" t="s">
        <v>304</v>
      </c>
      <c r="E484" t="s">
        <v>288</v>
      </c>
      <c r="F484" t="s">
        <v>257</v>
      </c>
      <c r="G484" t="s">
        <v>257</v>
      </c>
      <c r="H484" t="s">
        <v>325</v>
      </c>
      <c r="J484" s="10">
        <v>385</v>
      </c>
      <c r="K484">
        <v>162.85</v>
      </c>
      <c r="L484" s="10">
        <v>450</v>
      </c>
      <c r="M484" s="10">
        <f t="shared" si="47"/>
        <v>-1.2925950934053565</v>
      </c>
      <c r="N484" s="10">
        <f t="shared" si="49"/>
        <v>0.36188888888888887</v>
      </c>
      <c r="O484" s="4">
        <v>4.0599999999999997E-2</v>
      </c>
      <c r="P484" s="4">
        <v>4.0599999999999997E-2</v>
      </c>
      <c r="Q484" s="14"/>
      <c r="R484" t="s">
        <v>327</v>
      </c>
      <c r="S484" t="s">
        <v>326</v>
      </c>
      <c r="T484" t="s">
        <v>327</v>
      </c>
    </row>
    <row r="485" spans="2:20">
      <c r="B485" s="14">
        <v>-5</v>
      </c>
      <c r="C485" s="14"/>
      <c r="D485" t="s">
        <v>242</v>
      </c>
      <c r="E485" t="s">
        <v>284</v>
      </c>
      <c r="F485" t="s">
        <v>257</v>
      </c>
      <c r="G485" t="s">
        <v>257</v>
      </c>
      <c r="H485" t="s">
        <v>326</v>
      </c>
      <c r="J485" s="10">
        <v>3.8</v>
      </c>
      <c r="K485">
        <v>0.78</v>
      </c>
      <c r="L485" s="10">
        <v>5</v>
      </c>
      <c r="M485" s="10">
        <f t="shared" si="47"/>
        <v>-1.3973509933774835</v>
      </c>
      <c r="N485" s="10">
        <f t="shared" si="49"/>
        <v>0.156</v>
      </c>
      <c r="O485" s="4">
        <v>8.5099999999999995E-2</v>
      </c>
      <c r="P485" s="4">
        <v>8.5099999999999995E-2</v>
      </c>
      <c r="Q485" s="15"/>
      <c r="R485" t="s">
        <v>325</v>
      </c>
      <c r="S485" t="s">
        <v>326</v>
      </c>
      <c r="T485" t="s">
        <v>329</v>
      </c>
    </row>
    <row r="486" spans="2:20">
      <c r="B486" s="14">
        <v>-5</v>
      </c>
      <c r="C486" s="14"/>
      <c r="D486" t="s">
        <v>625</v>
      </c>
      <c r="E486" t="s">
        <v>626</v>
      </c>
      <c r="F486" t="s">
        <v>260</v>
      </c>
      <c r="G486" t="s">
        <v>260</v>
      </c>
      <c r="H486" t="s">
        <v>325</v>
      </c>
      <c r="J486" s="10">
        <v>200</v>
      </c>
      <c r="K486">
        <v>242.22</v>
      </c>
      <c r="L486" s="10">
        <v>230</v>
      </c>
      <c r="M486" s="10">
        <f t="shared" si="47"/>
        <v>-0.28943628612032213</v>
      </c>
      <c r="N486" s="10">
        <f t="shared" si="49"/>
        <v>1.0531304347826087</v>
      </c>
      <c r="O486" s="4">
        <v>1.3100000000000001E-2</v>
      </c>
      <c r="P486" s="4">
        <v>1.3100000000000001E-2</v>
      </c>
      <c r="Q486" s="14"/>
      <c r="R486" t="s">
        <v>325</v>
      </c>
      <c r="S486" t="s">
        <v>326</v>
      </c>
      <c r="T486" t="s">
        <v>327</v>
      </c>
    </row>
    <row r="487" spans="2:20">
      <c r="B487" s="14">
        <v>-5</v>
      </c>
      <c r="C487" s="14"/>
      <c r="D487" t="s">
        <v>46</v>
      </c>
      <c r="E487" t="s">
        <v>265</v>
      </c>
      <c r="F487" t="s">
        <v>260</v>
      </c>
      <c r="G487" t="s">
        <v>260</v>
      </c>
      <c r="H487" t="s">
        <v>325</v>
      </c>
      <c r="J487" s="10">
        <v>140</v>
      </c>
      <c r="K487">
        <v>239.75</v>
      </c>
      <c r="L487" s="10">
        <v>180</v>
      </c>
      <c r="M487" s="10">
        <f t="shared" si="47"/>
        <v>-0.59899749373433586</v>
      </c>
      <c r="N487" s="10">
        <f t="shared" si="49"/>
        <v>1.3319444444444444</v>
      </c>
      <c r="O487" s="4">
        <v>1.66E-2</v>
      </c>
      <c r="P487" s="4">
        <v>1.66E-2</v>
      </c>
      <c r="Q487" s="15"/>
      <c r="R487" t="s">
        <v>325</v>
      </c>
      <c r="S487" t="s">
        <v>326</v>
      </c>
      <c r="T487" t="s">
        <v>329</v>
      </c>
    </row>
    <row r="488" spans="2:20">
      <c r="B488" s="14">
        <v>-5</v>
      </c>
      <c r="C488" s="14"/>
      <c r="D488" t="s">
        <v>324</v>
      </c>
      <c r="E488" t="s">
        <v>88</v>
      </c>
      <c r="F488" t="s">
        <v>258</v>
      </c>
      <c r="G488" t="s">
        <v>258</v>
      </c>
      <c r="H488" t="s">
        <v>325</v>
      </c>
      <c r="J488" s="10">
        <v>218</v>
      </c>
      <c r="K488">
        <v>44.12</v>
      </c>
      <c r="L488" s="10">
        <v>330</v>
      </c>
      <c r="M488" s="10">
        <f t="shared" si="47"/>
        <v>-1.644122383252818</v>
      </c>
      <c r="N488" s="10">
        <f t="shared" si="49"/>
        <v>0.1336969696969697</v>
      </c>
      <c r="O488" s="4">
        <v>-1.47E-2</v>
      </c>
      <c r="P488" s="4">
        <v>-1.47E-2</v>
      </c>
      <c r="Q488" s="14"/>
      <c r="R488" t="s">
        <v>325</v>
      </c>
      <c r="S488" t="s">
        <v>327</v>
      </c>
      <c r="T488" t="s">
        <v>327</v>
      </c>
    </row>
    <row r="489" spans="2:20">
      <c r="B489" s="14">
        <v>-5</v>
      </c>
      <c r="C489" s="14"/>
      <c r="D489" t="s">
        <v>86</v>
      </c>
      <c r="E489" t="s">
        <v>274</v>
      </c>
      <c r="F489" t="s">
        <v>263</v>
      </c>
      <c r="G489" t="s">
        <v>263</v>
      </c>
      <c r="H489" t="s">
        <v>326</v>
      </c>
      <c r="J489" s="10">
        <v>0.8</v>
      </c>
      <c r="K489">
        <v>1.75</v>
      </c>
      <c r="L489" s="10">
        <v>2</v>
      </c>
      <c r="M489" s="10">
        <f t="shared" si="47"/>
        <v>0.26315789473684209</v>
      </c>
      <c r="N489" s="10">
        <f t="shared" si="49"/>
        <v>0.875</v>
      </c>
      <c r="O489" s="4">
        <v>9.2999999999999992E-3</v>
      </c>
      <c r="P489" s="4">
        <v>9.2999999999999992E-3</v>
      </c>
      <c r="Q489" s="14" t="s">
        <v>89</v>
      </c>
      <c r="R489" t="s">
        <v>327</v>
      </c>
      <c r="S489" t="s">
        <v>326</v>
      </c>
      <c r="T489" t="s">
        <v>327</v>
      </c>
    </row>
    <row r="490" spans="2:20">
      <c r="B490" s="14">
        <v>-5</v>
      </c>
      <c r="C490" s="14"/>
      <c r="D490" t="s">
        <v>532</v>
      </c>
      <c r="E490" t="s">
        <v>335</v>
      </c>
      <c r="F490"/>
      <c r="G490"/>
      <c r="H490" t="s">
        <v>326</v>
      </c>
      <c r="J490" s="10">
        <v>25</v>
      </c>
      <c r="K490">
        <v>9.67</v>
      </c>
      <c r="L490" s="10">
        <v>35</v>
      </c>
      <c r="M490" s="10">
        <f t="shared" si="47"/>
        <v>-1.6523157208088715</v>
      </c>
      <c r="O490" s="4">
        <v>5.0900000000000001E-2</v>
      </c>
      <c r="P490" s="4">
        <v>5.0900000000000001E-2</v>
      </c>
      <c r="Q490" s="15"/>
      <c r="R490" t="s">
        <v>326</v>
      </c>
      <c r="S490" t="s">
        <v>326</v>
      </c>
      <c r="T490" t="s">
        <v>327</v>
      </c>
    </row>
    <row r="491" spans="2:20">
      <c r="B491" s="14">
        <v>-5</v>
      </c>
      <c r="C491" s="14"/>
      <c r="D491" t="s">
        <v>194</v>
      </c>
      <c r="E491" t="s">
        <v>301</v>
      </c>
      <c r="F491"/>
      <c r="G491"/>
      <c r="H491" t="s">
        <v>325</v>
      </c>
      <c r="J491" s="10"/>
      <c r="K491">
        <v>80.239999999999995</v>
      </c>
      <c r="L491" s="10"/>
      <c r="M491" s="10"/>
      <c r="O491" s="4">
        <v>-5.1000000000000004E-3</v>
      </c>
      <c r="P491" s="4">
        <v>-5.1000000000000004E-3</v>
      </c>
      <c r="Q491" s="14"/>
      <c r="R491" t="s">
        <v>325</v>
      </c>
      <c r="S491" t="s">
        <v>325</v>
      </c>
      <c r="T491" t="s">
        <v>329</v>
      </c>
    </row>
  </sheetData>
  <sortState xmlns:xlrd2="http://schemas.microsoft.com/office/spreadsheetml/2017/richdata2" ref="A1:T491">
    <sortCondition descending="1" ref="B1:B49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Short_Long</vt:lpstr>
      <vt:lpstr>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yufa</dc:creator>
  <cp:lastModifiedBy>O_Y Bilyk</cp:lastModifiedBy>
  <dcterms:created xsi:type="dcterms:W3CDTF">2015-06-05T18:17:20Z</dcterms:created>
  <dcterms:modified xsi:type="dcterms:W3CDTF">2026-06-04T05:01:14Z</dcterms:modified>
</cp:coreProperties>
</file>